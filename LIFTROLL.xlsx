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andy\Documents\Github\SailplaneCalcApp\"/>
    </mc:Choice>
  </mc:AlternateContent>
  <xr:revisionPtr revIDLastSave="0" documentId="8_{6A5DAF68-2C8C-4971-A152-9E455199AFAD}" xr6:coauthVersionLast="47" xr6:coauthVersionMax="47" xr10:uidLastSave="{00000000-0000-0000-0000-000000000000}"/>
  <bookViews>
    <workbookView xWindow="1240" yWindow="650" windowWidth="28420" windowHeight="20170" xr2:uid="{00000000-000D-0000-FFFF-FFFF00000000}"/>
  </bookViews>
  <sheets>
    <sheet name="LIFTROLL" sheetId="1" r:id="rId1"/>
  </sheets>
  <definedNames>
    <definedName name="solver_adj" localSheetId="0" hidden="1">LIFTROLL!$B$20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LIFTROLL!$B$30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0.147</definedName>
  </definedNames>
  <calcPr calcId="191029"/>
</workbook>
</file>

<file path=xl/calcChain.xml><?xml version="1.0" encoding="utf-8"?>
<calcChain xmlns="http://schemas.openxmlformats.org/spreadsheetml/2006/main">
  <c r="B13" i="1" l="1"/>
  <c r="B14" i="1" s="1"/>
  <c r="O14" i="1"/>
  <c r="Q14" i="1"/>
  <c r="T14" i="1" s="1"/>
  <c r="S14" i="1" s="1"/>
  <c r="R14" i="1"/>
  <c r="O15" i="1"/>
  <c r="P15" i="1"/>
  <c r="Q15" i="1"/>
  <c r="O16" i="1"/>
  <c r="P16" i="1"/>
  <c r="Q16" i="1"/>
  <c r="O17" i="1"/>
  <c r="Q17" i="1"/>
  <c r="R17" i="1"/>
  <c r="N19" i="1"/>
  <c r="P19" i="1"/>
  <c r="Q19" i="1"/>
  <c r="S19" i="1"/>
  <c r="T19" i="1"/>
  <c r="V19" i="1"/>
  <c r="W19" i="1"/>
  <c r="AE19" i="1" s="1"/>
  <c r="AF19" i="1" s="1"/>
  <c r="Z19" i="1"/>
  <c r="AB19" i="1" s="1"/>
  <c r="N20" i="1"/>
  <c r="O20" i="1"/>
  <c r="P20" i="1"/>
  <c r="Q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D34" i="1"/>
  <c r="O51" i="1" s="1"/>
  <c r="B35" i="1"/>
  <c r="R72" i="1" s="1"/>
  <c r="D35" i="1"/>
  <c r="Q51" i="1" s="1"/>
  <c r="F35" i="1"/>
  <c r="H35" i="1"/>
  <c r="D36" i="1"/>
  <c r="Q52" i="1" s="1"/>
  <c r="F36" i="1"/>
  <c r="H36" i="1"/>
  <c r="B37" i="1"/>
  <c r="D37" i="1"/>
  <c r="Q53" i="1" s="1"/>
  <c r="F37" i="1"/>
  <c r="H37" i="1"/>
  <c r="B38" i="1"/>
  <c r="R54" i="1" s="1"/>
  <c r="D38" i="1"/>
  <c r="Q54" i="1" s="1"/>
  <c r="F38" i="1"/>
  <c r="H38" i="1"/>
  <c r="B39" i="1"/>
  <c r="B44" i="1"/>
  <c r="Y84" i="1" s="1"/>
  <c r="B45" i="1"/>
  <c r="AC85" i="1" s="1"/>
  <c r="B46" i="1"/>
  <c r="V86" i="1" s="1"/>
  <c r="B47" i="1"/>
  <c r="Z87" i="1" s="1"/>
  <c r="B48" i="1"/>
  <c r="B49" i="1"/>
  <c r="B50" i="1"/>
  <c r="AI90" i="1" s="1"/>
  <c r="B51" i="1"/>
  <c r="AL91" i="1" s="1"/>
  <c r="R51" i="1"/>
  <c r="B52" i="1"/>
  <c r="L94" i="1" s="1"/>
  <c r="R53" i="1"/>
  <c r="O54" i="1"/>
  <c r="P5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D85" i="1"/>
  <c r="AE85" i="1"/>
  <c r="AF85" i="1"/>
  <c r="AG85" i="1"/>
  <c r="AH85" i="1"/>
  <c r="O86" i="1"/>
  <c r="P86" i="1"/>
  <c r="Q86" i="1"/>
  <c r="R86" i="1"/>
  <c r="S86" i="1"/>
  <c r="T86" i="1"/>
  <c r="U86" i="1"/>
  <c r="X86" i="1"/>
  <c r="Y86" i="1"/>
  <c r="Z86" i="1"/>
  <c r="AA86" i="1"/>
  <c r="AD86" i="1"/>
  <c r="AE86" i="1"/>
  <c r="AH86" i="1"/>
  <c r="O87" i="1"/>
  <c r="P87" i="1"/>
  <c r="Q87" i="1"/>
  <c r="R87" i="1"/>
  <c r="S87" i="1"/>
  <c r="T87" i="1"/>
  <c r="W87" i="1"/>
  <c r="X87" i="1"/>
  <c r="Y87" i="1"/>
  <c r="AC87" i="1"/>
  <c r="AD87" i="1"/>
  <c r="AE87" i="1"/>
  <c r="AH87" i="1"/>
  <c r="AI88" i="1"/>
  <c r="AL88" i="1"/>
  <c r="AU88" i="1"/>
  <c r="AV88" i="1"/>
  <c r="AW88" i="1"/>
  <c r="BB88" i="1"/>
  <c r="AI89" i="1"/>
  <c r="AY89" i="1"/>
  <c r="BA89" i="1"/>
  <c r="AJ90" i="1"/>
  <c r="AK90" i="1"/>
  <c r="AL90" i="1"/>
  <c r="AM90" i="1"/>
  <c r="AN90" i="1"/>
  <c r="AO90" i="1"/>
  <c r="AP90" i="1"/>
  <c r="AQ90" i="1"/>
  <c r="AT90" i="1"/>
  <c r="AU90" i="1"/>
  <c r="AV90" i="1"/>
  <c r="AW90" i="1"/>
  <c r="AX90" i="1"/>
  <c r="AY90" i="1"/>
  <c r="AZ90" i="1"/>
  <c r="BA90" i="1"/>
  <c r="BB90" i="1"/>
  <c r="AI91" i="1"/>
  <c r="AJ91" i="1"/>
  <c r="AK91" i="1"/>
  <c r="AN91" i="1"/>
  <c r="AO91" i="1"/>
  <c r="AP91" i="1"/>
  <c r="AQ91" i="1"/>
  <c r="AR91" i="1"/>
  <c r="AS91" i="1"/>
  <c r="AT91" i="1"/>
  <c r="AU91" i="1"/>
  <c r="AX91" i="1"/>
  <c r="AY91" i="1"/>
  <c r="AZ91" i="1"/>
  <c r="BA91" i="1"/>
  <c r="BB91" i="1"/>
  <c r="C100" i="1"/>
  <c r="D100" i="1" s="1"/>
  <c r="E100" i="1"/>
  <c r="F100" i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B111" i="1"/>
  <c r="C111" i="1"/>
  <c r="D111" i="1"/>
  <c r="N295" i="1" s="1"/>
  <c r="E111" i="1"/>
  <c r="C296" i="1" s="1"/>
  <c r="F111" i="1"/>
  <c r="AG395" i="1" s="1"/>
  <c r="G111" i="1"/>
  <c r="H111" i="1"/>
  <c r="I111" i="1"/>
  <c r="AC398" i="1" s="1"/>
  <c r="J111" i="1"/>
  <c r="K111" i="1"/>
  <c r="L111" i="1"/>
  <c r="M111" i="1"/>
  <c r="S304" i="1" s="1"/>
  <c r="N111" i="1"/>
  <c r="O111" i="1"/>
  <c r="P111" i="1"/>
  <c r="Q111" i="1"/>
  <c r="AD308" i="1" s="1"/>
  <c r="R111" i="1"/>
  <c r="S111" i="1"/>
  <c r="T111" i="1"/>
  <c r="V311" i="1" s="1"/>
  <c r="U111" i="1"/>
  <c r="F312" i="1" s="1"/>
  <c r="V111" i="1"/>
  <c r="W111" i="1"/>
  <c r="X111" i="1"/>
  <c r="Y111" i="1"/>
  <c r="Z111" i="1"/>
  <c r="AA111" i="1"/>
  <c r="AB111" i="1"/>
  <c r="N319" i="1" s="1"/>
  <c r="AC111" i="1"/>
  <c r="AI320" i="1" s="1"/>
  <c r="AD111" i="1"/>
  <c r="I321" i="1" s="1"/>
  <c r="AE111" i="1"/>
  <c r="AF111" i="1"/>
  <c r="AG111" i="1"/>
  <c r="N324" i="1" s="1"/>
  <c r="AH111" i="1"/>
  <c r="AI111" i="1"/>
  <c r="AJ111" i="1"/>
  <c r="AK111" i="1"/>
  <c r="K328" i="1" s="1"/>
  <c r="AL111" i="1"/>
  <c r="AM111" i="1"/>
  <c r="AN111" i="1"/>
  <c r="G331" i="1" s="1"/>
  <c r="AO111" i="1"/>
  <c r="B117" i="1"/>
  <c r="C117" i="1"/>
  <c r="C118" i="1" s="1"/>
  <c r="D117" i="1"/>
  <c r="D118" i="1" s="1"/>
  <c r="E117" i="1"/>
  <c r="F117" i="1"/>
  <c r="G117" i="1"/>
  <c r="H117" i="1"/>
  <c r="I117" i="1"/>
  <c r="J117" i="1"/>
  <c r="K117" i="1"/>
  <c r="L117" i="1"/>
  <c r="L118" i="1" s="1"/>
  <c r="M117" i="1"/>
  <c r="M118" i="1" s="1"/>
  <c r="N117" i="1"/>
  <c r="N118" i="1" s="1"/>
  <c r="O117" i="1"/>
  <c r="P117" i="1"/>
  <c r="Q117" i="1"/>
  <c r="Q118" i="1" s="1"/>
  <c r="R117" i="1"/>
  <c r="R118" i="1" s="1"/>
  <c r="S117" i="1"/>
  <c r="T117" i="1"/>
  <c r="U117" i="1"/>
  <c r="U118" i="1" s="1"/>
  <c r="V117" i="1"/>
  <c r="V118" i="1" s="1"/>
  <c r="W117" i="1"/>
  <c r="W118" i="1" s="1"/>
  <c r="X117" i="1"/>
  <c r="X118" i="1" s="1"/>
  <c r="Y117" i="1"/>
  <c r="Y118" i="1" s="1"/>
  <c r="Z117" i="1"/>
  <c r="AA117" i="1"/>
  <c r="AA118" i="1" s="1"/>
  <c r="AB117" i="1"/>
  <c r="AB118" i="1" s="1"/>
  <c r="AC117" i="1"/>
  <c r="AD117" i="1"/>
  <c r="AE117" i="1"/>
  <c r="AF117" i="1"/>
  <c r="AG117" i="1"/>
  <c r="AH117" i="1"/>
  <c r="AI117" i="1"/>
  <c r="AJ117" i="1"/>
  <c r="AJ118" i="1" s="1"/>
  <c r="AK117" i="1"/>
  <c r="AK118" i="1" s="1"/>
  <c r="AL117" i="1"/>
  <c r="AL118" i="1" s="1"/>
  <c r="AM117" i="1"/>
  <c r="AN117" i="1"/>
  <c r="AO117" i="1"/>
  <c r="AO118" i="1" s="1"/>
  <c r="B118" i="1"/>
  <c r="E118" i="1"/>
  <c r="F118" i="1"/>
  <c r="G118" i="1"/>
  <c r="H118" i="1"/>
  <c r="I118" i="1"/>
  <c r="J118" i="1"/>
  <c r="K118" i="1"/>
  <c r="O118" i="1"/>
  <c r="P118" i="1"/>
  <c r="S118" i="1"/>
  <c r="T118" i="1"/>
  <c r="Z118" i="1"/>
  <c r="AC118" i="1"/>
  <c r="AD118" i="1"/>
  <c r="AE118" i="1"/>
  <c r="AF118" i="1"/>
  <c r="AG118" i="1"/>
  <c r="AH118" i="1"/>
  <c r="AI118" i="1"/>
  <c r="AM118" i="1"/>
  <c r="AN118" i="1"/>
  <c r="A121" i="1"/>
  <c r="B121" i="1"/>
  <c r="C121" i="1"/>
  <c r="C122" i="1" s="1"/>
  <c r="D121" i="1"/>
  <c r="D122" i="1" s="1"/>
  <c r="E121" i="1"/>
  <c r="F121" i="1"/>
  <c r="G121" i="1"/>
  <c r="H121" i="1"/>
  <c r="H122" i="1" s="1"/>
  <c r="I121" i="1"/>
  <c r="I122" i="1" s="1"/>
  <c r="J121" i="1"/>
  <c r="K121" i="1"/>
  <c r="L121" i="1"/>
  <c r="M121" i="1"/>
  <c r="N121" i="1"/>
  <c r="N122" i="1" s="1"/>
  <c r="O121" i="1"/>
  <c r="O122" i="1" s="1"/>
  <c r="P121" i="1"/>
  <c r="Q121" i="1"/>
  <c r="R121" i="1"/>
  <c r="R122" i="1" s="1"/>
  <c r="S121" i="1"/>
  <c r="S122" i="1" s="1"/>
  <c r="T121" i="1"/>
  <c r="U121" i="1"/>
  <c r="V121" i="1"/>
  <c r="V122" i="1" s="1"/>
  <c r="W121" i="1"/>
  <c r="W122" i="1" s="1"/>
  <c r="X121" i="1"/>
  <c r="Y121" i="1"/>
  <c r="Z121" i="1"/>
  <c r="AA121" i="1"/>
  <c r="AA122" i="1" s="1"/>
  <c r="AB121" i="1"/>
  <c r="AB122" i="1" s="1"/>
  <c r="AC121" i="1"/>
  <c r="AC122" i="1" s="1"/>
  <c r="AD121" i="1"/>
  <c r="AE121" i="1"/>
  <c r="AF121" i="1"/>
  <c r="AF122" i="1" s="1"/>
  <c r="AG121" i="1"/>
  <c r="AG122" i="1" s="1"/>
  <c r="AH121" i="1"/>
  <c r="AI121" i="1"/>
  <c r="AJ121" i="1"/>
  <c r="AK121" i="1"/>
  <c r="AL121" i="1"/>
  <c r="AL122" i="1" s="1"/>
  <c r="AM121" i="1"/>
  <c r="AM122" i="1" s="1"/>
  <c r="AN121" i="1"/>
  <c r="AN122" i="1" s="1"/>
  <c r="AO121" i="1"/>
  <c r="AO122" i="1" s="1"/>
  <c r="B122" i="1"/>
  <c r="E122" i="1"/>
  <c r="F122" i="1"/>
  <c r="G122" i="1"/>
  <c r="J122" i="1"/>
  <c r="K122" i="1"/>
  <c r="L122" i="1"/>
  <c r="M122" i="1"/>
  <c r="P122" i="1"/>
  <c r="Q122" i="1"/>
  <c r="T122" i="1"/>
  <c r="U122" i="1"/>
  <c r="X122" i="1"/>
  <c r="Y122" i="1"/>
  <c r="Z122" i="1"/>
  <c r="AD122" i="1"/>
  <c r="AE122" i="1"/>
  <c r="AH122" i="1"/>
  <c r="AI122" i="1"/>
  <c r="AJ122" i="1"/>
  <c r="AK122" i="1"/>
  <c r="A126" i="1"/>
  <c r="D188" i="1"/>
  <c r="D189" i="1"/>
  <c r="D190" i="1"/>
  <c r="E189" i="1" s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Q295" i="1"/>
  <c r="R295" i="1"/>
  <c r="S295" i="1"/>
  <c r="V295" i="1"/>
  <c r="W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O295" i="1"/>
  <c r="P296" i="1"/>
  <c r="S296" i="1"/>
  <c r="AN296" i="1"/>
  <c r="E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C300" i="1"/>
  <c r="J300" i="1"/>
  <c r="K300" i="1"/>
  <c r="N300" i="1"/>
  <c r="AM300" i="1"/>
  <c r="B301" i="1"/>
  <c r="C301" i="1"/>
  <c r="D301" i="1"/>
  <c r="G301" i="1"/>
  <c r="H301" i="1"/>
  <c r="K301" i="1"/>
  <c r="L301" i="1"/>
  <c r="AA301" i="1"/>
  <c r="AB301" i="1"/>
  <c r="AC301" i="1"/>
  <c r="AD301" i="1"/>
  <c r="AE301" i="1"/>
  <c r="AF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B304" i="1"/>
  <c r="W304" i="1"/>
  <c r="AC304" i="1"/>
  <c r="AD304" i="1"/>
  <c r="N305" i="1"/>
  <c r="O305" i="1"/>
  <c r="P305" i="1"/>
  <c r="S305" i="1"/>
  <c r="T305" i="1"/>
  <c r="Z305" i="1"/>
  <c r="AA305" i="1"/>
  <c r="AD305" i="1"/>
  <c r="AE305" i="1"/>
  <c r="AH305" i="1"/>
  <c r="AI305" i="1"/>
  <c r="AJ305" i="1"/>
  <c r="AK305" i="1"/>
  <c r="AL305" i="1"/>
  <c r="AM305" i="1"/>
  <c r="AN305" i="1"/>
  <c r="X306" i="1"/>
  <c r="AA306" i="1"/>
  <c r="AB306" i="1"/>
  <c r="AC306" i="1"/>
  <c r="AH306" i="1"/>
  <c r="AM306" i="1"/>
  <c r="D307" i="1"/>
  <c r="M307" i="1"/>
  <c r="V307" i="1"/>
  <c r="W307" i="1"/>
  <c r="Z307" i="1"/>
  <c r="AH308" i="1"/>
  <c r="AI308" i="1"/>
  <c r="C309" i="1"/>
  <c r="D309" i="1"/>
  <c r="E309" i="1"/>
  <c r="I309" i="1"/>
  <c r="J309" i="1"/>
  <c r="K309" i="1"/>
  <c r="N309" i="1"/>
  <c r="O309" i="1"/>
  <c r="R309" i="1"/>
  <c r="S309" i="1"/>
  <c r="T309" i="1"/>
  <c r="U309" i="1"/>
  <c r="V309" i="1"/>
  <c r="W309" i="1"/>
  <c r="X309" i="1"/>
  <c r="AA309" i="1"/>
  <c r="AB309" i="1"/>
  <c r="AC309" i="1"/>
  <c r="AG309" i="1"/>
  <c r="AH309" i="1"/>
  <c r="AI309" i="1"/>
  <c r="AL309" i="1"/>
  <c r="AM309" i="1"/>
  <c r="B310" i="1"/>
  <c r="C310" i="1"/>
  <c r="D310" i="1"/>
  <c r="E310" i="1"/>
  <c r="F310" i="1"/>
  <c r="G310" i="1"/>
  <c r="H310" i="1"/>
  <c r="K310" i="1"/>
  <c r="L310" i="1"/>
  <c r="M310" i="1"/>
  <c r="Q310" i="1"/>
  <c r="R310" i="1"/>
  <c r="S310" i="1"/>
  <c r="V310" i="1"/>
  <c r="W310" i="1"/>
  <c r="Z310" i="1"/>
  <c r="AA310" i="1"/>
  <c r="AB310" i="1"/>
  <c r="AC310" i="1"/>
  <c r="AD310" i="1"/>
  <c r="AE310" i="1"/>
  <c r="AF310" i="1"/>
  <c r="AI310" i="1"/>
  <c r="AJ310" i="1"/>
  <c r="AK310" i="1"/>
  <c r="AO310" i="1"/>
  <c r="B311" i="1"/>
  <c r="C311" i="1"/>
  <c r="F311" i="1"/>
  <c r="G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Y311" i="1"/>
  <c r="Z311" i="1"/>
  <c r="AA311" i="1"/>
  <c r="AD311" i="1"/>
  <c r="AE311" i="1"/>
  <c r="AH311" i="1"/>
  <c r="AI311" i="1"/>
  <c r="AJ311" i="1"/>
  <c r="AK311" i="1"/>
  <c r="AL311" i="1"/>
  <c r="AM311" i="1"/>
  <c r="AN311" i="1"/>
  <c r="AO311" i="1"/>
  <c r="B312" i="1"/>
  <c r="C312" i="1"/>
  <c r="D312" i="1"/>
  <c r="E312" i="1"/>
  <c r="H312" i="1"/>
  <c r="I312" i="1"/>
  <c r="J312" i="1"/>
  <c r="K312" i="1"/>
  <c r="N312" i="1"/>
  <c r="O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F312" i="1"/>
  <c r="AG312" i="1"/>
  <c r="AH312" i="1"/>
  <c r="AI312" i="1"/>
  <c r="AL312" i="1"/>
  <c r="AM312" i="1"/>
  <c r="B313" i="1"/>
  <c r="C313" i="1"/>
  <c r="D313" i="1"/>
  <c r="E313" i="1"/>
  <c r="F313" i="1"/>
  <c r="G313" i="1"/>
  <c r="H313" i="1"/>
  <c r="K313" i="1"/>
  <c r="L313" i="1"/>
  <c r="M313" i="1"/>
  <c r="Q313" i="1"/>
  <c r="R313" i="1"/>
  <c r="S313" i="1"/>
  <c r="V313" i="1"/>
  <c r="W313" i="1"/>
  <c r="Z313" i="1"/>
  <c r="AA313" i="1"/>
  <c r="AB313" i="1"/>
  <c r="AC313" i="1"/>
  <c r="AD313" i="1"/>
  <c r="AE313" i="1"/>
  <c r="AF313" i="1"/>
  <c r="AI313" i="1"/>
  <c r="AJ313" i="1"/>
  <c r="AK313" i="1"/>
  <c r="AO313" i="1"/>
  <c r="B314" i="1"/>
  <c r="C314" i="1"/>
  <c r="F314" i="1"/>
  <c r="G314" i="1"/>
  <c r="J314" i="1"/>
  <c r="K314" i="1"/>
  <c r="L314" i="1"/>
  <c r="M314" i="1"/>
  <c r="N314" i="1"/>
  <c r="O314" i="1"/>
  <c r="P314" i="1"/>
  <c r="S314" i="1"/>
  <c r="T314" i="1"/>
  <c r="AE314" i="1"/>
  <c r="AH314" i="1"/>
  <c r="AI314" i="1"/>
  <c r="AJ314" i="1"/>
  <c r="AK314" i="1"/>
  <c r="AL314" i="1"/>
  <c r="AM314" i="1"/>
  <c r="AN314" i="1"/>
  <c r="C315" i="1"/>
  <c r="D315" i="1"/>
  <c r="E315" i="1"/>
  <c r="I315" i="1"/>
  <c r="J315" i="1"/>
  <c r="K315" i="1"/>
  <c r="N315" i="1"/>
  <c r="O315" i="1"/>
  <c r="R315" i="1"/>
  <c r="S315" i="1"/>
  <c r="T315" i="1"/>
  <c r="AC315" i="1"/>
  <c r="AG315" i="1"/>
  <c r="AH315" i="1"/>
  <c r="AI315" i="1"/>
  <c r="AL315" i="1"/>
  <c r="A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Q319" i="1"/>
  <c r="R319" i="1"/>
  <c r="S319" i="1"/>
  <c r="V319" i="1"/>
  <c r="W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O319" i="1"/>
  <c r="K320" i="1"/>
  <c r="Y320" i="1"/>
  <c r="Z320" i="1"/>
  <c r="AA320" i="1"/>
  <c r="D321" i="1"/>
  <c r="E321" i="1"/>
  <c r="AA321" i="1"/>
  <c r="AG321" i="1"/>
  <c r="AH321" i="1"/>
  <c r="AI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I324" i="1"/>
  <c r="J324" i="1"/>
  <c r="O324" i="1"/>
  <c r="T324" i="1"/>
  <c r="U324" i="1"/>
  <c r="W324" i="1"/>
  <c r="X324" i="1"/>
  <c r="AA324" i="1"/>
  <c r="AB324" i="1"/>
  <c r="K325" i="1"/>
  <c r="L325" i="1"/>
  <c r="M325" i="1"/>
  <c r="Q325" i="1"/>
  <c r="R325" i="1"/>
  <c r="V325" i="1"/>
  <c r="W325" i="1"/>
  <c r="Z325" i="1"/>
  <c r="AA325" i="1"/>
  <c r="AB325" i="1"/>
  <c r="AC325" i="1"/>
  <c r="AD325" i="1"/>
  <c r="AE325" i="1"/>
  <c r="AF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G328" i="1"/>
  <c r="AC328" i="1"/>
  <c r="AI328" i="1"/>
  <c r="AJ328" i="1"/>
  <c r="J329" i="1"/>
  <c r="K329" i="1"/>
  <c r="L329" i="1"/>
  <c r="M329" i="1"/>
  <c r="N329" i="1"/>
  <c r="O329" i="1"/>
  <c r="AD329" i="1"/>
  <c r="AE329" i="1"/>
  <c r="AH329" i="1"/>
  <c r="AI329" i="1"/>
  <c r="AJ329" i="1"/>
  <c r="AK329" i="1"/>
  <c r="AL329" i="1"/>
  <c r="AM329" i="1"/>
  <c r="AN329" i="1"/>
  <c r="C330" i="1"/>
  <c r="D330" i="1"/>
  <c r="AA330" i="1"/>
  <c r="AB330" i="1"/>
  <c r="AC330" i="1"/>
  <c r="AG330" i="1"/>
  <c r="AH330" i="1"/>
  <c r="AL330" i="1"/>
  <c r="AM330" i="1"/>
  <c r="D331" i="1"/>
  <c r="E331" i="1"/>
  <c r="H331" i="1"/>
  <c r="I331" i="1"/>
  <c r="K331" i="1"/>
  <c r="AJ331" i="1"/>
  <c r="AK331" i="1"/>
  <c r="Y332" i="1"/>
  <c r="Z332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B393" i="1"/>
  <c r="C393" i="1"/>
  <c r="F393" i="1"/>
  <c r="G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X393" i="1"/>
  <c r="Y393" i="1"/>
  <c r="Z393" i="1"/>
  <c r="AA393" i="1"/>
  <c r="AD393" i="1"/>
  <c r="AE393" i="1"/>
  <c r="AH393" i="1"/>
  <c r="AI393" i="1"/>
  <c r="AJ393" i="1"/>
  <c r="AK393" i="1"/>
  <c r="AL393" i="1"/>
  <c r="AM393" i="1"/>
  <c r="AN393" i="1"/>
  <c r="AO393" i="1"/>
  <c r="S394" i="1"/>
  <c r="T394" i="1"/>
  <c r="AM394" i="1"/>
  <c r="D395" i="1"/>
  <c r="E395" i="1"/>
  <c r="F395" i="1"/>
  <c r="AE395" i="1"/>
  <c r="AF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R398" i="1"/>
  <c r="S398" i="1"/>
  <c r="V398" i="1"/>
  <c r="W398" i="1"/>
  <c r="AB398" i="1"/>
  <c r="AE398" i="1"/>
  <c r="AF398" i="1"/>
  <c r="C399" i="1"/>
  <c r="F399" i="1"/>
  <c r="G399" i="1"/>
  <c r="J399" i="1"/>
  <c r="K399" i="1"/>
  <c r="T399" i="1"/>
  <c r="U399" i="1"/>
  <c r="Y399" i="1"/>
  <c r="Z399" i="1"/>
  <c r="AA399" i="1"/>
  <c r="AM399" i="1"/>
  <c r="AN399" i="1"/>
  <c r="AO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A402" i="1"/>
  <c r="AL402" i="1"/>
  <c r="C403" i="1"/>
  <c r="D403" i="1"/>
  <c r="X403" i="1"/>
  <c r="Y403" i="1"/>
  <c r="AA403" i="1"/>
  <c r="AB403" i="1"/>
  <c r="AC403" i="1"/>
  <c r="AG403" i="1"/>
  <c r="AH403" i="1"/>
  <c r="AI403" i="1"/>
  <c r="AL403" i="1"/>
  <c r="AM403" i="1"/>
  <c r="B404" i="1"/>
  <c r="C404" i="1"/>
  <c r="D404" i="1"/>
  <c r="L404" i="1"/>
  <c r="M404" i="1"/>
  <c r="Q404" i="1"/>
  <c r="R404" i="1"/>
  <c r="S404" i="1"/>
  <c r="AE404" i="1"/>
  <c r="AF404" i="1"/>
  <c r="AG404" i="1"/>
  <c r="AI404" i="1"/>
  <c r="AJ404" i="1"/>
  <c r="N405" i="1"/>
  <c r="O405" i="1"/>
  <c r="S405" i="1"/>
  <c r="T405" i="1"/>
  <c r="U405" i="1"/>
  <c r="T406" i="1"/>
  <c r="X406" i="1"/>
  <c r="Y406" i="1"/>
  <c r="B407" i="1"/>
  <c r="C407" i="1"/>
  <c r="D407" i="1"/>
  <c r="E407" i="1"/>
  <c r="F407" i="1"/>
  <c r="G407" i="1"/>
  <c r="H407" i="1"/>
  <c r="I407" i="1"/>
  <c r="K407" i="1"/>
  <c r="L407" i="1"/>
  <c r="M407" i="1"/>
  <c r="Q407" i="1"/>
  <c r="R407" i="1"/>
  <c r="S407" i="1"/>
  <c r="V407" i="1"/>
  <c r="W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O407" i="1"/>
  <c r="B408" i="1"/>
  <c r="C408" i="1"/>
  <c r="F408" i="1"/>
  <c r="G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Y408" i="1"/>
  <c r="Z408" i="1"/>
  <c r="AA408" i="1"/>
  <c r="AD408" i="1"/>
  <c r="AE408" i="1"/>
  <c r="AH408" i="1"/>
  <c r="AI408" i="1"/>
  <c r="AJ408" i="1"/>
  <c r="AK408" i="1"/>
  <c r="AL408" i="1"/>
  <c r="AM408" i="1"/>
  <c r="AN408" i="1"/>
  <c r="AO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B411" i="1"/>
  <c r="C411" i="1"/>
  <c r="F411" i="1"/>
  <c r="G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Y411" i="1"/>
  <c r="Z411" i="1"/>
  <c r="AA411" i="1"/>
  <c r="AD411" i="1"/>
  <c r="AE411" i="1"/>
  <c r="AH411" i="1"/>
  <c r="AI411" i="1"/>
  <c r="AJ411" i="1"/>
  <c r="AK411" i="1"/>
  <c r="AL411" i="1"/>
  <c r="AM411" i="1"/>
  <c r="AN411" i="1"/>
  <c r="AO411" i="1"/>
  <c r="C412" i="1"/>
  <c r="D412" i="1"/>
  <c r="E412" i="1"/>
  <c r="I412" i="1"/>
  <c r="J412" i="1"/>
  <c r="K412" i="1"/>
  <c r="N412" i="1"/>
  <c r="O412" i="1"/>
  <c r="R412" i="1"/>
  <c r="S412" i="1"/>
  <c r="T412" i="1"/>
  <c r="U412" i="1"/>
  <c r="V412" i="1"/>
  <c r="W412" i="1"/>
  <c r="X412" i="1"/>
  <c r="Y412" i="1"/>
  <c r="Z412" i="1"/>
  <c r="AA412" i="1"/>
  <c r="AB412" i="1"/>
  <c r="AM412" i="1"/>
  <c r="AO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Q413" i="1"/>
  <c r="R413" i="1"/>
  <c r="S413" i="1"/>
  <c r="V413" i="1"/>
  <c r="W413" i="1"/>
  <c r="AD413" i="1"/>
  <c r="AE413" i="1"/>
  <c r="AF413" i="1"/>
  <c r="AG413" i="1"/>
  <c r="AH413" i="1"/>
  <c r="AI413" i="1"/>
  <c r="AJ413" i="1"/>
  <c r="AK413" i="1"/>
  <c r="AL413" i="1"/>
  <c r="AO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B418" i="1"/>
  <c r="E418" i="1"/>
  <c r="F418" i="1"/>
  <c r="I418" i="1"/>
  <c r="W418" i="1"/>
  <c r="AC418" i="1"/>
  <c r="AM418" i="1"/>
  <c r="AO418" i="1"/>
  <c r="D419" i="1"/>
  <c r="E419" i="1"/>
  <c r="F419" i="1"/>
  <c r="Z419" i="1"/>
  <c r="AA419" i="1"/>
  <c r="AH419" i="1"/>
  <c r="AK419" i="1"/>
  <c r="AL419" i="1"/>
  <c r="A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B422" i="1"/>
  <c r="C422" i="1"/>
  <c r="D422" i="1"/>
  <c r="G422" i="1"/>
  <c r="H422" i="1"/>
  <c r="I422" i="1"/>
  <c r="J422" i="1"/>
  <c r="K422" i="1"/>
  <c r="L422" i="1"/>
  <c r="M422" i="1"/>
  <c r="N422" i="1"/>
  <c r="O422" i="1"/>
  <c r="Q422" i="1"/>
  <c r="AG422" i="1"/>
  <c r="AH422" i="1"/>
  <c r="AI422" i="1"/>
  <c r="AJ422" i="1"/>
  <c r="AM422" i="1"/>
  <c r="AO422" i="1"/>
  <c r="B423" i="1"/>
  <c r="C423" i="1"/>
  <c r="D423" i="1"/>
  <c r="E423" i="1"/>
  <c r="K423" i="1"/>
  <c r="L423" i="1"/>
  <c r="M423" i="1"/>
  <c r="N423" i="1"/>
  <c r="V423" i="1"/>
  <c r="W423" i="1"/>
  <c r="Y423" i="1"/>
  <c r="Z423" i="1"/>
  <c r="AA423" i="1"/>
  <c r="AC423" i="1"/>
  <c r="AD423" i="1"/>
  <c r="AJ423" i="1"/>
  <c r="AK423" i="1"/>
  <c r="AL423" i="1"/>
  <c r="AM423" i="1"/>
  <c r="AN423" i="1"/>
  <c r="AO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M426" i="1"/>
  <c r="T426" i="1"/>
  <c r="W426" i="1"/>
  <c r="Y426" i="1"/>
  <c r="Z426" i="1"/>
  <c r="B427" i="1"/>
  <c r="C427" i="1"/>
  <c r="D427" i="1"/>
  <c r="E427" i="1"/>
  <c r="F427" i="1"/>
  <c r="G427" i="1"/>
  <c r="I427" i="1"/>
  <c r="J427" i="1"/>
  <c r="K427" i="1"/>
  <c r="L427" i="1"/>
  <c r="M427" i="1"/>
  <c r="N427" i="1"/>
  <c r="O427" i="1"/>
  <c r="P427" i="1"/>
  <c r="AB427" i="1"/>
  <c r="AC427" i="1"/>
  <c r="AD427" i="1"/>
  <c r="AE427" i="1"/>
  <c r="AG427" i="1"/>
  <c r="AH427" i="1"/>
  <c r="AI427" i="1"/>
  <c r="AJ427" i="1"/>
  <c r="AK427" i="1"/>
  <c r="AL427" i="1"/>
  <c r="AM427" i="1"/>
  <c r="AN427" i="1"/>
  <c r="AO427" i="1"/>
  <c r="G428" i="1"/>
  <c r="H428" i="1"/>
  <c r="I428" i="1"/>
  <c r="J428" i="1"/>
  <c r="K428" i="1"/>
  <c r="T428" i="1"/>
  <c r="U428" i="1"/>
  <c r="V428" i="1"/>
  <c r="W428" i="1"/>
  <c r="X428" i="1"/>
  <c r="Y428" i="1"/>
  <c r="Z428" i="1"/>
  <c r="AF428" i="1"/>
  <c r="AG428" i="1"/>
  <c r="AH428" i="1"/>
  <c r="AI428" i="1"/>
  <c r="AJ428" i="1"/>
  <c r="AK428" i="1"/>
  <c r="AL428" i="1"/>
  <c r="AM428" i="1"/>
  <c r="AN428" i="1"/>
  <c r="AO428" i="1"/>
  <c r="Q429" i="1"/>
  <c r="R429" i="1"/>
  <c r="X429" i="1"/>
  <c r="Y429" i="1"/>
  <c r="AB429" i="1"/>
  <c r="AC429" i="1"/>
  <c r="AD429" i="1"/>
  <c r="G430" i="1"/>
  <c r="N430" i="1"/>
  <c r="R430" i="1"/>
  <c r="X430" i="1"/>
  <c r="AJ430" i="1"/>
  <c r="U94" i="1" l="1"/>
  <c r="AS94" i="1"/>
  <c r="V94" i="1"/>
  <c r="AT94" i="1"/>
  <c r="W94" i="1"/>
  <c r="AU94" i="1"/>
  <c r="X94" i="1"/>
  <c r="AV94" i="1"/>
  <c r="AA94" i="1"/>
  <c r="AY94" i="1"/>
  <c r="AB94" i="1"/>
  <c r="AZ94" i="1"/>
  <c r="AE94" i="1"/>
  <c r="AF94" i="1"/>
  <c r="P94" i="1"/>
  <c r="AN94" i="1"/>
  <c r="Q94" i="1"/>
  <c r="AO94" i="1"/>
  <c r="AP94" i="1"/>
  <c r="AQ94" i="1"/>
  <c r="AR94" i="1"/>
  <c r="AW94" i="1"/>
  <c r="AX94" i="1"/>
  <c r="BA94" i="1"/>
  <c r="S94" i="1"/>
  <c r="Y94" i="1"/>
  <c r="AK94" i="1"/>
  <c r="Z94" i="1"/>
  <c r="AC94" i="1"/>
  <c r="AD94" i="1"/>
  <c r="AI94" i="1"/>
  <c r="AG94" i="1"/>
  <c r="AJ94" i="1"/>
  <c r="AH94" i="1"/>
  <c r="AL94" i="1"/>
  <c r="AM94" i="1"/>
  <c r="BB94" i="1"/>
  <c r="T94" i="1"/>
  <c r="O94" i="1"/>
  <c r="R94" i="1"/>
  <c r="M192" i="1"/>
  <c r="AE192" i="1" s="1"/>
  <c r="V332" i="1"/>
  <c r="W332" i="1"/>
  <c r="X332" i="1"/>
  <c r="D332" i="1"/>
  <c r="AB332" i="1"/>
  <c r="E332" i="1"/>
  <c r="AC332" i="1"/>
  <c r="H332" i="1"/>
  <c r="AF332" i="1"/>
  <c r="I332" i="1"/>
  <c r="AG332" i="1"/>
  <c r="R332" i="1"/>
  <c r="K332" i="1"/>
  <c r="S430" i="1"/>
  <c r="L332" i="1"/>
  <c r="T430" i="1"/>
  <c r="U430" i="1"/>
  <c r="M332" i="1"/>
  <c r="N332" i="1"/>
  <c r="V430" i="1"/>
  <c r="O332" i="1"/>
  <c r="W430" i="1"/>
  <c r="P332" i="1"/>
  <c r="U332" i="1"/>
  <c r="AE308" i="1"/>
  <c r="N307" i="1"/>
  <c r="AL307" i="1"/>
  <c r="V405" i="1"/>
  <c r="O307" i="1"/>
  <c r="AM307" i="1"/>
  <c r="W405" i="1"/>
  <c r="P307" i="1"/>
  <c r="AN307" i="1"/>
  <c r="X405" i="1"/>
  <c r="Q307" i="1"/>
  <c r="AO307" i="1"/>
  <c r="T307" i="1"/>
  <c r="D405" i="1"/>
  <c r="AB405" i="1"/>
  <c r="U307" i="1"/>
  <c r="E405" i="1"/>
  <c r="AC405" i="1"/>
  <c r="X307" i="1"/>
  <c r="H405" i="1"/>
  <c r="AF405" i="1"/>
  <c r="Y307" i="1"/>
  <c r="I405" i="1"/>
  <c r="AG405" i="1"/>
  <c r="I307" i="1"/>
  <c r="AG307" i="1"/>
  <c r="J307" i="1"/>
  <c r="AH307" i="1"/>
  <c r="R405" i="1"/>
  <c r="E307" i="1"/>
  <c r="AK405" i="1"/>
  <c r="F307" i="1"/>
  <c r="B405" i="1"/>
  <c r="AL405" i="1"/>
  <c r="AM405" i="1"/>
  <c r="G307" i="1"/>
  <c r="C405" i="1"/>
  <c r="H307" i="1"/>
  <c r="F405" i="1"/>
  <c r="AN405" i="1"/>
  <c r="K307" i="1"/>
  <c r="G405" i="1"/>
  <c r="AO405" i="1"/>
  <c r="L307" i="1"/>
  <c r="P430" i="1"/>
  <c r="C419" i="1"/>
  <c r="D418" i="1"/>
  <c r="V406" i="1"/>
  <c r="Q405" i="1"/>
  <c r="AN402" i="1"/>
  <c r="C395" i="1"/>
  <c r="T332" i="1"/>
  <c r="AE328" i="1"/>
  <c r="AC321" i="1"/>
  <c r="U320" i="1"/>
  <c r="S307" i="1"/>
  <c r="AA304" i="1"/>
  <c r="E300" i="1"/>
  <c r="D297" i="1"/>
  <c r="F330" i="1"/>
  <c r="AD330" i="1"/>
  <c r="G330" i="1"/>
  <c r="AE330" i="1"/>
  <c r="H330" i="1"/>
  <c r="AF330" i="1"/>
  <c r="P428" i="1"/>
  <c r="L330" i="1"/>
  <c r="AJ330" i="1"/>
  <c r="M330" i="1"/>
  <c r="AK330" i="1"/>
  <c r="P330" i="1"/>
  <c r="AN330" i="1"/>
  <c r="Q330" i="1"/>
  <c r="AO330" i="1"/>
  <c r="Y330" i="1"/>
  <c r="B330" i="1"/>
  <c r="Z330" i="1"/>
  <c r="R330" i="1"/>
  <c r="B428" i="1"/>
  <c r="AA428" i="1"/>
  <c r="AB428" i="1"/>
  <c r="AD428" i="1"/>
  <c r="S330" i="1"/>
  <c r="C428" i="1"/>
  <c r="AC428" i="1"/>
  <c r="T330" i="1"/>
  <c r="D428" i="1"/>
  <c r="U330" i="1"/>
  <c r="E428" i="1"/>
  <c r="V330" i="1"/>
  <c r="F428" i="1"/>
  <c r="AE428" i="1"/>
  <c r="W330" i="1"/>
  <c r="F306" i="1"/>
  <c r="AD306" i="1"/>
  <c r="N404" i="1"/>
  <c r="AL404" i="1"/>
  <c r="G306" i="1"/>
  <c r="AE306" i="1"/>
  <c r="O404" i="1"/>
  <c r="AM404" i="1"/>
  <c r="H306" i="1"/>
  <c r="AF306" i="1"/>
  <c r="P404" i="1"/>
  <c r="AN404" i="1"/>
  <c r="I306" i="1"/>
  <c r="AG306" i="1"/>
  <c r="L306" i="1"/>
  <c r="AJ306" i="1"/>
  <c r="T404" i="1"/>
  <c r="M306" i="1"/>
  <c r="AK306" i="1"/>
  <c r="U404" i="1"/>
  <c r="P306" i="1"/>
  <c r="AN306" i="1"/>
  <c r="X404" i="1"/>
  <c r="Q306" i="1"/>
  <c r="AO306" i="1"/>
  <c r="Y404" i="1"/>
  <c r="Y306" i="1"/>
  <c r="B306" i="1"/>
  <c r="Z306" i="1"/>
  <c r="J404" i="1"/>
  <c r="AH404" i="1"/>
  <c r="C306" i="1"/>
  <c r="E404" i="1"/>
  <c r="AO404" i="1"/>
  <c r="G404" i="1"/>
  <c r="D306" i="1"/>
  <c r="F404" i="1"/>
  <c r="E306" i="1"/>
  <c r="J306" i="1"/>
  <c r="H404" i="1"/>
  <c r="K306" i="1"/>
  <c r="I404" i="1"/>
  <c r="N306" i="1"/>
  <c r="K404" i="1"/>
  <c r="V308" i="1"/>
  <c r="F406" i="1"/>
  <c r="AD406" i="1"/>
  <c r="W308" i="1"/>
  <c r="G406" i="1"/>
  <c r="AE406" i="1"/>
  <c r="X308" i="1"/>
  <c r="H406" i="1"/>
  <c r="AF406" i="1"/>
  <c r="D308" i="1"/>
  <c r="AB308" i="1"/>
  <c r="L406" i="1"/>
  <c r="AJ406" i="1"/>
  <c r="E308" i="1"/>
  <c r="AC308" i="1"/>
  <c r="M406" i="1"/>
  <c r="AK406" i="1"/>
  <c r="H308" i="1"/>
  <c r="AF308" i="1"/>
  <c r="P406" i="1"/>
  <c r="AN406" i="1"/>
  <c r="I308" i="1"/>
  <c r="AG308" i="1"/>
  <c r="Q406" i="1"/>
  <c r="AO406" i="1"/>
  <c r="Q308" i="1"/>
  <c r="AO308" i="1"/>
  <c r="R308" i="1"/>
  <c r="B406" i="1"/>
  <c r="Z406" i="1"/>
  <c r="G308" i="1"/>
  <c r="AG406" i="1"/>
  <c r="AI406" i="1"/>
  <c r="J308" i="1"/>
  <c r="AH406" i="1"/>
  <c r="K308" i="1"/>
  <c r="L308" i="1"/>
  <c r="AL406" i="1"/>
  <c r="M308" i="1"/>
  <c r="AM406" i="1"/>
  <c r="N308" i="1"/>
  <c r="Q430" i="1"/>
  <c r="W406" i="1"/>
  <c r="AO402" i="1"/>
  <c r="AF328" i="1"/>
  <c r="AB304" i="1"/>
  <c r="N331" i="1"/>
  <c r="AL331" i="1"/>
  <c r="O331" i="1"/>
  <c r="AM331" i="1"/>
  <c r="P331" i="1"/>
  <c r="AN331" i="1"/>
  <c r="T331" i="1"/>
  <c r="U331" i="1"/>
  <c r="X331" i="1"/>
  <c r="Y331" i="1"/>
  <c r="J331" i="1"/>
  <c r="AH331" i="1"/>
  <c r="L331" i="1"/>
  <c r="K429" i="1"/>
  <c r="AI429" i="1"/>
  <c r="AJ429" i="1"/>
  <c r="M429" i="1"/>
  <c r="M331" i="1"/>
  <c r="L429" i="1"/>
  <c r="AL429" i="1"/>
  <c r="Q331" i="1"/>
  <c r="AK429" i="1"/>
  <c r="R331" i="1"/>
  <c r="N429" i="1"/>
  <c r="S331" i="1"/>
  <c r="O429" i="1"/>
  <c r="AM429" i="1"/>
  <c r="V331" i="1"/>
  <c r="AA429" i="1"/>
  <c r="V426" i="1"/>
  <c r="AJ419" i="1"/>
  <c r="O430" i="1"/>
  <c r="Z429" i="1"/>
  <c r="U426" i="1"/>
  <c r="AI419" i="1"/>
  <c r="B419" i="1"/>
  <c r="C418" i="1"/>
  <c r="U406" i="1"/>
  <c r="P405" i="1"/>
  <c r="AM402" i="1"/>
  <c r="B395" i="1"/>
  <c r="S332" i="1"/>
  <c r="F331" i="1"/>
  <c r="AD328" i="1"/>
  <c r="V324" i="1"/>
  <c r="AB321" i="1"/>
  <c r="T320" i="1"/>
  <c r="AA308" i="1"/>
  <c r="R307" i="1"/>
  <c r="Z304" i="1"/>
  <c r="D300" i="1"/>
  <c r="C297" i="1"/>
  <c r="V329" i="1"/>
  <c r="W329" i="1"/>
  <c r="X329" i="1"/>
  <c r="H427" i="1"/>
  <c r="AF427" i="1"/>
  <c r="D329" i="1"/>
  <c r="AB329" i="1"/>
  <c r="E329" i="1"/>
  <c r="AC329" i="1"/>
  <c r="H329" i="1"/>
  <c r="AF329" i="1"/>
  <c r="I329" i="1"/>
  <c r="AG329" i="1"/>
  <c r="Q329" i="1"/>
  <c r="AO329" i="1"/>
  <c r="R329" i="1"/>
  <c r="P329" i="1"/>
  <c r="Q427" i="1"/>
  <c r="R427" i="1"/>
  <c r="S427" i="1"/>
  <c r="S329" i="1"/>
  <c r="T329" i="1"/>
  <c r="U329" i="1"/>
  <c r="T427" i="1"/>
  <c r="Y329" i="1"/>
  <c r="U427" i="1"/>
  <c r="Z329" i="1"/>
  <c r="V305" i="1"/>
  <c r="F403" i="1"/>
  <c r="AD403" i="1"/>
  <c r="W305" i="1"/>
  <c r="G403" i="1"/>
  <c r="AE403" i="1"/>
  <c r="X305" i="1"/>
  <c r="H403" i="1"/>
  <c r="AF403" i="1"/>
  <c r="Y305" i="1"/>
  <c r="D305" i="1"/>
  <c r="AB305" i="1"/>
  <c r="L403" i="1"/>
  <c r="AJ403" i="1"/>
  <c r="E305" i="1"/>
  <c r="AC305" i="1"/>
  <c r="M403" i="1"/>
  <c r="AK403" i="1"/>
  <c r="H305" i="1"/>
  <c r="AF305" i="1"/>
  <c r="P403" i="1"/>
  <c r="AN403" i="1"/>
  <c r="I305" i="1"/>
  <c r="AG305" i="1"/>
  <c r="Q403" i="1"/>
  <c r="AO403" i="1"/>
  <c r="Q305" i="1"/>
  <c r="AO305" i="1"/>
  <c r="R305" i="1"/>
  <c r="B403" i="1"/>
  <c r="Z403" i="1"/>
  <c r="C305" i="1"/>
  <c r="I403" i="1"/>
  <c r="F305" i="1"/>
  <c r="J403" i="1"/>
  <c r="K403" i="1"/>
  <c r="G305" i="1"/>
  <c r="J305" i="1"/>
  <c r="N403" i="1"/>
  <c r="K305" i="1"/>
  <c r="O403" i="1"/>
  <c r="L305" i="1"/>
  <c r="R403" i="1"/>
  <c r="O53" i="1"/>
  <c r="M430" i="1"/>
  <c r="AG419" i="1"/>
  <c r="X321" i="1"/>
  <c r="AM296" i="1"/>
  <c r="L430" i="1"/>
  <c r="AF419" i="1"/>
  <c r="AL418" i="1"/>
  <c r="R406" i="1"/>
  <c r="M405" i="1"/>
  <c r="AJ402" i="1"/>
  <c r="AD398" i="1"/>
  <c r="AO395" i="1"/>
  <c r="AI394" i="1"/>
  <c r="G332" i="1"/>
  <c r="C331" i="1"/>
  <c r="Q328" i="1"/>
  <c r="S324" i="1"/>
  <c r="W321" i="1"/>
  <c r="G320" i="1"/>
  <c r="U308" i="1"/>
  <c r="C307" i="1"/>
  <c r="AL296" i="1"/>
  <c r="Z308" i="1"/>
  <c r="N304" i="1"/>
  <c r="AL304" i="1"/>
  <c r="V402" i="1"/>
  <c r="O304" i="1"/>
  <c r="AM304" i="1"/>
  <c r="W402" i="1"/>
  <c r="P304" i="1"/>
  <c r="AN304" i="1"/>
  <c r="X402" i="1"/>
  <c r="Q304" i="1"/>
  <c r="AO304" i="1"/>
  <c r="T304" i="1"/>
  <c r="D402" i="1"/>
  <c r="AB402" i="1"/>
  <c r="U304" i="1"/>
  <c r="E402" i="1"/>
  <c r="AC402" i="1"/>
  <c r="X304" i="1"/>
  <c r="H402" i="1"/>
  <c r="AF402" i="1"/>
  <c r="Y304" i="1"/>
  <c r="I402" i="1"/>
  <c r="AG402" i="1"/>
  <c r="I304" i="1"/>
  <c r="AG304" i="1"/>
  <c r="J304" i="1"/>
  <c r="AH304" i="1"/>
  <c r="R402" i="1"/>
  <c r="C304" i="1"/>
  <c r="M402" i="1"/>
  <c r="O402" i="1"/>
  <c r="D304" i="1"/>
  <c r="N402" i="1"/>
  <c r="E304" i="1"/>
  <c r="F304" i="1"/>
  <c r="P402" i="1"/>
  <c r="G304" i="1"/>
  <c r="Q402" i="1"/>
  <c r="H304" i="1"/>
  <c r="S402" i="1"/>
  <c r="S406" i="1"/>
  <c r="AK402" i="1"/>
  <c r="AL394" i="1"/>
  <c r="R328" i="1"/>
  <c r="J320" i="1"/>
  <c r="Y308" i="1"/>
  <c r="V304" i="1"/>
  <c r="AO430" i="1"/>
  <c r="W429" i="1"/>
  <c r="R426" i="1"/>
  <c r="AN430" i="1"/>
  <c r="K430" i="1"/>
  <c r="V429" i="1"/>
  <c r="Q426" i="1"/>
  <c r="AE419" i="1"/>
  <c r="AI418" i="1"/>
  <c r="O406" i="1"/>
  <c r="L405" i="1"/>
  <c r="AI402" i="1"/>
  <c r="AK395" i="1"/>
  <c r="AH394" i="1"/>
  <c r="F332" i="1"/>
  <c r="B331" i="1"/>
  <c r="M328" i="1"/>
  <c r="R324" i="1"/>
  <c r="V321" i="1"/>
  <c r="F320" i="1"/>
  <c r="T308" i="1"/>
  <c r="B307" i="1"/>
  <c r="R304" i="1"/>
  <c r="AK296" i="1"/>
  <c r="N325" i="1"/>
  <c r="AL325" i="1"/>
  <c r="O325" i="1"/>
  <c r="AM325" i="1"/>
  <c r="P325" i="1"/>
  <c r="AN325" i="1"/>
  <c r="X423" i="1"/>
  <c r="T325" i="1"/>
  <c r="U325" i="1"/>
  <c r="X325" i="1"/>
  <c r="Y325" i="1"/>
  <c r="I325" i="1"/>
  <c r="AG325" i="1"/>
  <c r="J325" i="1"/>
  <c r="AH325" i="1"/>
  <c r="AI325" i="1"/>
  <c r="F423" i="1"/>
  <c r="AE423" i="1"/>
  <c r="AG423" i="1"/>
  <c r="E325" i="1"/>
  <c r="AJ325" i="1"/>
  <c r="G423" i="1"/>
  <c r="AF423" i="1"/>
  <c r="H423" i="1"/>
  <c r="B325" i="1"/>
  <c r="AK325" i="1"/>
  <c r="C325" i="1"/>
  <c r="AO325" i="1"/>
  <c r="I423" i="1"/>
  <c r="AH423" i="1"/>
  <c r="D325" i="1"/>
  <c r="J423" i="1"/>
  <c r="AI423" i="1"/>
  <c r="N301" i="1"/>
  <c r="AL301" i="1"/>
  <c r="V399" i="1"/>
  <c r="O301" i="1"/>
  <c r="AM301" i="1"/>
  <c r="W399" i="1"/>
  <c r="P301" i="1"/>
  <c r="AN301" i="1"/>
  <c r="X399" i="1"/>
  <c r="Q301" i="1"/>
  <c r="AO301" i="1"/>
  <c r="T301" i="1"/>
  <c r="D399" i="1"/>
  <c r="AB399" i="1"/>
  <c r="U301" i="1"/>
  <c r="E399" i="1"/>
  <c r="AC399" i="1"/>
  <c r="X301" i="1"/>
  <c r="H399" i="1"/>
  <c r="AF399" i="1"/>
  <c r="Y301" i="1"/>
  <c r="I399" i="1"/>
  <c r="AG399" i="1"/>
  <c r="I301" i="1"/>
  <c r="AG301" i="1"/>
  <c r="J301" i="1"/>
  <c r="AH301" i="1"/>
  <c r="R399" i="1"/>
  <c r="M301" i="1"/>
  <c r="AE399" i="1"/>
  <c r="R301" i="1"/>
  <c r="AH399" i="1"/>
  <c r="S301" i="1"/>
  <c r="AI399" i="1"/>
  <c r="V301" i="1"/>
  <c r="AJ399" i="1"/>
  <c r="W301" i="1"/>
  <c r="AK399" i="1"/>
  <c r="Z301" i="1"/>
  <c r="B399" i="1"/>
  <c r="AL399" i="1"/>
  <c r="Q332" i="1"/>
  <c r="S426" i="1"/>
  <c r="J332" i="1"/>
  <c r="AM430" i="1"/>
  <c r="U429" i="1"/>
  <c r="AD419" i="1"/>
  <c r="K405" i="1"/>
  <c r="AH402" i="1"/>
  <c r="AG394" i="1"/>
  <c r="C332" i="1"/>
  <c r="U321" i="1"/>
  <c r="C320" i="1"/>
  <c r="S308" i="1"/>
  <c r="AJ296" i="1"/>
  <c r="F300" i="1"/>
  <c r="AD300" i="1"/>
  <c r="N398" i="1"/>
  <c r="AL398" i="1"/>
  <c r="G300" i="1"/>
  <c r="AE300" i="1"/>
  <c r="O398" i="1"/>
  <c r="AM398" i="1"/>
  <c r="H300" i="1"/>
  <c r="AF300" i="1"/>
  <c r="P398" i="1"/>
  <c r="AN398" i="1"/>
  <c r="I300" i="1"/>
  <c r="AG300" i="1"/>
  <c r="L300" i="1"/>
  <c r="AJ300" i="1"/>
  <c r="T398" i="1"/>
  <c r="M300" i="1"/>
  <c r="AK300" i="1"/>
  <c r="U398" i="1"/>
  <c r="P300" i="1"/>
  <c r="AN300" i="1"/>
  <c r="X398" i="1"/>
  <c r="Q300" i="1"/>
  <c r="AO300" i="1"/>
  <c r="Y398" i="1"/>
  <c r="Y300" i="1"/>
  <c r="B300" i="1"/>
  <c r="Z300" i="1"/>
  <c r="J398" i="1"/>
  <c r="AH398" i="1"/>
  <c r="O300" i="1"/>
  <c r="AG398" i="1"/>
  <c r="C398" i="1"/>
  <c r="R300" i="1"/>
  <c r="B398" i="1"/>
  <c r="AI398" i="1"/>
  <c r="S300" i="1"/>
  <c r="AJ398" i="1"/>
  <c r="T300" i="1"/>
  <c r="D398" i="1"/>
  <c r="AK398" i="1"/>
  <c r="U300" i="1"/>
  <c r="E398" i="1"/>
  <c r="AO398" i="1"/>
  <c r="V300" i="1"/>
  <c r="F398" i="1"/>
  <c r="AL430" i="1"/>
  <c r="T429" i="1"/>
  <c r="O426" i="1"/>
  <c r="F422" i="1"/>
  <c r="AG418" i="1"/>
  <c r="K406" i="1"/>
  <c r="J405" i="1"/>
  <c r="AE402" i="1"/>
  <c r="AA398" i="1"/>
  <c r="AI395" i="1"/>
  <c r="AC394" i="1"/>
  <c r="B332" i="1"/>
  <c r="T321" i="1"/>
  <c r="B320" i="1"/>
  <c r="P308" i="1"/>
  <c r="AL306" i="1"/>
  <c r="L304" i="1"/>
  <c r="F301" i="1"/>
  <c r="AI296" i="1"/>
  <c r="AX88" i="1"/>
  <c r="AY88" i="1"/>
  <c r="AZ88" i="1"/>
  <c r="BA88" i="1"/>
  <c r="AJ88" i="1"/>
  <c r="AK88" i="1"/>
  <c r="AS88" i="1"/>
  <c r="AT88" i="1"/>
  <c r="AM88" i="1"/>
  <c r="AN88" i="1"/>
  <c r="AO88" i="1"/>
  <c r="AP88" i="1"/>
  <c r="AQ88" i="1"/>
  <c r="AR88" i="1"/>
  <c r="N328" i="1"/>
  <c r="AL328" i="1"/>
  <c r="O328" i="1"/>
  <c r="AM328" i="1"/>
  <c r="P328" i="1"/>
  <c r="AN328" i="1"/>
  <c r="X426" i="1"/>
  <c r="T328" i="1"/>
  <c r="U328" i="1"/>
  <c r="X328" i="1"/>
  <c r="Y328" i="1"/>
  <c r="I328" i="1"/>
  <c r="AG328" i="1"/>
  <c r="J328" i="1"/>
  <c r="AH328" i="1"/>
  <c r="S328" i="1"/>
  <c r="G426" i="1"/>
  <c r="AF426" i="1"/>
  <c r="H426" i="1"/>
  <c r="V328" i="1"/>
  <c r="AG426" i="1"/>
  <c r="I426" i="1"/>
  <c r="AI426" i="1"/>
  <c r="W328" i="1"/>
  <c r="AH426" i="1"/>
  <c r="Z328" i="1"/>
  <c r="J426" i="1"/>
  <c r="AA328" i="1"/>
  <c r="K426" i="1"/>
  <c r="AJ426" i="1"/>
  <c r="AB328" i="1"/>
  <c r="J430" i="1"/>
  <c r="P426" i="1"/>
  <c r="AH418" i="1"/>
  <c r="N406" i="1"/>
  <c r="AJ395" i="1"/>
  <c r="L328" i="1"/>
  <c r="M304" i="1"/>
  <c r="F324" i="1"/>
  <c r="AD324" i="1"/>
  <c r="G324" i="1"/>
  <c r="AE324" i="1"/>
  <c r="H324" i="1"/>
  <c r="AF324" i="1"/>
  <c r="P422" i="1"/>
  <c r="AN422" i="1"/>
  <c r="L324" i="1"/>
  <c r="AJ324" i="1"/>
  <c r="T422" i="1"/>
  <c r="M324" i="1"/>
  <c r="AK324" i="1"/>
  <c r="U422" i="1"/>
  <c r="P324" i="1"/>
  <c r="AN324" i="1"/>
  <c r="Q324" i="1"/>
  <c r="AO324" i="1"/>
  <c r="Y324" i="1"/>
  <c r="B324" i="1"/>
  <c r="Z324" i="1"/>
  <c r="AL324" i="1"/>
  <c r="S422" i="1"/>
  <c r="V422" i="1"/>
  <c r="W422" i="1"/>
  <c r="AM324" i="1"/>
  <c r="C324" i="1"/>
  <c r="X422" i="1"/>
  <c r="D324" i="1"/>
  <c r="Y422" i="1"/>
  <c r="E324" i="1"/>
  <c r="BB89" i="1"/>
  <c r="AJ89" i="1"/>
  <c r="AK89" i="1"/>
  <c r="AN89" i="1"/>
  <c r="AO89" i="1"/>
  <c r="AW89" i="1"/>
  <c r="AX89" i="1"/>
  <c r="AL89" i="1"/>
  <c r="I430" i="1"/>
  <c r="AL422" i="1"/>
  <c r="AC419" i="1"/>
  <c r="AK430" i="1"/>
  <c r="H430" i="1"/>
  <c r="S429" i="1"/>
  <c r="N426" i="1"/>
  <c r="AB423" i="1"/>
  <c r="AK422" i="1"/>
  <c r="E422" i="1"/>
  <c r="AB419" i="1"/>
  <c r="AD418" i="1"/>
  <c r="J406" i="1"/>
  <c r="AK404" i="1"/>
  <c r="AD402" i="1"/>
  <c r="AD399" i="1"/>
  <c r="Z398" i="1"/>
  <c r="AB394" i="1"/>
  <c r="AO331" i="1"/>
  <c r="AI330" i="1"/>
  <c r="AA329" i="1"/>
  <c r="H328" i="1"/>
  <c r="S325" i="1"/>
  <c r="K324" i="1"/>
  <c r="O308" i="1"/>
  <c r="AI306" i="1"/>
  <c r="U305" i="1"/>
  <c r="K304" i="1"/>
  <c r="E301" i="1"/>
  <c r="AH296" i="1"/>
  <c r="F308" i="1"/>
  <c r="S192" i="1"/>
  <c r="Y192" i="1" s="1"/>
  <c r="U192" i="1"/>
  <c r="W192" i="1" s="1"/>
  <c r="K192" i="1"/>
  <c r="AG192" i="1" s="1"/>
  <c r="O192" i="1"/>
  <c r="AC192" i="1" s="1"/>
  <c r="Q192" i="1"/>
  <c r="AA192" i="1" s="1"/>
  <c r="F321" i="1"/>
  <c r="AD321" i="1"/>
  <c r="G321" i="1"/>
  <c r="AE321" i="1"/>
  <c r="O419" i="1"/>
  <c r="H321" i="1"/>
  <c r="AF321" i="1"/>
  <c r="P419" i="1"/>
  <c r="AN419" i="1"/>
  <c r="L321" i="1"/>
  <c r="AJ321" i="1"/>
  <c r="T419" i="1"/>
  <c r="M321" i="1"/>
  <c r="AK321" i="1"/>
  <c r="U419" i="1"/>
  <c r="P321" i="1"/>
  <c r="AN321" i="1"/>
  <c r="Q321" i="1"/>
  <c r="AO321" i="1"/>
  <c r="Y321" i="1"/>
  <c r="B321" i="1"/>
  <c r="Z321" i="1"/>
  <c r="J321" i="1"/>
  <c r="M419" i="1"/>
  <c r="Q419" i="1"/>
  <c r="K321" i="1"/>
  <c r="N419" i="1"/>
  <c r="N321" i="1"/>
  <c r="O321" i="1"/>
  <c r="R419" i="1"/>
  <c r="R321" i="1"/>
  <c r="S419" i="1"/>
  <c r="S321" i="1"/>
  <c r="F297" i="1"/>
  <c r="AD297" i="1"/>
  <c r="N395" i="1"/>
  <c r="AL395" i="1"/>
  <c r="G297" i="1"/>
  <c r="AE297" i="1"/>
  <c r="O395" i="1"/>
  <c r="AM395" i="1"/>
  <c r="H297" i="1"/>
  <c r="AF297" i="1"/>
  <c r="P395" i="1"/>
  <c r="AN395" i="1"/>
  <c r="I297" i="1"/>
  <c r="AG297" i="1"/>
  <c r="L297" i="1"/>
  <c r="AJ297" i="1"/>
  <c r="T395" i="1"/>
  <c r="M297" i="1"/>
  <c r="AK297" i="1"/>
  <c r="U395" i="1"/>
  <c r="P297" i="1"/>
  <c r="AN297" i="1"/>
  <c r="X395" i="1"/>
  <c r="Q297" i="1"/>
  <c r="AO297" i="1"/>
  <c r="Y395" i="1"/>
  <c r="Y297" i="1"/>
  <c r="B297" i="1"/>
  <c r="Z297" i="1"/>
  <c r="J395" i="1"/>
  <c r="AH395" i="1"/>
  <c r="V297" i="1"/>
  <c r="Q395" i="1"/>
  <c r="W297" i="1"/>
  <c r="R395" i="1"/>
  <c r="X297" i="1"/>
  <c r="S395" i="1"/>
  <c r="AA297" i="1"/>
  <c r="V395" i="1"/>
  <c r="AB297" i="1"/>
  <c r="W395" i="1"/>
  <c r="AC297" i="1"/>
  <c r="Z395" i="1"/>
  <c r="E188" i="1"/>
  <c r="AH430" i="1"/>
  <c r="E430" i="1"/>
  <c r="P429" i="1"/>
  <c r="AO426" i="1"/>
  <c r="F426" i="1"/>
  <c r="Y419" i="1"/>
  <c r="V418" i="1"/>
  <c r="D406" i="1"/>
  <c r="Y402" i="1"/>
  <c r="AD395" i="1"/>
  <c r="R394" i="1"/>
  <c r="AN332" i="1"/>
  <c r="AI331" i="1"/>
  <c r="E328" i="1"/>
  <c r="C321" i="1"/>
  <c r="B308" i="1"/>
  <c r="AM297" i="1"/>
  <c r="O296" i="1"/>
  <c r="AZ89" i="1"/>
  <c r="C308" i="1"/>
  <c r="D430" i="1"/>
  <c r="Q75" i="1"/>
  <c r="O73" i="1"/>
  <c r="Q73" i="1"/>
  <c r="O72" i="1"/>
  <c r="Q72" i="1"/>
  <c r="O74" i="1"/>
  <c r="Q74" i="1"/>
  <c r="O75" i="1"/>
  <c r="AM426" i="1"/>
  <c r="AF331" i="1"/>
  <c r="M296" i="1"/>
  <c r="AV89" i="1"/>
  <c r="AE430" i="1"/>
  <c r="AK332" i="1"/>
  <c r="W306" i="1"/>
  <c r="AH297" i="1"/>
  <c r="AD430" i="1"/>
  <c r="AO429" i="1"/>
  <c r="G429" i="1"/>
  <c r="R428" i="1"/>
  <c r="AA427" i="1"/>
  <c r="AK426" i="1"/>
  <c r="B426" i="1"/>
  <c r="T423" i="1"/>
  <c r="AD422" i="1"/>
  <c r="L419" i="1"/>
  <c r="R418" i="1"/>
  <c r="AH405" i="1"/>
  <c r="AC404" i="1"/>
  <c r="W403" i="1"/>
  <c r="K402" i="1"/>
  <c r="Q399" i="1"/>
  <c r="L398" i="1"/>
  <c r="M395" i="1"/>
  <c r="J394" i="1"/>
  <c r="AJ332" i="1"/>
  <c r="AD331" i="1"/>
  <c r="O330" i="1"/>
  <c r="G329" i="1"/>
  <c r="G325" i="1"/>
  <c r="AK320" i="1"/>
  <c r="AF307" i="1"/>
  <c r="V306" i="1"/>
  <c r="B305" i="1"/>
  <c r="AH300" i="1"/>
  <c r="U297" i="1"/>
  <c r="K296" i="1"/>
  <c r="F315" i="1"/>
  <c r="AD315" i="1"/>
  <c r="N413" i="1"/>
  <c r="G315" i="1"/>
  <c r="AE315" i="1"/>
  <c r="O413" i="1"/>
  <c r="AM413" i="1"/>
  <c r="H315" i="1"/>
  <c r="AF315" i="1"/>
  <c r="P413" i="1"/>
  <c r="AN413" i="1"/>
  <c r="L315" i="1"/>
  <c r="AJ315" i="1"/>
  <c r="T413" i="1"/>
  <c r="M315" i="1"/>
  <c r="AK315" i="1"/>
  <c r="U413" i="1"/>
  <c r="P315" i="1"/>
  <c r="AN315" i="1"/>
  <c r="X413" i="1"/>
  <c r="Q315" i="1"/>
  <c r="AO315" i="1"/>
  <c r="Y315" i="1"/>
  <c r="B315" i="1"/>
  <c r="Z315" i="1"/>
  <c r="U315" i="1"/>
  <c r="Y413" i="1"/>
  <c r="W315" i="1"/>
  <c r="V315" i="1"/>
  <c r="Z413" i="1"/>
  <c r="AA413" i="1"/>
  <c r="X315" i="1"/>
  <c r="AB413" i="1"/>
  <c r="AA315" i="1"/>
  <c r="AC413" i="1"/>
  <c r="AB315" i="1"/>
  <c r="AT89" i="1"/>
  <c r="E406" i="1"/>
  <c r="X419" i="1"/>
  <c r="C406" i="1"/>
  <c r="O394" i="1"/>
  <c r="AM332" i="1"/>
  <c r="D328" i="1"/>
  <c r="AF422" i="1"/>
  <c r="W419" i="1"/>
  <c r="Q398" i="1"/>
  <c r="C328" i="1"/>
  <c r="AM320" i="1"/>
  <c r="H429" i="1"/>
  <c r="C426" i="1"/>
  <c r="M398" i="1"/>
  <c r="K394" i="1"/>
  <c r="AE331" i="1"/>
  <c r="H325" i="1"/>
  <c r="AL320" i="1"/>
  <c r="M305" i="1"/>
  <c r="AI300" i="1"/>
  <c r="AN429" i="1"/>
  <c r="Z427" i="1"/>
  <c r="K419" i="1"/>
  <c r="Q418" i="1"/>
  <c r="AE405" i="1"/>
  <c r="V403" i="1"/>
  <c r="J402" i="1"/>
  <c r="P399" i="1"/>
  <c r="L395" i="1"/>
  <c r="I394" i="1"/>
  <c r="AI332" i="1"/>
  <c r="AC331" i="1"/>
  <c r="N330" i="1"/>
  <c r="F329" i="1"/>
  <c r="F325" i="1"/>
  <c r="AJ320" i="1"/>
  <c r="AN308" i="1"/>
  <c r="AE307" i="1"/>
  <c r="U306" i="1"/>
  <c r="AK304" i="1"/>
  <c r="AC300" i="1"/>
  <c r="T297" i="1"/>
  <c r="J296" i="1"/>
  <c r="AS89" i="1"/>
  <c r="F328" i="1"/>
  <c r="J429" i="1"/>
  <c r="U418" i="1"/>
  <c r="AC395" i="1"/>
  <c r="AF430" i="1"/>
  <c r="D426" i="1"/>
  <c r="AL300" i="1"/>
  <c r="AL426" i="1"/>
  <c r="S399" i="1"/>
  <c r="AU89" i="1"/>
  <c r="F429" i="1"/>
  <c r="K398" i="1"/>
  <c r="AH429" i="1"/>
  <c r="O428" i="1"/>
  <c r="AD426" i="1"/>
  <c r="AB422" i="1"/>
  <c r="J419" i="1"/>
  <c r="O418" i="1"/>
  <c r="AD405" i="1"/>
  <c r="AA404" i="1"/>
  <c r="U403" i="1"/>
  <c r="G402" i="1"/>
  <c r="O399" i="1"/>
  <c r="I398" i="1"/>
  <c r="K395" i="1"/>
  <c r="E394" i="1"/>
  <c r="AH332" i="1"/>
  <c r="AB331" i="1"/>
  <c r="K330" i="1"/>
  <c r="C329" i="1"/>
  <c r="AI324" i="1"/>
  <c r="AM308" i="1"/>
  <c r="AD307" i="1"/>
  <c r="T306" i="1"/>
  <c r="AJ304" i="1"/>
  <c r="AB300" i="1"/>
  <c r="S297" i="1"/>
  <c r="G296" i="1"/>
  <c r="AR89" i="1"/>
  <c r="Z402" i="1"/>
  <c r="V320" i="1"/>
  <c r="W320" i="1"/>
  <c r="G418" i="1"/>
  <c r="AE418" i="1"/>
  <c r="X320" i="1"/>
  <c r="H418" i="1"/>
  <c r="AF418" i="1"/>
  <c r="D320" i="1"/>
  <c r="AB320" i="1"/>
  <c r="L418" i="1"/>
  <c r="AJ418" i="1"/>
  <c r="E320" i="1"/>
  <c r="AC320" i="1"/>
  <c r="M418" i="1"/>
  <c r="AK418" i="1"/>
  <c r="H320" i="1"/>
  <c r="AF320" i="1"/>
  <c r="P418" i="1"/>
  <c r="AN418" i="1"/>
  <c r="I320" i="1"/>
  <c r="AG320" i="1"/>
  <c r="Q320" i="1"/>
  <c r="AO320" i="1"/>
  <c r="R320" i="1"/>
  <c r="L320" i="1"/>
  <c r="X418" i="1"/>
  <c r="Z418" i="1"/>
  <c r="M320" i="1"/>
  <c r="Y418" i="1"/>
  <c r="N320" i="1"/>
  <c r="O320" i="1"/>
  <c r="AA418" i="1"/>
  <c r="P320" i="1"/>
  <c r="AB418" i="1"/>
  <c r="S320" i="1"/>
  <c r="AG430" i="1"/>
  <c r="AK307" i="1"/>
  <c r="AL297" i="1"/>
  <c r="AJ405" i="1"/>
  <c r="AI297" i="1"/>
  <c r="S428" i="1"/>
  <c r="AE422" i="1"/>
  <c r="V419" i="1"/>
  <c r="AI405" i="1"/>
  <c r="AA395" i="1"/>
  <c r="X330" i="1"/>
  <c r="AE426" i="1"/>
  <c r="AG429" i="1"/>
  <c r="N428" i="1"/>
  <c r="AC426" i="1"/>
  <c r="Q423" i="1"/>
  <c r="AA422" i="1"/>
  <c r="I419" i="1"/>
  <c r="N418" i="1"/>
  <c r="AC406" i="1"/>
  <c r="AA405" i="1"/>
  <c r="Z404" i="1"/>
  <c r="T403" i="1"/>
  <c r="F402" i="1"/>
  <c r="N399" i="1"/>
  <c r="H398" i="1"/>
  <c r="I395" i="1"/>
  <c r="D394" i="1"/>
  <c r="AE332" i="1"/>
  <c r="AA331" i="1"/>
  <c r="J330" i="1"/>
  <c r="B329" i="1"/>
  <c r="AH324" i="1"/>
  <c r="AH320" i="1"/>
  <c r="AL308" i="1"/>
  <c r="AC307" i="1"/>
  <c r="S306" i="1"/>
  <c r="AI304" i="1"/>
  <c r="AK301" i="1"/>
  <c r="AA300" i="1"/>
  <c r="R297" i="1"/>
  <c r="F296" i="1"/>
  <c r="AQ89" i="1"/>
  <c r="AI430" i="1"/>
  <c r="L426" i="1"/>
  <c r="AO332" i="1"/>
  <c r="E426" i="1"/>
  <c r="AG331" i="1"/>
  <c r="N296" i="1"/>
  <c r="C430" i="1"/>
  <c r="T402" i="1"/>
  <c r="N394" i="1"/>
  <c r="AL332" i="1"/>
  <c r="AJ307" i="1"/>
  <c r="S418" i="1"/>
  <c r="AD404" i="1"/>
  <c r="B328" i="1"/>
  <c r="AI307" i="1"/>
  <c r="L296" i="1"/>
  <c r="AC430" i="1"/>
  <c r="Q428" i="1"/>
  <c r="AC422" i="1"/>
  <c r="AB404" i="1"/>
  <c r="R423" i="1"/>
  <c r="AA430" i="1"/>
  <c r="D429" i="1"/>
  <c r="X427" i="1"/>
  <c r="Z430" i="1"/>
  <c r="AF429" i="1"/>
  <c r="C429" i="1"/>
  <c r="M428" i="1"/>
  <c r="W427" i="1"/>
  <c r="AB426" i="1"/>
  <c r="P423" i="1"/>
  <c r="Z422" i="1"/>
  <c r="H419" i="1"/>
  <c r="K418" i="1"/>
  <c r="AB406" i="1"/>
  <c r="Z405" i="1"/>
  <c r="W404" i="1"/>
  <c r="S403" i="1"/>
  <c r="C402" i="1"/>
  <c r="M399" i="1"/>
  <c r="G398" i="1"/>
  <c r="H395" i="1"/>
  <c r="C394" i="1"/>
  <c r="AD332" i="1"/>
  <c r="Z331" i="1"/>
  <c r="I330" i="1"/>
  <c r="AO328" i="1"/>
  <c r="AG324" i="1"/>
  <c r="AM321" i="1"/>
  <c r="AE320" i="1"/>
  <c r="AK308" i="1"/>
  <c r="AB307" i="1"/>
  <c r="R306" i="1"/>
  <c r="AF304" i="1"/>
  <c r="AJ301" i="1"/>
  <c r="X300" i="1"/>
  <c r="O297" i="1"/>
  <c r="AP89" i="1"/>
  <c r="I406" i="1"/>
  <c r="F430" i="1"/>
  <c r="V296" i="1"/>
  <c r="F394" i="1"/>
  <c r="AD394" i="1"/>
  <c r="W296" i="1"/>
  <c r="G394" i="1"/>
  <c r="AE394" i="1"/>
  <c r="X296" i="1"/>
  <c r="H394" i="1"/>
  <c r="AF394" i="1"/>
  <c r="Y296" i="1"/>
  <c r="D296" i="1"/>
  <c r="AB296" i="1"/>
  <c r="L394" i="1"/>
  <c r="AJ394" i="1"/>
  <c r="E296" i="1"/>
  <c r="AC296" i="1"/>
  <c r="M394" i="1"/>
  <c r="AK394" i="1"/>
  <c r="H296" i="1"/>
  <c r="AF296" i="1"/>
  <c r="P394" i="1"/>
  <c r="AN394" i="1"/>
  <c r="I296" i="1"/>
  <c r="AG296" i="1"/>
  <c r="Q394" i="1"/>
  <c r="AO394" i="1"/>
  <c r="Q296" i="1"/>
  <c r="AO296" i="1"/>
  <c r="R296" i="1"/>
  <c r="B394" i="1"/>
  <c r="Z394" i="1"/>
  <c r="T296" i="1"/>
  <c r="U394" i="1"/>
  <c r="U296" i="1"/>
  <c r="V394" i="1"/>
  <c r="Z296" i="1"/>
  <c r="W394" i="1"/>
  <c r="AA296" i="1"/>
  <c r="X394" i="1"/>
  <c r="AD296" i="1"/>
  <c r="Y394" i="1"/>
  <c r="AE296" i="1"/>
  <c r="AA394" i="1"/>
  <c r="AN426" i="1"/>
  <c r="U402" i="1"/>
  <c r="AN320" i="1"/>
  <c r="I429" i="1"/>
  <c r="T418" i="1"/>
  <c r="AB395" i="1"/>
  <c r="B430" i="1"/>
  <c r="U423" i="1"/>
  <c r="L402" i="1"/>
  <c r="S423" i="1"/>
  <c r="AB430" i="1"/>
  <c r="E429" i="1"/>
  <c r="Y427" i="1"/>
  <c r="Y430" i="1"/>
  <c r="AE429" i="1"/>
  <c r="B429" i="1"/>
  <c r="L428" i="1"/>
  <c r="V427" i="1"/>
  <c r="AA426" i="1"/>
  <c r="O423" i="1"/>
  <c r="R422" i="1"/>
  <c r="AO419" i="1"/>
  <c r="G419" i="1"/>
  <c r="J418" i="1"/>
  <c r="AA406" i="1"/>
  <c r="Y405" i="1"/>
  <c r="V404" i="1"/>
  <c r="E403" i="1"/>
  <c r="B402" i="1"/>
  <c r="L399" i="1"/>
  <c r="G395" i="1"/>
  <c r="AA332" i="1"/>
  <c r="W331" i="1"/>
  <c r="E330" i="1"/>
  <c r="AK328" i="1"/>
  <c r="AC324" i="1"/>
  <c r="AL321" i="1"/>
  <c r="AD320" i="1"/>
  <c r="AJ308" i="1"/>
  <c r="AA307" i="1"/>
  <c r="O306" i="1"/>
  <c r="AE304" i="1"/>
  <c r="AI301" i="1"/>
  <c r="W300" i="1"/>
  <c r="N297" i="1"/>
  <c r="B296" i="1"/>
  <c r="AM89" i="1"/>
  <c r="V314" i="1"/>
  <c r="F412" i="1"/>
  <c r="AD412" i="1"/>
  <c r="W314" i="1"/>
  <c r="G412" i="1"/>
  <c r="AE412" i="1"/>
  <c r="X314" i="1"/>
  <c r="H412" i="1"/>
  <c r="AF412" i="1"/>
  <c r="D314" i="1"/>
  <c r="AB314" i="1"/>
  <c r="L412" i="1"/>
  <c r="AJ412" i="1"/>
  <c r="E314" i="1"/>
  <c r="AC314" i="1"/>
  <c r="M412" i="1"/>
  <c r="AK412" i="1"/>
  <c r="H314" i="1"/>
  <c r="AF314" i="1"/>
  <c r="P412" i="1"/>
  <c r="AN412" i="1"/>
  <c r="I314" i="1"/>
  <c r="AG314" i="1"/>
  <c r="Q412" i="1"/>
  <c r="Q314" i="1"/>
  <c r="AO314" i="1"/>
  <c r="R314" i="1"/>
  <c r="AL412" i="1"/>
  <c r="B412" i="1"/>
  <c r="AD314" i="1"/>
  <c r="N313" i="1"/>
  <c r="AL313" i="1"/>
  <c r="V411" i="1"/>
  <c r="O313" i="1"/>
  <c r="AM313" i="1"/>
  <c r="W411" i="1"/>
  <c r="P313" i="1"/>
  <c r="AN313" i="1"/>
  <c r="X411" i="1"/>
  <c r="T313" i="1"/>
  <c r="D411" i="1"/>
  <c r="AB411" i="1"/>
  <c r="U313" i="1"/>
  <c r="E411" i="1"/>
  <c r="AC411" i="1"/>
  <c r="X313" i="1"/>
  <c r="H411" i="1"/>
  <c r="AF411" i="1"/>
  <c r="Y313" i="1"/>
  <c r="I411" i="1"/>
  <c r="AG411" i="1"/>
  <c r="I313" i="1"/>
  <c r="AG313" i="1"/>
  <c r="J313" i="1"/>
  <c r="AH313" i="1"/>
  <c r="AI412" i="1"/>
  <c r="AA314" i="1"/>
  <c r="Z314" i="1"/>
  <c r="AG412" i="1"/>
  <c r="Y314" i="1"/>
  <c r="N310" i="1"/>
  <c r="AL310" i="1"/>
  <c r="V408" i="1"/>
  <c r="O310" i="1"/>
  <c r="AM310" i="1"/>
  <c r="W408" i="1"/>
  <c r="P310" i="1"/>
  <c r="AN310" i="1"/>
  <c r="X408" i="1"/>
  <c r="T310" i="1"/>
  <c r="D408" i="1"/>
  <c r="AB408" i="1"/>
  <c r="U310" i="1"/>
  <c r="E408" i="1"/>
  <c r="AC408" i="1"/>
  <c r="X310" i="1"/>
  <c r="H408" i="1"/>
  <c r="AF408" i="1"/>
  <c r="Y310" i="1"/>
  <c r="I408" i="1"/>
  <c r="AG408" i="1"/>
  <c r="I310" i="1"/>
  <c r="AG310" i="1"/>
  <c r="J310" i="1"/>
  <c r="AH310" i="1"/>
  <c r="AH412" i="1"/>
  <c r="AC412" i="1"/>
  <c r="U314" i="1"/>
  <c r="F309" i="1"/>
  <c r="AD309" i="1"/>
  <c r="N407" i="1"/>
  <c r="AL407" i="1"/>
  <c r="G309" i="1"/>
  <c r="AE309" i="1"/>
  <c r="O407" i="1"/>
  <c r="AM407" i="1"/>
  <c r="H309" i="1"/>
  <c r="AF309" i="1"/>
  <c r="P407" i="1"/>
  <c r="AN407" i="1"/>
  <c r="L309" i="1"/>
  <c r="AJ309" i="1"/>
  <c r="T407" i="1"/>
  <c r="M309" i="1"/>
  <c r="AK309" i="1"/>
  <c r="U407" i="1"/>
  <c r="P309" i="1"/>
  <c r="AN309" i="1"/>
  <c r="X407" i="1"/>
  <c r="Q309" i="1"/>
  <c r="AO309" i="1"/>
  <c r="Y407" i="1"/>
  <c r="Y309" i="1"/>
  <c r="B309" i="1"/>
  <c r="Z309" i="1"/>
  <c r="J407" i="1"/>
  <c r="B5" i="1"/>
  <c r="B6" i="1" s="1"/>
  <c r="U19" i="1"/>
  <c r="X19" i="1"/>
  <c r="AD19" i="1" s="1"/>
  <c r="R16" i="1"/>
  <c r="T16" i="1" s="1"/>
  <c r="S16" i="1" s="1"/>
  <c r="P17" i="1"/>
  <c r="T17" i="1" s="1"/>
  <c r="S17" i="1" s="1"/>
  <c r="O19" i="1"/>
  <c r="V87" i="1"/>
  <c r="U87" i="1"/>
  <c r="AG393" i="1"/>
  <c r="I393" i="1"/>
  <c r="Y319" i="1"/>
  <c r="AO312" i="1"/>
  <c r="Q312" i="1"/>
  <c r="AG311" i="1"/>
  <c r="I311" i="1"/>
  <c r="Y295" i="1"/>
  <c r="AW91" i="1"/>
  <c r="AS90" i="1"/>
  <c r="AG86" i="1"/>
  <c r="B36" i="1"/>
  <c r="AF393" i="1"/>
  <c r="H393" i="1"/>
  <c r="X319" i="1"/>
  <c r="AN312" i="1"/>
  <c r="P312" i="1"/>
  <c r="AF311" i="1"/>
  <c r="H311" i="1"/>
  <c r="X295" i="1"/>
  <c r="AV91" i="1"/>
  <c r="AR90" i="1"/>
  <c r="AF86" i="1"/>
  <c r="R15" i="1"/>
  <c r="T15" i="1" s="1"/>
  <c r="S15" i="1" s="1"/>
  <c r="AC393" i="1"/>
  <c r="E393" i="1"/>
  <c r="U319" i="1"/>
  <c r="AK312" i="1"/>
  <c r="M312" i="1"/>
  <c r="AC311" i="1"/>
  <c r="E311" i="1"/>
  <c r="U295" i="1"/>
  <c r="AG87" i="1"/>
  <c r="AC86" i="1"/>
  <c r="T72" i="1"/>
  <c r="S72" i="1" s="1"/>
  <c r="AT78" i="1" s="1"/>
  <c r="Y19" i="1"/>
  <c r="AC19" i="1" s="1"/>
  <c r="AB393" i="1"/>
  <c r="D393" i="1"/>
  <c r="T319" i="1"/>
  <c r="AJ312" i="1"/>
  <c r="L312" i="1"/>
  <c r="AB311" i="1"/>
  <c r="D311" i="1"/>
  <c r="T295" i="1"/>
  <c r="AF87" i="1"/>
  <c r="AB86" i="1"/>
  <c r="AN319" i="1"/>
  <c r="P319" i="1"/>
  <c r="X311" i="1"/>
  <c r="AN295" i="1"/>
  <c r="P295" i="1"/>
  <c r="AB87" i="1"/>
  <c r="W393" i="1"/>
  <c r="AM319" i="1"/>
  <c r="O319" i="1"/>
  <c r="AE312" i="1"/>
  <c r="G312" i="1"/>
  <c r="W311" i="1"/>
  <c r="AM295" i="1"/>
  <c r="O295" i="1"/>
  <c r="AM91" i="1"/>
  <c r="AA87" i="1"/>
  <c r="W86" i="1"/>
  <c r="V393" i="1"/>
  <c r="AL319" i="1"/>
  <c r="AD312" i="1"/>
  <c r="AL295" i="1"/>
  <c r="AJ102" i="1"/>
  <c r="L103" i="1"/>
  <c r="P52" i="1"/>
  <c r="O52" i="1"/>
  <c r="P73" i="1"/>
  <c r="T54" i="1"/>
  <c r="S54" i="1" s="1"/>
  <c r="AL60" i="1" s="1"/>
  <c r="R75" i="1"/>
  <c r="AI60" i="1"/>
  <c r="V60" i="1"/>
  <c r="AU60" i="1"/>
  <c r="BA60" i="1"/>
  <c r="BB60" i="1"/>
  <c r="AJ60" i="1"/>
  <c r="AY60" i="1"/>
  <c r="AK60" i="1"/>
  <c r="AE60" i="1"/>
  <c r="BC60" i="1"/>
  <c r="AF60" i="1"/>
  <c r="D104" i="1"/>
  <c r="AH103" i="1"/>
  <c r="T102" i="1"/>
  <c r="AG103" i="1"/>
  <c r="P75" i="1"/>
  <c r="R74" i="1"/>
  <c r="AI104" i="1"/>
  <c r="U103" i="1"/>
  <c r="AJ103" i="1"/>
  <c r="I103" i="1"/>
  <c r="F103" i="1"/>
  <c r="F104" i="1"/>
  <c r="S104" i="1"/>
  <c r="R104" i="1"/>
  <c r="AB103" i="1"/>
  <c r="AN102" i="1"/>
  <c r="Z103" i="1"/>
  <c r="AX78" i="1"/>
  <c r="R78" i="1"/>
  <c r="BA78" i="1"/>
  <c r="AD78" i="1"/>
  <c r="AG78" i="1"/>
  <c r="AJ78" i="1"/>
  <c r="O78" i="1"/>
  <c r="U78" i="1"/>
  <c r="AS78" i="1"/>
  <c r="Y78" i="1"/>
  <c r="AM103" i="1"/>
  <c r="V104" i="1"/>
  <c r="T51" i="1"/>
  <c r="S51" i="1"/>
  <c r="R52" i="1" l="1"/>
  <c r="P53" i="1"/>
  <c r="T53" i="1" s="1"/>
  <c r="S53" i="1" s="1"/>
  <c r="P104" i="1"/>
  <c r="AL103" i="1"/>
  <c r="AM78" i="1"/>
  <c r="AP78" i="1"/>
  <c r="AD103" i="1"/>
  <c r="B102" i="1"/>
  <c r="AL104" i="1"/>
  <c r="Z102" i="1"/>
  <c r="AK102" i="1"/>
  <c r="O102" i="1"/>
  <c r="R102" i="1"/>
  <c r="R103" i="1"/>
  <c r="AE102" i="1"/>
  <c r="Z78" i="1"/>
  <c r="AF104" i="1"/>
  <c r="E104" i="1"/>
  <c r="G102" i="1"/>
  <c r="J104" i="1"/>
  <c r="AA102" i="1"/>
  <c r="AI78" i="1"/>
  <c r="C103" i="1"/>
  <c r="Y103" i="1"/>
  <c r="Z104" i="1"/>
  <c r="O103" i="1"/>
  <c r="AH78" i="1"/>
  <c r="AL102" i="1"/>
  <c r="AE103" i="1"/>
  <c r="S103" i="1"/>
  <c r="AM104" i="1"/>
  <c r="AA104" i="1"/>
  <c r="AF78" i="1"/>
  <c r="D103" i="1"/>
  <c r="AN104" i="1"/>
  <c r="AB102" i="1"/>
  <c r="AN103" i="1"/>
  <c r="AU78" i="1"/>
  <c r="X102" i="1"/>
  <c r="W104" i="1"/>
  <c r="P103" i="1"/>
  <c r="I102" i="1"/>
  <c r="AA103" i="1"/>
  <c r="AL78" i="1"/>
  <c r="L104" i="1"/>
  <c r="N104" i="1"/>
  <c r="T104" i="1"/>
  <c r="V78" i="1"/>
  <c r="Q103" i="1"/>
  <c r="AH102" i="1"/>
  <c r="AK78" i="1"/>
  <c r="AG104" i="1"/>
  <c r="AM102" i="1"/>
  <c r="V102" i="1"/>
  <c r="AG102" i="1"/>
  <c r="W102" i="1"/>
  <c r="O104" i="1"/>
  <c r="K103" i="1"/>
  <c r="AO103" i="1"/>
  <c r="P74" i="1"/>
  <c r="C104" i="1"/>
  <c r="AF102" i="1"/>
  <c r="Y104" i="1"/>
  <c r="AE78" i="1"/>
  <c r="K102" i="1"/>
  <c r="AE104" i="1"/>
  <c r="T103" i="1"/>
  <c r="X104" i="1"/>
  <c r="M104" i="1"/>
  <c r="AW78" i="1"/>
  <c r="BB78" i="1"/>
  <c r="L102" i="1"/>
  <c r="E103" i="1"/>
  <c r="AH104" i="1"/>
  <c r="S102" i="1"/>
  <c r="AR78" i="1"/>
  <c r="V103" i="1"/>
  <c r="AB78" i="1"/>
  <c r="AD104" i="1"/>
  <c r="AC103" i="1"/>
  <c r="AC78" i="1"/>
  <c r="D102" i="1"/>
  <c r="E102" i="1"/>
  <c r="M103" i="1"/>
  <c r="AY78" i="1"/>
  <c r="AA78" i="1"/>
  <c r="AB104" i="1"/>
  <c r="AO102" i="1"/>
  <c r="S78" i="1"/>
  <c r="Q104" i="1"/>
  <c r="AO78" i="1"/>
  <c r="H104" i="1"/>
  <c r="Y102" i="1"/>
  <c r="AO104" i="1"/>
  <c r="AC102" i="1"/>
  <c r="AJ104" i="1"/>
  <c r="U102" i="1"/>
  <c r="G103" i="1"/>
  <c r="AV78" i="1"/>
  <c r="Q78" i="1"/>
  <c r="B104" i="1"/>
  <c r="M102" i="1"/>
  <c r="T78" i="1"/>
  <c r="H102" i="1"/>
  <c r="W103" i="1"/>
  <c r="F102" i="1"/>
  <c r="X78" i="1"/>
  <c r="C102" i="1"/>
  <c r="AK104" i="1"/>
  <c r="AN78" i="1"/>
  <c r="N102" i="1"/>
  <c r="H103" i="1"/>
  <c r="Q102" i="1"/>
  <c r="T52" i="1"/>
  <c r="S52" i="1" s="1"/>
  <c r="O58" i="1" s="1"/>
  <c r="G104" i="1"/>
  <c r="AZ78" i="1"/>
  <c r="J103" i="1"/>
  <c r="AC104" i="1"/>
  <c r="K104" i="1"/>
  <c r="I192" i="1"/>
  <c r="AI192" i="1" s="1"/>
  <c r="C192" i="1"/>
  <c r="AO192" i="1" s="1"/>
  <c r="E192" i="1"/>
  <c r="AM192" i="1" s="1"/>
  <c r="G192" i="1"/>
  <c r="AK192" i="1" s="1"/>
  <c r="AQ78" i="1"/>
  <c r="R73" i="1"/>
  <c r="T73" i="1" s="1"/>
  <c r="S73" i="1" s="1"/>
  <c r="AV79" i="1" s="1"/>
  <c r="AK103" i="1"/>
  <c r="AI103" i="1"/>
  <c r="U104" i="1"/>
  <c r="P102" i="1"/>
  <c r="AF103" i="1"/>
  <c r="AI102" i="1"/>
  <c r="AD102" i="1"/>
  <c r="W78" i="1"/>
  <c r="N103" i="1"/>
  <c r="P78" i="1"/>
  <c r="B103" i="1"/>
  <c r="I104" i="1"/>
  <c r="X103" i="1"/>
  <c r="J102" i="1"/>
  <c r="AS60" i="1"/>
  <c r="W60" i="1"/>
  <c r="U60" i="1"/>
  <c r="T60" i="1"/>
  <c r="AD60" i="1"/>
  <c r="AQ60" i="1"/>
  <c r="S60" i="1"/>
  <c r="AH60" i="1"/>
  <c r="AR60" i="1"/>
  <c r="AA60" i="1"/>
  <c r="AZ60" i="1"/>
  <c r="AP79" i="1"/>
  <c r="AN79" i="1"/>
  <c r="AF79" i="1"/>
  <c r="Q79" i="1"/>
  <c r="AO79" i="1"/>
  <c r="R79" i="1"/>
  <c r="P79" i="1"/>
  <c r="R58" i="1"/>
  <c r="Z58" i="1"/>
  <c r="AS58" i="1"/>
  <c r="W58" i="1"/>
  <c r="AU58" i="1"/>
  <c r="AK58" i="1"/>
  <c r="U58" i="1"/>
  <c r="BC58" i="1"/>
  <c r="X58" i="1"/>
  <c r="AV58" i="1"/>
  <c r="AY58" i="1"/>
  <c r="AX58" i="1"/>
  <c r="AX60" i="1"/>
  <c r="AW60" i="1"/>
  <c r="AM60" i="1"/>
  <c r="AT60" i="1"/>
  <c r="AO60" i="1"/>
  <c r="AN60" i="1"/>
  <c r="Y60" i="1"/>
  <c r="O60" i="1"/>
  <c r="AV60" i="1"/>
  <c r="AC60" i="1"/>
  <c r="T74" i="1"/>
  <c r="S74" i="1" s="1"/>
  <c r="AF80" i="1" s="1"/>
  <c r="T75" i="1"/>
  <c r="S75" i="1" s="1"/>
  <c r="AE81" i="1" s="1"/>
  <c r="AP60" i="1"/>
  <c r="Q60" i="1"/>
  <c r="Z60" i="1"/>
  <c r="X60" i="1"/>
  <c r="R60" i="1"/>
  <c r="AG60" i="1"/>
  <c r="P60" i="1"/>
  <c r="AB60" i="1"/>
  <c r="AB81" i="1"/>
  <c r="AZ81" i="1"/>
  <c r="AG79" i="1"/>
  <c r="AM79" i="1"/>
  <c r="AL79" i="1"/>
  <c r="AK79" i="1"/>
  <c r="AJ79" i="1"/>
  <c r="AN80" i="1"/>
  <c r="Q80" i="1"/>
  <c r="AO80" i="1"/>
  <c r="R80" i="1"/>
  <c r="AP80" i="1"/>
  <c r="S80" i="1"/>
  <c r="AD79" i="1"/>
  <c r="BA79" i="1"/>
  <c r="AZ79" i="1"/>
  <c r="AB79" i="1"/>
  <c r="AY79" i="1"/>
  <c r="AW79" i="1"/>
  <c r="AE79" i="1"/>
  <c r="AU79" i="1"/>
  <c r="AX79" i="1"/>
  <c r="W79" i="1"/>
  <c r="AT79" i="1"/>
  <c r="T79" i="1"/>
  <c r="U79" i="1"/>
  <c r="O79" i="1"/>
  <c r="AA79" i="1"/>
  <c r="Y79" i="1"/>
  <c r="AI79" i="1"/>
  <c r="X79" i="1"/>
  <c r="S79" i="1"/>
  <c r="O57" i="1"/>
  <c r="AM57" i="1"/>
  <c r="Q57" i="1"/>
  <c r="AO57" i="1"/>
  <c r="S57" i="1"/>
  <c r="AQ57" i="1"/>
  <c r="AD57" i="1"/>
  <c r="AF57" i="1"/>
  <c r="AH57" i="1"/>
  <c r="AS57" i="1"/>
  <c r="AU57" i="1"/>
  <c r="R57" i="1"/>
  <c r="AW57" i="1"/>
  <c r="AB57" i="1"/>
  <c r="AA57" i="1"/>
  <c r="AE57" i="1"/>
  <c r="AI57" i="1"/>
  <c r="AX57" i="1"/>
  <c r="AZ57" i="1"/>
  <c r="BB57" i="1"/>
  <c r="Y57" i="1"/>
  <c r="T57" i="1"/>
  <c r="V57" i="1"/>
  <c r="AN57" i="1"/>
  <c r="AP57" i="1"/>
  <c r="AK57" i="1"/>
  <c r="AR57" i="1"/>
  <c r="AT57" i="1"/>
  <c r="BA57" i="1"/>
  <c r="W57" i="1"/>
  <c r="AG57" i="1"/>
  <c r="Z57" i="1"/>
  <c r="AL57" i="1"/>
  <c r="BC57" i="1"/>
  <c r="U57" i="1"/>
  <c r="X57" i="1"/>
  <c r="AC57" i="1"/>
  <c r="AJ57" i="1"/>
  <c r="AV57" i="1"/>
  <c r="AY57" i="1"/>
  <c r="P57" i="1"/>
  <c r="BC59" i="1" l="1"/>
  <c r="P59" i="1"/>
  <c r="U59" i="1"/>
  <c r="W59" i="1"/>
  <c r="T59" i="1"/>
  <c r="V59" i="1"/>
  <c r="AV59" i="1"/>
  <c r="AS59" i="1"/>
  <c r="AG59" i="1"/>
  <c r="AT59" i="1"/>
  <c r="AM59" i="1"/>
  <c r="AA59" i="1"/>
  <c r="AR59" i="1"/>
  <c r="AD59" i="1"/>
  <c r="AI59" i="1"/>
  <c r="Y59" i="1"/>
  <c r="AZ59" i="1"/>
  <c r="AP59" i="1"/>
  <c r="AW59" i="1"/>
  <c r="BB59" i="1"/>
  <c r="BB61" i="1" s="1"/>
  <c r="BA59" i="1"/>
  <c r="AU59" i="1"/>
  <c r="AU61" i="1" s="1"/>
  <c r="AT62" i="1" s="1"/>
  <c r="AT67" i="1" s="1"/>
  <c r="AG108" i="1" s="1"/>
  <c r="AQ59" i="1"/>
  <c r="AF59" i="1"/>
  <c r="AF61" i="1" s="1"/>
  <c r="AE62" i="1" s="1"/>
  <c r="AE67" i="1" s="1"/>
  <c r="R108" i="1" s="1"/>
  <c r="R59" i="1"/>
  <c r="X59" i="1"/>
  <c r="AO59" i="1"/>
  <c r="AX59" i="1"/>
  <c r="O59" i="1"/>
  <c r="AE59" i="1"/>
  <c r="AE61" i="1" s="1"/>
  <c r="AD62" i="1" s="1"/>
  <c r="AD67" i="1" s="1"/>
  <c r="Q108" i="1" s="1"/>
  <c r="AK59" i="1"/>
  <c r="S59" i="1"/>
  <c r="Z59" i="1"/>
  <c r="Q59" i="1"/>
  <c r="AJ59" i="1"/>
  <c r="AH59" i="1"/>
  <c r="AC59" i="1"/>
  <c r="AL59" i="1"/>
  <c r="AB59" i="1"/>
  <c r="AB61" i="1" s="1"/>
  <c r="AA62" i="1" s="1"/>
  <c r="AA67" i="1" s="1"/>
  <c r="N108" i="1" s="1"/>
  <c r="AN59" i="1"/>
  <c r="AY59" i="1"/>
  <c r="AY61" i="1" s="1"/>
  <c r="AX81" i="1"/>
  <c r="AS61" i="1"/>
  <c r="AR62" i="1" s="1"/>
  <c r="AR67" i="1" s="1"/>
  <c r="AE108" i="1" s="1"/>
  <c r="AG80" i="1"/>
  <c r="T81" i="1"/>
  <c r="T82" i="1" s="1"/>
  <c r="G114" i="1" s="1"/>
  <c r="AR641" i="1" s="1"/>
  <c r="AO81" i="1"/>
  <c r="AO82" i="1" s="1"/>
  <c r="AB114" i="1" s="1"/>
  <c r="AR662" i="1" s="1"/>
  <c r="V58" i="1"/>
  <c r="V61" i="1" s="1"/>
  <c r="AV80" i="1"/>
  <c r="AV82" i="1" s="1"/>
  <c r="AI114" i="1" s="1"/>
  <c r="AR669" i="1" s="1"/>
  <c r="AC80" i="1"/>
  <c r="AA58" i="1"/>
  <c r="AZ58" i="1"/>
  <c r="AU80" i="1"/>
  <c r="Y81" i="1"/>
  <c r="AT58" i="1"/>
  <c r="AP81" i="1"/>
  <c r="AP82" i="1" s="1"/>
  <c r="AC114" i="1" s="1"/>
  <c r="AR663" i="1" s="1"/>
  <c r="R81" i="1"/>
  <c r="R82" i="1" s="1"/>
  <c r="E114" i="1" s="1"/>
  <c r="AR639" i="1" s="1"/>
  <c r="AG58" i="1"/>
  <c r="AH80" i="1"/>
  <c r="AQ58" i="1"/>
  <c r="AQ61" i="1" s="1"/>
  <c r="P81" i="1"/>
  <c r="BA58" i="1"/>
  <c r="BA61" i="1" s="1"/>
  <c r="Z81" i="1"/>
  <c r="U80" i="1"/>
  <c r="U82" i="1" s="1"/>
  <c r="H114" i="1" s="1"/>
  <c r="AR642" i="1" s="1"/>
  <c r="Z80" i="1"/>
  <c r="AW81" i="1"/>
  <c r="AJ58" i="1"/>
  <c r="AJ61" i="1" s="1"/>
  <c r="AJ66" i="1" s="1"/>
  <c r="W106" i="1" s="1"/>
  <c r="P58" i="1"/>
  <c r="P61" i="1" s="1"/>
  <c r="O62" i="1" s="1"/>
  <c r="O67" i="1" s="1"/>
  <c r="B108" i="1" s="1"/>
  <c r="AD81" i="1"/>
  <c r="AD82" i="1" s="1"/>
  <c r="Q114" i="1" s="1"/>
  <c r="AR651" i="1" s="1"/>
  <c r="AT81" i="1"/>
  <c r="AT82" i="1" s="1"/>
  <c r="AG114" i="1" s="1"/>
  <c r="AR667" i="1" s="1"/>
  <c r="Y58" i="1"/>
  <c r="Y61" i="1" s="1"/>
  <c r="AN81" i="1"/>
  <c r="AN82" i="1" s="1"/>
  <c r="AA114" i="1" s="1"/>
  <c r="AR661" i="1" s="1"/>
  <c r="AS80" i="1"/>
  <c r="BB58" i="1"/>
  <c r="AS79" i="1"/>
  <c r="AB58" i="1"/>
  <c r="BC61" i="1"/>
  <c r="BB62" i="1" s="1"/>
  <c r="BB67" i="1" s="1"/>
  <c r="AO108" i="1" s="1"/>
  <c r="BB80" i="1"/>
  <c r="AK81" i="1"/>
  <c r="AZ80" i="1"/>
  <c r="AW58" i="1"/>
  <c r="AW61" i="1" s="1"/>
  <c r="AW66" i="1" s="1"/>
  <c r="AJ106" i="1" s="1"/>
  <c r="W80" i="1"/>
  <c r="W82" i="1" s="1"/>
  <c r="J114" i="1" s="1"/>
  <c r="AR644" i="1" s="1"/>
  <c r="BB81" i="1"/>
  <c r="AA80" i="1"/>
  <c r="AA82" i="1" s="1"/>
  <c r="N114" i="1" s="1"/>
  <c r="AR648" i="1" s="1"/>
  <c r="AR58" i="1"/>
  <c r="AC79" i="1"/>
  <c r="AC82" i="1" s="1"/>
  <c r="P114" i="1" s="1"/>
  <c r="AR650" i="1" s="1"/>
  <c r="V80" i="1"/>
  <c r="S81" i="1"/>
  <c r="AP58" i="1"/>
  <c r="AP61" i="1" s="1"/>
  <c r="AO62" i="1" s="1"/>
  <c r="AO67" i="1" s="1"/>
  <c r="AB108" i="1" s="1"/>
  <c r="AR80" i="1"/>
  <c r="AR82" i="1" s="1"/>
  <c r="AE114" i="1" s="1"/>
  <c r="AR665" i="1" s="1"/>
  <c r="AN58" i="1"/>
  <c r="AN61" i="1" s="1"/>
  <c r="AM62" i="1" s="1"/>
  <c r="AM67" i="1" s="1"/>
  <c r="Z108" i="1" s="1"/>
  <c r="AC58" i="1"/>
  <c r="AC61" i="1" s="1"/>
  <c r="AC66" i="1" s="1"/>
  <c r="P106" i="1" s="1"/>
  <c r="AS81" i="1"/>
  <c r="AS82" i="1" s="1"/>
  <c r="AF114" i="1" s="1"/>
  <c r="AR666" i="1" s="1"/>
  <c r="O80" i="1"/>
  <c r="Q81" i="1"/>
  <c r="Q82" i="1" s="1"/>
  <c r="D114" i="1" s="1"/>
  <c r="AR638" i="1" s="1"/>
  <c r="AE58" i="1"/>
  <c r="AD80" i="1"/>
  <c r="BA80" i="1"/>
  <c r="S58" i="1"/>
  <c r="X80" i="1"/>
  <c r="AI81" i="1"/>
  <c r="Q58" i="1"/>
  <c r="Q61" i="1" s="1"/>
  <c r="Q66" i="1" s="1"/>
  <c r="D106" i="1" s="1"/>
  <c r="AF58" i="1"/>
  <c r="AT80" i="1"/>
  <c r="AH58" i="1"/>
  <c r="Z79" i="1"/>
  <c r="AR79" i="1"/>
  <c r="AL81" i="1"/>
  <c r="AH79" i="1"/>
  <c r="AH82" i="1" s="1"/>
  <c r="U114" i="1" s="1"/>
  <c r="AR655" i="1" s="1"/>
  <c r="BA81" i="1"/>
  <c r="AL58" i="1"/>
  <c r="AL61" i="1" s="1"/>
  <c r="AK62" i="1" s="1"/>
  <c r="AK67" i="1" s="1"/>
  <c r="X108" i="1" s="1"/>
  <c r="AO58" i="1"/>
  <c r="AE80" i="1"/>
  <c r="AD58" i="1"/>
  <c r="AD61" i="1" s="1"/>
  <c r="AJ81" i="1"/>
  <c r="AB80" i="1"/>
  <c r="AB82" i="1" s="1"/>
  <c r="O114" i="1" s="1"/>
  <c r="AR649" i="1" s="1"/>
  <c r="AM80" i="1"/>
  <c r="AI58" i="1"/>
  <c r="AI61" i="1" s="1"/>
  <c r="AI66" i="1" s="1"/>
  <c r="V106" i="1" s="1"/>
  <c r="AY80" i="1"/>
  <c r="AM58" i="1"/>
  <c r="V79" i="1"/>
  <c r="T80" i="1"/>
  <c r="BB79" i="1"/>
  <c r="AQ79" i="1"/>
  <c r="AQ80" i="1"/>
  <c r="AC81" i="1"/>
  <c r="T58" i="1"/>
  <c r="AV61" i="1"/>
  <c r="AX61" i="1"/>
  <c r="AX66" i="1" s="1"/>
  <c r="AK106" i="1" s="1"/>
  <c r="AA61" i="1"/>
  <c r="AA66" i="1" s="1"/>
  <c r="N106" i="1" s="1"/>
  <c r="S61" i="1"/>
  <c r="AZ61" i="1"/>
  <c r="AY62" i="1" s="1"/>
  <c r="AY67" i="1" s="1"/>
  <c r="AL108" i="1" s="1"/>
  <c r="AH61" i="1"/>
  <c r="AG62" i="1" s="1"/>
  <c r="AG67" i="1" s="1"/>
  <c r="T108" i="1" s="1"/>
  <c r="AV81" i="1"/>
  <c r="AG61" i="1"/>
  <c r="AF62" i="1" s="1"/>
  <c r="AF67" i="1" s="1"/>
  <c r="S108" i="1" s="1"/>
  <c r="W81" i="1"/>
  <c r="AA81" i="1"/>
  <c r="X61" i="1"/>
  <c r="W62" i="1" s="1"/>
  <c r="W67" i="1" s="1"/>
  <c r="J108" i="1" s="1"/>
  <c r="AJ80" i="1"/>
  <c r="AR81" i="1"/>
  <c r="R61" i="1"/>
  <c r="R66" i="1" s="1"/>
  <c r="E106" i="1" s="1"/>
  <c r="U61" i="1"/>
  <c r="T62" i="1" s="1"/>
  <c r="T67" i="1" s="1"/>
  <c r="G108" i="1" s="1"/>
  <c r="AM81" i="1"/>
  <c r="Z61" i="1"/>
  <c r="Y62" i="1" s="1"/>
  <c r="Y67" i="1" s="1"/>
  <c r="L108" i="1" s="1"/>
  <c r="X81" i="1"/>
  <c r="X82" i="1" s="1"/>
  <c r="K114" i="1" s="1"/>
  <c r="AR645" i="1" s="1"/>
  <c r="AY81" i="1"/>
  <c r="AY82" i="1" s="1"/>
  <c r="AL114" i="1" s="1"/>
  <c r="AR672" i="1" s="1"/>
  <c r="AT61" i="1"/>
  <c r="AT66" i="1" s="1"/>
  <c r="AG106" i="1" s="1"/>
  <c r="AO61" i="1"/>
  <c r="AN62" i="1" s="1"/>
  <c r="AN67" i="1" s="1"/>
  <c r="AA108" i="1" s="1"/>
  <c r="P80" i="1"/>
  <c r="P82" i="1" s="1"/>
  <c r="C114" i="1" s="1"/>
  <c r="AR637" i="1" s="1"/>
  <c r="U81" i="1"/>
  <c r="AR61" i="1"/>
  <c r="AR66" i="1" s="1"/>
  <c r="AE106" i="1" s="1"/>
  <c r="AK61" i="1"/>
  <c r="AK66" i="1" s="1"/>
  <c r="X106" i="1" s="1"/>
  <c r="AM61" i="1"/>
  <c r="AM66" i="1" s="1"/>
  <c r="Z106" i="1" s="1"/>
  <c r="AX80" i="1"/>
  <c r="AX82" i="1" s="1"/>
  <c r="AK114" i="1" s="1"/>
  <c r="AR671" i="1" s="1"/>
  <c r="AK80" i="1"/>
  <c r="AG81" i="1"/>
  <c r="O81" i="1"/>
  <c r="AU81" i="1"/>
  <c r="W61" i="1"/>
  <c r="V62" i="1" s="1"/>
  <c r="V67" i="1" s="1"/>
  <c r="I108" i="1" s="1"/>
  <c r="V81" i="1"/>
  <c r="AK82" i="1"/>
  <c r="X114" i="1" s="1"/>
  <c r="AR658" i="1" s="1"/>
  <c r="AQ81" i="1"/>
  <c r="AQ82" i="1" s="1"/>
  <c r="AD114" i="1" s="1"/>
  <c r="AR664" i="1" s="1"/>
  <c r="O61" i="1"/>
  <c r="O66" i="1" s="1"/>
  <c r="B106" i="1" s="1"/>
  <c r="AL80" i="1"/>
  <c r="AL82" i="1" s="1"/>
  <c r="Y114" i="1" s="1"/>
  <c r="AR659" i="1" s="1"/>
  <c r="AH81" i="1"/>
  <c r="AW80" i="1"/>
  <c r="AW82" i="1" s="1"/>
  <c r="AJ114" i="1" s="1"/>
  <c r="AR670" i="1" s="1"/>
  <c r="AI80" i="1"/>
  <c r="AI82" i="1" s="1"/>
  <c r="V114" i="1" s="1"/>
  <c r="AR656" i="1" s="1"/>
  <c r="AF81" i="1"/>
  <c r="AF82" i="1" s="1"/>
  <c r="S114" i="1" s="1"/>
  <c r="AR653" i="1" s="1"/>
  <c r="T61" i="1"/>
  <c r="T66" i="1" s="1"/>
  <c r="G106" i="1" s="1"/>
  <c r="Y80" i="1"/>
  <c r="Y82" i="1" s="1"/>
  <c r="L114" i="1" s="1"/>
  <c r="AR646" i="1" s="1"/>
  <c r="AU82" i="1"/>
  <c r="AH114" i="1" s="1"/>
  <c r="AR668" i="1" s="1"/>
  <c r="BB82" i="1"/>
  <c r="AO114" i="1" s="1"/>
  <c r="AR675" i="1" s="1"/>
  <c r="BA82" i="1"/>
  <c r="AN114" i="1" s="1"/>
  <c r="AR674" i="1" s="1"/>
  <c r="AE82" i="1"/>
  <c r="R114" i="1" s="1"/>
  <c r="AR652" i="1" s="1"/>
  <c r="AZ82" i="1"/>
  <c r="AM114" i="1" s="1"/>
  <c r="AR673" i="1" s="1"/>
  <c r="S82" i="1"/>
  <c r="F114" i="1" s="1"/>
  <c r="AR640" i="1" s="1"/>
  <c r="AG82" i="1"/>
  <c r="T114" i="1" s="1"/>
  <c r="AR654" i="1" s="1"/>
  <c r="AU62" i="1"/>
  <c r="AU67" i="1" s="1"/>
  <c r="AH108" i="1" s="1"/>
  <c r="AV66" i="1"/>
  <c r="AI106" i="1" s="1"/>
  <c r="S66" i="1"/>
  <c r="F106" i="1" s="1"/>
  <c r="R62" i="1"/>
  <c r="R67" i="1" s="1"/>
  <c r="E108" i="1" s="1"/>
  <c r="U62" i="1" l="1"/>
  <c r="U67" i="1" s="1"/>
  <c r="H108" i="1" s="1"/>
  <c r="V66" i="1"/>
  <c r="I106" i="1" s="1"/>
  <c r="BB63" i="1"/>
  <c r="BA62" i="1"/>
  <c r="BA67" i="1" s="1"/>
  <c r="AN108" i="1" s="1"/>
  <c r="BB66" i="1"/>
  <c r="AO106" i="1" s="1"/>
  <c r="AO174" i="1" s="1"/>
  <c r="AX62" i="1"/>
  <c r="AX67" i="1" s="1"/>
  <c r="AK108" i="1" s="1"/>
  <c r="AY66" i="1"/>
  <c r="AL106" i="1" s="1"/>
  <c r="AL173" i="1" s="1"/>
  <c r="BA66" i="1"/>
  <c r="AN106" i="1" s="1"/>
  <c r="AN152" i="1" s="1"/>
  <c r="AZ62" i="1"/>
  <c r="AZ67" i="1" s="1"/>
  <c r="AM108" i="1" s="1"/>
  <c r="Y66" i="1"/>
  <c r="L106" i="1" s="1"/>
  <c r="L170" i="1" s="1"/>
  <c r="X62" i="1"/>
  <c r="X67" i="1" s="1"/>
  <c r="K108" i="1" s="1"/>
  <c r="K161" i="1" s="1"/>
  <c r="AD66" i="1"/>
  <c r="Q106" i="1" s="1"/>
  <c r="AC62" i="1"/>
  <c r="AC67" i="1" s="1"/>
  <c r="P108" i="1" s="1"/>
  <c r="AP62" i="1"/>
  <c r="AP67" i="1" s="1"/>
  <c r="AC108" i="1" s="1"/>
  <c r="AQ66" i="1"/>
  <c r="AD106" i="1" s="1"/>
  <c r="AD157" i="1" s="1"/>
  <c r="Z82" i="1"/>
  <c r="M114" i="1" s="1"/>
  <c r="AR647" i="1" s="1"/>
  <c r="AS66" i="1"/>
  <c r="AF106" i="1" s="1"/>
  <c r="AF146" i="1" s="1"/>
  <c r="AW62" i="1"/>
  <c r="AW67" i="1" s="1"/>
  <c r="AJ108" i="1" s="1"/>
  <c r="AJ172" i="1" s="1"/>
  <c r="O82" i="1"/>
  <c r="B114" i="1" s="1"/>
  <c r="AR636" i="1" s="1"/>
  <c r="AJ82" i="1"/>
  <c r="W114" i="1" s="1"/>
  <c r="AR657" i="1" s="1"/>
  <c r="S62" i="1"/>
  <c r="S67" i="1" s="1"/>
  <c r="F108" i="1" s="1"/>
  <c r="F156" i="1" s="1"/>
  <c r="AM82" i="1"/>
  <c r="Z114" i="1" s="1"/>
  <c r="AR660" i="1" s="1"/>
  <c r="V82" i="1"/>
  <c r="I114" i="1" s="1"/>
  <c r="AR643" i="1" s="1"/>
  <c r="AB66" i="1"/>
  <c r="O106" i="1" s="1"/>
  <c r="O159" i="1" s="1"/>
  <c r="AN66" i="1"/>
  <c r="AA106" i="1" s="1"/>
  <c r="AA168" i="1" s="1"/>
  <c r="AB62" i="1"/>
  <c r="AB67" i="1" s="1"/>
  <c r="O108" i="1" s="1"/>
  <c r="AQ62" i="1"/>
  <c r="AQ67" i="1" s="1"/>
  <c r="AD108" i="1" s="1"/>
  <c r="Z62" i="1"/>
  <c r="Z67" i="1" s="1"/>
  <c r="M108" i="1" s="1"/>
  <c r="AS62" i="1"/>
  <c r="AS67" i="1" s="1"/>
  <c r="AF108" i="1" s="1"/>
  <c r="AP66" i="1"/>
  <c r="AC106" i="1" s="1"/>
  <c r="AC155" i="1" s="1"/>
  <c r="Q62" i="1"/>
  <c r="Q67" i="1" s="1"/>
  <c r="D108" i="1" s="1"/>
  <c r="D164" i="1" s="1"/>
  <c r="X66" i="1"/>
  <c r="K106" i="1" s="1"/>
  <c r="K162" i="1" s="1"/>
  <c r="AG66" i="1"/>
  <c r="T106" i="1" s="1"/>
  <c r="T178" i="1" s="1"/>
  <c r="AO66" i="1"/>
  <c r="AB106" i="1" s="1"/>
  <c r="AB142" i="1" s="1"/>
  <c r="AZ66" i="1"/>
  <c r="AM106" i="1" s="1"/>
  <c r="AH66" i="1"/>
  <c r="U106" i="1" s="1"/>
  <c r="AU66" i="1"/>
  <c r="AH106" i="1" s="1"/>
  <c r="AH167" i="1" s="1"/>
  <c r="P66" i="1"/>
  <c r="C106" i="1" s="1"/>
  <c r="AE66" i="1"/>
  <c r="R106" i="1" s="1"/>
  <c r="R154" i="1" s="1"/>
  <c r="AL62" i="1"/>
  <c r="AL67" i="1" s="1"/>
  <c r="Y108" i="1" s="1"/>
  <c r="AI62" i="1"/>
  <c r="AI67" i="1" s="1"/>
  <c r="V108" i="1" s="1"/>
  <c r="V169" i="1" s="1"/>
  <c r="P62" i="1"/>
  <c r="P67" i="1" s="1"/>
  <c r="C108" i="1" s="1"/>
  <c r="C163" i="1" s="1"/>
  <c r="W66" i="1"/>
  <c r="J106" i="1" s="1"/>
  <c r="J142" i="1" s="1"/>
  <c r="Z66" i="1"/>
  <c r="M106" i="1" s="1"/>
  <c r="M152" i="1" s="1"/>
  <c r="AH62" i="1"/>
  <c r="AH67" i="1" s="1"/>
  <c r="U108" i="1" s="1"/>
  <c r="AJ62" i="1"/>
  <c r="AJ67" i="1" s="1"/>
  <c r="W108" i="1" s="1"/>
  <c r="W145" i="1" s="1"/>
  <c r="AL66" i="1"/>
  <c r="Y106" i="1" s="1"/>
  <c r="U66" i="1"/>
  <c r="H106" i="1" s="1"/>
  <c r="H154" i="1" s="1"/>
  <c r="AV62" i="1"/>
  <c r="AV67" i="1" s="1"/>
  <c r="AI108" i="1" s="1"/>
  <c r="AI149" i="1" s="1"/>
  <c r="AF66" i="1"/>
  <c r="S106" i="1" s="1"/>
  <c r="S146" i="1" s="1"/>
  <c r="W63" i="1"/>
  <c r="J113" i="1" s="1"/>
  <c r="AG63" i="1"/>
  <c r="AG68" i="1" s="1"/>
  <c r="T110" i="1" s="1"/>
  <c r="V63" i="1"/>
  <c r="V68" i="1" s="1"/>
  <c r="I110" i="1" s="1"/>
  <c r="AO172" i="1"/>
  <c r="AO169" i="1"/>
  <c r="AO63" i="1"/>
  <c r="AB113" i="1" s="1"/>
  <c r="AY63" i="1"/>
  <c r="AL113" i="1" s="1"/>
  <c r="AN63" i="1"/>
  <c r="AA113" i="1" s="1"/>
  <c r="Y63" i="1"/>
  <c r="Y68" i="1" s="1"/>
  <c r="L110" i="1" s="1"/>
  <c r="AM63" i="1"/>
  <c r="Z113" i="1" s="1"/>
  <c r="AO160" i="1"/>
  <c r="AE63" i="1"/>
  <c r="AE68" i="1" s="1"/>
  <c r="R110" i="1" s="1"/>
  <c r="AB63" i="1"/>
  <c r="AB68" i="1" s="1"/>
  <c r="O110" i="1" s="1"/>
  <c r="AP63" i="1"/>
  <c r="AP68" i="1" s="1"/>
  <c r="AC110" i="1" s="1"/>
  <c r="Q63" i="1"/>
  <c r="D113" i="1" s="1"/>
  <c r="AR63" i="1"/>
  <c r="AR68" i="1" s="1"/>
  <c r="AE110" i="1" s="1"/>
  <c r="AI159" i="1"/>
  <c r="AI177" i="1"/>
  <c r="Z149" i="1"/>
  <c r="Z147" i="1"/>
  <c r="Z160" i="1"/>
  <c r="Z170" i="1"/>
  <c r="Z173" i="1"/>
  <c r="Z176" i="1"/>
  <c r="Z140" i="1"/>
  <c r="Z154" i="1"/>
  <c r="Z144" i="1"/>
  <c r="Z151" i="1"/>
  <c r="Z166" i="1"/>
  <c r="Z177" i="1"/>
  <c r="Z171" i="1"/>
  <c r="Z152" i="1"/>
  <c r="Z156" i="1"/>
  <c r="Z178" i="1"/>
  <c r="Z161" i="1"/>
  <c r="Z162" i="1"/>
  <c r="Z168" i="1"/>
  <c r="Z153" i="1"/>
  <c r="Z158" i="1"/>
  <c r="Z146" i="1"/>
  <c r="Z169" i="1"/>
  <c r="Z159" i="1"/>
  <c r="Z165" i="1"/>
  <c r="Z163" i="1"/>
  <c r="Z174" i="1"/>
  <c r="Z172" i="1"/>
  <c r="Z175" i="1"/>
  <c r="Z139" i="1"/>
  <c r="Z155" i="1"/>
  <c r="Z167" i="1"/>
  <c r="Z142" i="1"/>
  <c r="Z150" i="1"/>
  <c r="Z143" i="1"/>
  <c r="Z148" i="1"/>
  <c r="Z145" i="1"/>
  <c r="Z141" i="1"/>
  <c r="Z157" i="1"/>
  <c r="Z164" i="1"/>
  <c r="AO157" i="1"/>
  <c r="AD142" i="1"/>
  <c r="AD166" i="1"/>
  <c r="AD168" i="1"/>
  <c r="AD149" i="1"/>
  <c r="AD143" i="1"/>
  <c r="AD144" i="1"/>
  <c r="AD154" i="1"/>
  <c r="AD173" i="1"/>
  <c r="AN176" i="1"/>
  <c r="AN154" i="1"/>
  <c r="AN160" i="1"/>
  <c r="AN147" i="1"/>
  <c r="AN157" i="1"/>
  <c r="AN178" i="1"/>
  <c r="AN155" i="1"/>
  <c r="AN161" i="1"/>
  <c r="AN168" i="1"/>
  <c r="AN170" i="1"/>
  <c r="AN145" i="1"/>
  <c r="AN159" i="1"/>
  <c r="AN143" i="1"/>
  <c r="AN162" i="1"/>
  <c r="AN177" i="1"/>
  <c r="AN163" i="1"/>
  <c r="AN140" i="1"/>
  <c r="AN175" i="1"/>
  <c r="AN141" i="1"/>
  <c r="AN169" i="1"/>
  <c r="AN153" i="1"/>
  <c r="O63" i="1"/>
  <c r="AK63" i="1"/>
  <c r="AO144" i="1"/>
  <c r="AX63" i="1"/>
  <c r="AE139" i="1"/>
  <c r="AE142" i="1"/>
  <c r="AE145" i="1"/>
  <c r="AE148" i="1"/>
  <c r="AE151" i="1"/>
  <c r="AE154" i="1"/>
  <c r="AE157" i="1"/>
  <c r="AE160" i="1"/>
  <c r="AE163" i="1"/>
  <c r="AE166" i="1"/>
  <c r="AE169" i="1"/>
  <c r="AE153" i="1"/>
  <c r="AE140" i="1"/>
  <c r="AE164" i="1"/>
  <c r="AE147" i="1"/>
  <c r="AE168" i="1"/>
  <c r="AE174" i="1"/>
  <c r="AE149" i="1"/>
  <c r="AE159" i="1"/>
  <c r="AE171" i="1"/>
  <c r="AE177" i="1"/>
  <c r="AE165" i="1"/>
  <c r="AE162" i="1"/>
  <c r="AE146" i="1"/>
  <c r="AE156" i="1"/>
  <c r="AE175" i="1"/>
  <c r="AE155" i="1"/>
  <c r="AE167" i="1"/>
  <c r="AE150" i="1"/>
  <c r="AE173" i="1"/>
  <c r="AE170" i="1"/>
  <c r="AE176" i="1"/>
  <c r="AE178" i="1"/>
  <c r="AE161" i="1"/>
  <c r="AE143" i="1"/>
  <c r="AE158" i="1"/>
  <c r="AE144" i="1"/>
  <c r="AE172" i="1"/>
  <c r="AE141" i="1"/>
  <c r="AE152" i="1"/>
  <c r="X63" i="1"/>
  <c r="AO141" i="1"/>
  <c r="B140" i="1"/>
  <c r="B164" i="1"/>
  <c r="B151" i="1"/>
  <c r="B162" i="1"/>
  <c r="B170" i="1"/>
  <c r="B173" i="1"/>
  <c r="B176" i="1"/>
  <c r="B143" i="1"/>
  <c r="B147" i="1"/>
  <c r="B172" i="1"/>
  <c r="B177" i="1"/>
  <c r="B141" i="1"/>
  <c r="B148" i="1"/>
  <c r="B145" i="1"/>
  <c r="B158" i="1"/>
  <c r="B166" i="1"/>
  <c r="B171" i="1"/>
  <c r="B174" i="1"/>
  <c r="B167" i="1"/>
  <c r="B139" i="1"/>
  <c r="B159" i="1"/>
  <c r="B144" i="1"/>
  <c r="B152" i="1"/>
  <c r="B153" i="1"/>
  <c r="B169" i="1"/>
  <c r="B168" i="1"/>
  <c r="B142" i="1"/>
  <c r="B155" i="1"/>
  <c r="B161" i="1"/>
  <c r="B156" i="1"/>
  <c r="B163" i="1"/>
  <c r="B165" i="1"/>
  <c r="B160" i="1"/>
  <c r="B150" i="1"/>
  <c r="B157" i="1"/>
  <c r="B146" i="1"/>
  <c r="B178" i="1"/>
  <c r="B175" i="1"/>
  <c r="B149" i="1"/>
  <c r="B154" i="1"/>
  <c r="AO156" i="1"/>
  <c r="AO165" i="1"/>
  <c r="AO176" i="1"/>
  <c r="AF63" i="1"/>
  <c r="AO173" i="1"/>
  <c r="AO161" i="1"/>
  <c r="G139" i="1"/>
  <c r="G142" i="1"/>
  <c r="G145" i="1"/>
  <c r="G148" i="1"/>
  <c r="G151" i="1"/>
  <c r="G154" i="1"/>
  <c r="G157" i="1"/>
  <c r="G160" i="1"/>
  <c r="G163" i="1"/>
  <c r="G166" i="1"/>
  <c r="G169" i="1"/>
  <c r="G144" i="1"/>
  <c r="G155" i="1"/>
  <c r="G156" i="1"/>
  <c r="G162" i="1"/>
  <c r="G146" i="1"/>
  <c r="G170" i="1"/>
  <c r="G175" i="1"/>
  <c r="G143" i="1"/>
  <c r="G164" i="1"/>
  <c r="G147" i="1"/>
  <c r="G159" i="1"/>
  <c r="G161" i="1"/>
  <c r="G176" i="1"/>
  <c r="G178" i="1"/>
  <c r="G172" i="1"/>
  <c r="G174" i="1"/>
  <c r="G140" i="1"/>
  <c r="G149" i="1"/>
  <c r="G171" i="1"/>
  <c r="G153" i="1"/>
  <c r="G168" i="1"/>
  <c r="G165" i="1"/>
  <c r="G158" i="1"/>
  <c r="G177" i="1"/>
  <c r="G167" i="1"/>
  <c r="G150" i="1"/>
  <c r="G152" i="1"/>
  <c r="G141" i="1"/>
  <c r="G173" i="1"/>
  <c r="T143" i="1"/>
  <c r="T154" i="1"/>
  <c r="T167" i="1"/>
  <c r="AO151" i="1"/>
  <c r="AO148" i="1"/>
  <c r="U63" i="1"/>
  <c r="AO162" i="1"/>
  <c r="N152" i="1"/>
  <c r="N148" i="1"/>
  <c r="N141" i="1"/>
  <c r="N158" i="1"/>
  <c r="N164" i="1"/>
  <c r="N142" i="1"/>
  <c r="N167" i="1"/>
  <c r="N154" i="1"/>
  <c r="N155" i="1"/>
  <c r="N170" i="1"/>
  <c r="N176" i="1"/>
  <c r="N159" i="1"/>
  <c r="N150" i="1"/>
  <c r="N166" i="1"/>
  <c r="N149" i="1"/>
  <c r="N165" i="1"/>
  <c r="N156" i="1"/>
  <c r="N157" i="1"/>
  <c r="N163" i="1"/>
  <c r="N145" i="1"/>
  <c r="N178" i="1"/>
  <c r="N153" i="1"/>
  <c r="N172" i="1"/>
  <c r="N177" i="1"/>
  <c r="N151" i="1"/>
  <c r="N174" i="1"/>
  <c r="N160" i="1"/>
  <c r="N140" i="1"/>
  <c r="N175" i="1"/>
  <c r="N143" i="1"/>
  <c r="N161" i="1"/>
  <c r="N139" i="1"/>
  <c r="N147" i="1"/>
  <c r="N168" i="1"/>
  <c r="N171" i="1"/>
  <c r="N144" i="1"/>
  <c r="N162" i="1"/>
  <c r="N169" i="1"/>
  <c r="N146" i="1"/>
  <c r="N173" i="1"/>
  <c r="AD63" i="1"/>
  <c r="AO152" i="1"/>
  <c r="AO146" i="1"/>
  <c r="AK159" i="1"/>
  <c r="AK146" i="1"/>
  <c r="AK142" i="1"/>
  <c r="AK153" i="1"/>
  <c r="AK165" i="1"/>
  <c r="AK173" i="1"/>
  <c r="AK166" i="1"/>
  <c r="AK158" i="1"/>
  <c r="AK139" i="1"/>
  <c r="AK176" i="1"/>
  <c r="AK145" i="1"/>
  <c r="AK171" i="1"/>
  <c r="AK177" i="1"/>
  <c r="AK150" i="1"/>
  <c r="AK175" i="1"/>
  <c r="AK167" i="1"/>
  <c r="AK152" i="1"/>
  <c r="AK147" i="1"/>
  <c r="AK151" i="1"/>
  <c r="AK157" i="1"/>
  <c r="AK163" i="1"/>
  <c r="AK170" i="1"/>
  <c r="AK174" i="1"/>
  <c r="AK172" i="1"/>
  <c r="AK143" i="1"/>
  <c r="AK154" i="1"/>
  <c r="AK141" i="1"/>
  <c r="AK178" i="1"/>
  <c r="AK162" i="1"/>
  <c r="AK164" i="1"/>
  <c r="AK169" i="1"/>
  <c r="AK161" i="1"/>
  <c r="AK168" i="1"/>
  <c r="AK140" i="1"/>
  <c r="AK149" i="1"/>
  <c r="AK144" i="1"/>
  <c r="AK156" i="1"/>
  <c r="AK155" i="1"/>
  <c r="AK148" i="1"/>
  <c r="AK160" i="1"/>
  <c r="AO113" i="1"/>
  <c r="BB68" i="1"/>
  <c r="AO110" i="1" s="1"/>
  <c r="AO170" i="1"/>
  <c r="X160" i="1"/>
  <c r="X143" i="1"/>
  <c r="X140" i="1"/>
  <c r="X154" i="1"/>
  <c r="X151" i="1"/>
  <c r="X166" i="1"/>
  <c r="X177" i="1"/>
  <c r="X152" i="1"/>
  <c r="X169" i="1"/>
  <c r="X172" i="1"/>
  <c r="X175" i="1"/>
  <c r="X144" i="1"/>
  <c r="X165" i="1"/>
  <c r="X139" i="1"/>
  <c r="X148" i="1"/>
  <c r="X141" i="1"/>
  <c r="X161" i="1"/>
  <c r="X170" i="1"/>
  <c r="X156" i="1"/>
  <c r="X163" i="1"/>
  <c r="X168" i="1"/>
  <c r="X178" i="1"/>
  <c r="X147" i="1"/>
  <c r="X158" i="1"/>
  <c r="X171" i="1"/>
  <c r="X153" i="1"/>
  <c r="X167" i="1"/>
  <c r="X157" i="1"/>
  <c r="X164" i="1"/>
  <c r="X176" i="1"/>
  <c r="X159" i="1"/>
  <c r="X155" i="1"/>
  <c r="X142" i="1"/>
  <c r="X150" i="1"/>
  <c r="X174" i="1"/>
  <c r="X145" i="1"/>
  <c r="X162" i="1"/>
  <c r="X173" i="1"/>
  <c r="X146" i="1"/>
  <c r="X149" i="1"/>
  <c r="E155" i="1"/>
  <c r="E142" i="1"/>
  <c r="E166" i="1"/>
  <c r="E153" i="1"/>
  <c r="E156" i="1"/>
  <c r="E162" i="1"/>
  <c r="E146" i="1"/>
  <c r="E170" i="1"/>
  <c r="E175" i="1"/>
  <c r="E139" i="1"/>
  <c r="E168" i="1"/>
  <c r="E165" i="1"/>
  <c r="E157" i="1"/>
  <c r="E177" i="1"/>
  <c r="E152" i="1"/>
  <c r="E160" i="1"/>
  <c r="E161" i="1"/>
  <c r="E163" i="1"/>
  <c r="E176" i="1"/>
  <c r="E158" i="1"/>
  <c r="E154" i="1"/>
  <c r="E172" i="1"/>
  <c r="E169" i="1"/>
  <c r="E173" i="1"/>
  <c r="E140" i="1"/>
  <c r="E147" i="1"/>
  <c r="E164" i="1"/>
  <c r="E167" i="1"/>
  <c r="E144" i="1"/>
  <c r="E150" i="1"/>
  <c r="E171" i="1"/>
  <c r="E145" i="1"/>
  <c r="E143" i="1"/>
  <c r="E141" i="1"/>
  <c r="E151" i="1"/>
  <c r="E148" i="1"/>
  <c r="E159" i="1"/>
  <c r="E174" i="1"/>
  <c r="E149" i="1"/>
  <c r="E178" i="1"/>
  <c r="AO158" i="1"/>
  <c r="AO155" i="1"/>
  <c r="AJ157" i="1"/>
  <c r="AJ144" i="1"/>
  <c r="AJ139" i="1"/>
  <c r="AJ146" i="1"/>
  <c r="AJ156" i="1"/>
  <c r="AJ162" i="1"/>
  <c r="AJ150" i="1"/>
  <c r="AJ141" i="1"/>
  <c r="AJ161" i="1"/>
  <c r="AJ153" i="1"/>
  <c r="AJ173" i="1"/>
  <c r="AJ171" i="1"/>
  <c r="AJ152" i="1"/>
  <c r="AJ175" i="1"/>
  <c r="AT63" i="1"/>
  <c r="D169" i="1"/>
  <c r="BA63" i="1"/>
  <c r="F165" i="1"/>
  <c r="F150" i="1"/>
  <c r="F144" i="1"/>
  <c r="F174" i="1"/>
  <c r="F155" i="1"/>
  <c r="F152" i="1"/>
  <c r="F141" i="1"/>
  <c r="F175" i="1"/>
  <c r="Q140" i="1"/>
  <c r="Q143" i="1"/>
  <c r="Q146" i="1"/>
  <c r="Q149" i="1"/>
  <c r="Q152" i="1"/>
  <c r="Q155" i="1"/>
  <c r="Q158" i="1"/>
  <c r="Q161" i="1"/>
  <c r="Q164" i="1"/>
  <c r="Q167" i="1"/>
  <c r="Q139" i="1"/>
  <c r="Q163" i="1"/>
  <c r="Q169" i="1"/>
  <c r="Q150" i="1"/>
  <c r="Q141" i="1"/>
  <c r="Q145" i="1"/>
  <c r="Q171" i="1"/>
  <c r="Q176" i="1"/>
  <c r="Q153" i="1"/>
  <c r="Q178" i="1"/>
  <c r="Q142" i="1"/>
  <c r="Q157" i="1"/>
  <c r="Q177" i="1"/>
  <c r="Q162" i="1"/>
  <c r="Q173" i="1"/>
  <c r="Q160" i="1"/>
  <c r="Q165" i="1"/>
  <c r="Q170" i="1"/>
  <c r="Q147" i="1"/>
  <c r="Q151" i="1"/>
  <c r="Q168" i="1"/>
  <c r="Q174" i="1"/>
  <c r="Q144" i="1"/>
  <c r="Q159" i="1"/>
  <c r="Q156" i="1"/>
  <c r="Q175" i="1"/>
  <c r="Q172" i="1"/>
  <c r="Q166" i="1"/>
  <c r="Q148" i="1"/>
  <c r="Q154" i="1"/>
  <c r="AO145" i="1"/>
  <c r="AO178" i="1"/>
  <c r="AO175" i="1"/>
  <c r="AA147" i="1"/>
  <c r="AA153" i="1"/>
  <c r="AA156" i="1"/>
  <c r="AA159" i="1"/>
  <c r="AA162" i="1"/>
  <c r="AA165" i="1"/>
  <c r="AA151" i="1"/>
  <c r="AA157" i="1"/>
  <c r="AA167" i="1"/>
  <c r="AA176" i="1"/>
  <c r="AA161" i="1"/>
  <c r="AA142" i="1"/>
  <c r="AA143" i="1"/>
  <c r="AA169" i="1"/>
  <c r="AA173" i="1"/>
  <c r="AA178" i="1"/>
  <c r="AA146" i="1"/>
  <c r="AA155" i="1"/>
  <c r="AA160" i="1"/>
  <c r="AA154" i="1"/>
  <c r="AA171" i="1"/>
  <c r="AA166" i="1"/>
  <c r="AA170" i="1"/>
  <c r="AO168" i="1"/>
  <c r="AO150" i="1"/>
  <c r="AO167" i="1"/>
  <c r="AO164" i="1"/>
  <c r="I139" i="1"/>
  <c r="I142" i="1"/>
  <c r="I145" i="1"/>
  <c r="I148" i="1"/>
  <c r="I151" i="1"/>
  <c r="I154" i="1"/>
  <c r="I157" i="1"/>
  <c r="I160" i="1"/>
  <c r="I163" i="1"/>
  <c r="I166" i="1"/>
  <c r="I144" i="1"/>
  <c r="I149" i="1"/>
  <c r="I156" i="1"/>
  <c r="I162" i="1"/>
  <c r="I155" i="1"/>
  <c r="I173" i="1"/>
  <c r="I176" i="1"/>
  <c r="I143" i="1"/>
  <c r="I165" i="1"/>
  <c r="I167" i="1"/>
  <c r="I172" i="1"/>
  <c r="I170" i="1"/>
  <c r="I159" i="1"/>
  <c r="I158" i="1"/>
  <c r="I161" i="1"/>
  <c r="I171" i="1"/>
  <c r="I153" i="1"/>
  <c r="I177" i="1"/>
  <c r="I164" i="1"/>
  <c r="I152" i="1"/>
  <c r="I141" i="1"/>
  <c r="I150" i="1"/>
  <c r="I178" i="1"/>
  <c r="I146" i="1"/>
  <c r="I174" i="1"/>
  <c r="I140" i="1"/>
  <c r="I147" i="1"/>
  <c r="I175" i="1"/>
  <c r="I168" i="1"/>
  <c r="I169" i="1"/>
  <c r="AA63" i="1"/>
  <c r="P141" i="1"/>
  <c r="P165" i="1"/>
  <c r="P148" i="1"/>
  <c r="P169" i="1"/>
  <c r="P152" i="1"/>
  <c r="P155" i="1"/>
  <c r="P161" i="1"/>
  <c r="P170" i="1"/>
  <c r="P175" i="1"/>
  <c r="P139" i="1"/>
  <c r="P162" i="1"/>
  <c r="P140" i="1"/>
  <c r="P154" i="1"/>
  <c r="P163" i="1"/>
  <c r="P147" i="1"/>
  <c r="P158" i="1"/>
  <c r="P174" i="1"/>
  <c r="P166" i="1"/>
  <c r="P146" i="1"/>
  <c r="P171" i="1"/>
  <c r="P143" i="1"/>
  <c r="P157" i="1"/>
  <c r="P167" i="1"/>
  <c r="P145" i="1"/>
  <c r="P160" i="1"/>
  <c r="P168" i="1"/>
  <c r="P178" i="1"/>
  <c r="P153" i="1"/>
  <c r="P151" i="1"/>
  <c r="P176" i="1"/>
  <c r="P159" i="1"/>
  <c r="P150" i="1"/>
  <c r="P177" i="1"/>
  <c r="P144" i="1"/>
  <c r="P149" i="1"/>
  <c r="P156" i="1"/>
  <c r="P172" i="1"/>
  <c r="P164" i="1"/>
  <c r="P142" i="1"/>
  <c r="P173" i="1"/>
  <c r="AF141" i="1"/>
  <c r="AF154" i="1"/>
  <c r="AF153" i="1"/>
  <c r="AF162" i="1"/>
  <c r="AF156" i="1"/>
  <c r="AF145" i="1"/>
  <c r="AF165" i="1"/>
  <c r="AF171" i="1"/>
  <c r="AO149" i="1"/>
  <c r="AG139" i="1"/>
  <c r="AG142" i="1"/>
  <c r="AG145" i="1"/>
  <c r="AG148" i="1"/>
  <c r="AG151" i="1"/>
  <c r="AG154" i="1"/>
  <c r="AG157" i="1"/>
  <c r="AG160" i="1"/>
  <c r="AG163" i="1"/>
  <c r="AG153" i="1"/>
  <c r="AG166" i="1"/>
  <c r="AG140" i="1"/>
  <c r="AG146" i="1"/>
  <c r="AG159" i="1"/>
  <c r="AG165" i="1"/>
  <c r="AG173" i="1"/>
  <c r="AG147" i="1"/>
  <c r="AG141" i="1"/>
  <c r="AG158" i="1"/>
  <c r="AG149" i="1"/>
  <c r="AG150" i="1"/>
  <c r="AG171" i="1"/>
  <c r="AG177" i="1"/>
  <c r="AG155" i="1"/>
  <c r="AG174" i="1"/>
  <c r="AG178" i="1"/>
  <c r="AG144" i="1"/>
  <c r="AG169" i="1"/>
  <c r="AG143" i="1"/>
  <c r="AG162" i="1"/>
  <c r="AG168" i="1"/>
  <c r="AG175" i="1"/>
  <c r="AG156" i="1"/>
  <c r="AG170" i="1"/>
  <c r="AG164" i="1"/>
  <c r="AG152" i="1"/>
  <c r="AG172" i="1"/>
  <c r="AG176" i="1"/>
  <c r="AG161" i="1"/>
  <c r="AG167" i="1"/>
  <c r="AO140" i="1"/>
  <c r="AU63" i="1"/>
  <c r="AO154" i="1"/>
  <c r="R63" i="1"/>
  <c r="T63" i="1"/>
  <c r="AO159" i="1"/>
  <c r="AO153" i="1"/>
  <c r="AO142" i="1"/>
  <c r="AO171" i="1"/>
  <c r="AO147" i="1"/>
  <c r="L148" i="1"/>
  <c r="L152" i="1"/>
  <c r="L158" i="1"/>
  <c r="L161" i="1"/>
  <c r="L164" i="1"/>
  <c r="L142" i="1"/>
  <c r="L167" i="1"/>
  <c r="L173" i="1"/>
  <c r="L147" i="1"/>
  <c r="L157" i="1"/>
  <c r="L141" i="1"/>
  <c r="L166" i="1"/>
  <c r="L154" i="1"/>
  <c r="L145" i="1"/>
  <c r="L172" i="1"/>
  <c r="L150" i="1"/>
  <c r="L140" i="1"/>
  <c r="L151" i="1"/>
  <c r="L168" i="1"/>
  <c r="L171" i="1"/>
  <c r="L174" i="1"/>
  <c r="L155" i="1"/>
  <c r="L178" i="1"/>
  <c r="L176" i="1"/>
  <c r="L163" i="1"/>
  <c r="L175" i="1"/>
  <c r="AO139" i="1"/>
  <c r="AO166" i="1"/>
  <c r="AO143" i="1"/>
  <c r="AO163" i="1"/>
  <c r="AS63" i="1"/>
  <c r="AL161" i="1"/>
  <c r="AL157" i="1"/>
  <c r="AL144" i="1"/>
  <c r="AL167" i="1"/>
  <c r="AL171" i="1"/>
  <c r="AL176" i="1"/>
  <c r="AL139" i="1"/>
  <c r="AL156" i="1"/>
  <c r="AL159" i="1"/>
  <c r="AL162" i="1"/>
  <c r="AL147" i="1"/>
  <c r="AL148" i="1"/>
  <c r="AL152" i="1"/>
  <c r="AL153" i="1"/>
  <c r="AL146" i="1"/>
  <c r="AL170" i="1"/>
  <c r="AL178" i="1"/>
  <c r="AL143" i="1"/>
  <c r="AL164" i="1"/>
  <c r="AL141" i="1"/>
  <c r="AL151" i="1"/>
  <c r="AL175" i="1"/>
  <c r="AL142" i="1"/>
  <c r="AL172" i="1"/>
  <c r="AL163" i="1"/>
  <c r="AL165" i="1"/>
  <c r="AL174" i="1"/>
  <c r="AL177" i="1"/>
  <c r="AL155" i="1"/>
  <c r="AL168" i="1"/>
  <c r="AL158" i="1"/>
  <c r="AL169" i="1"/>
  <c r="AL145" i="1"/>
  <c r="AL150" i="1"/>
  <c r="AO177" i="1"/>
  <c r="AC63" i="1"/>
  <c r="AQ63" i="1"/>
  <c r="F154" i="1" l="1"/>
  <c r="F140" i="1"/>
  <c r="AF174" i="1"/>
  <c r="F153" i="1"/>
  <c r="AJ174" i="1"/>
  <c r="AN167" i="1"/>
  <c r="AN166" i="1"/>
  <c r="F169" i="1"/>
  <c r="F164" i="1"/>
  <c r="AJ169" i="1"/>
  <c r="L177" i="1"/>
  <c r="L146" i="1"/>
  <c r="AF143" i="1"/>
  <c r="F158" i="1"/>
  <c r="F157" i="1"/>
  <c r="L160" i="1"/>
  <c r="L159" i="1"/>
  <c r="AF151" i="1"/>
  <c r="F149" i="1"/>
  <c r="AJ163" i="1"/>
  <c r="AN156" i="1"/>
  <c r="AN173" i="1"/>
  <c r="O153" i="1"/>
  <c r="F177" i="1"/>
  <c r="D154" i="1"/>
  <c r="AJ151" i="1"/>
  <c r="T161" i="1"/>
  <c r="AN174" i="1"/>
  <c r="AN165" i="1"/>
  <c r="AM166" i="1"/>
  <c r="O170" i="1"/>
  <c r="AJ176" i="1"/>
  <c r="F171" i="1"/>
  <c r="AJ143" i="1"/>
  <c r="AF152" i="1"/>
  <c r="AJ142" i="1"/>
  <c r="AJ177" i="1"/>
  <c r="O139" i="1"/>
  <c r="L143" i="1"/>
  <c r="AF177" i="1"/>
  <c r="F148" i="1"/>
  <c r="AJ159" i="1"/>
  <c r="AJ145" i="1"/>
  <c r="AN158" i="1"/>
  <c r="AN142" i="1"/>
  <c r="S63" i="1"/>
  <c r="F113" i="1" s="1"/>
  <c r="AZ63" i="1"/>
  <c r="F159" i="1"/>
  <c r="F178" i="1"/>
  <c r="F170" i="1"/>
  <c r="F151" i="1"/>
  <c r="AJ140" i="1"/>
  <c r="AN144" i="1"/>
  <c r="O163" i="1"/>
  <c r="AL166" i="1"/>
  <c r="O161" i="1"/>
  <c r="AL149" i="1"/>
  <c r="L165" i="1"/>
  <c r="AF173" i="1"/>
  <c r="F143" i="1"/>
  <c r="F139" i="1"/>
  <c r="AJ167" i="1"/>
  <c r="AJ155" i="1"/>
  <c r="AN172" i="1"/>
  <c r="AN146" i="1"/>
  <c r="AW63" i="1"/>
  <c r="AW68" i="1" s="1"/>
  <c r="AJ110" i="1" s="1"/>
  <c r="H278" i="1" s="1"/>
  <c r="AF172" i="1"/>
  <c r="AF160" i="1"/>
  <c r="AJ178" i="1"/>
  <c r="AJ170" i="1"/>
  <c r="O162" i="1"/>
  <c r="L162" i="1"/>
  <c r="O143" i="1"/>
  <c r="AL140" i="1"/>
  <c r="L149" i="1"/>
  <c r="AF169" i="1"/>
  <c r="F160" i="1"/>
  <c r="F166" i="1"/>
  <c r="AJ164" i="1"/>
  <c r="AJ154" i="1"/>
  <c r="AN139" i="1"/>
  <c r="AN150" i="1"/>
  <c r="AJ166" i="1"/>
  <c r="F163" i="1"/>
  <c r="AL154" i="1"/>
  <c r="L156" i="1"/>
  <c r="AF157" i="1"/>
  <c r="F173" i="1"/>
  <c r="F147" i="1"/>
  <c r="AJ168" i="1"/>
  <c r="AJ148" i="1"/>
  <c r="AN151" i="1"/>
  <c r="AD146" i="1"/>
  <c r="AD162" i="1"/>
  <c r="F142" i="1"/>
  <c r="F176" i="1"/>
  <c r="F168" i="1"/>
  <c r="F146" i="1"/>
  <c r="O175" i="1"/>
  <c r="AN171" i="1"/>
  <c r="L153" i="1"/>
  <c r="AL160" i="1"/>
  <c r="L169" i="1"/>
  <c r="L144" i="1"/>
  <c r="AF147" i="1"/>
  <c r="F172" i="1"/>
  <c r="F145" i="1"/>
  <c r="AJ158" i="1"/>
  <c r="AJ147" i="1"/>
  <c r="AN164" i="1"/>
  <c r="AD151" i="1"/>
  <c r="O145" i="1"/>
  <c r="F167" i="1"/>
  <c r="F162" i="1"/>
  <c r="AJ149" i="1"/>
  <c r="AF148" i="1"/>
  <c r="AJ160" i="1"/>
  <c r="AN148" i="1"/>
  <c r="AN149" i="1"/>
  <c r="L139" i="1"/>
  <c r="F161" i="1"/>
  <c r="AJ165" i="1"/>
  <c r="AD141" i="1"/>
  <c r="AD174" i="1"/>
  <c r="AD163" i="1"/>
  <c r="AD177" i="1"/>
  <c r="AD171" i="1"/>
  <c r="AD145" i="1"/>
  <c r="AD147" i="1"/>
  <c r="AD159" i="1"/>
  <c r="AF168" i="1"/>
  <c r="AA148" i="1"/>
  <c r="AF155" i="1"/>
  <c r="AA139" i="1"/>
  <c r="AA175" i="1"/>
  <c r="AD165" i="1"/>
  <c r="AM175" i="1"/>
  <c r="AF158" i="1"/>
  <c r="AA164" i="1"/>
  <c r="AD156" i="1"/>
  <c r="D162" i="1"/>
  <c r="D141" i="1"/>
  <c r="AC178" i="1"/>
  <c r="D168" i="1"/>
  <c r="AC146" i="1"/>
  <c r="AB168" i="1"/>
  <c r="AC152" i="1"/>
  <c r="K178" i="1"/>
  <c r="K155" i="1"/>
  <c r="D166" i="1"/>
  <c r="K144" i="1"/>
  <c r="O150" i="1"/>
  <c r="O166" i="1"/>
  <c r="O157" i="1"/>
  <c r="O177" i="1"/>
  <c r="AC162" i="1"/>
  <c r="AC142" i="1"/>
  <c r="O173" i="1"/>
  <c r="AC144" i="1"/>
  <c r="O148" i="1"/>
  <c r="O141" i="1"/>
  <c r="AF144" i="1"/>
  <c r="AC166" i="1"/>
  <c r="O168" i="1"/>
  <c r="O176" i="1"/>
  <c r="O171" i="1"/>
  <c r="AF167" i="1"/>
  <c r="K171" i="1"/>
  <c r="O142" i="1"/>
  <c r="AC168" i="1"/>
  <c r="AF178" i="1"/>
  <c r="K176" i="1"/>
  <c r="O178" i="1"/>
  <c r="O147" i="1"/>
  <c r="O169" i="1"/>
  <c r="AF164" i="1"/>
  <c r="AF139" i="1"/>
  <c r="K149" i="1"/>
  <c r="K165" i="1"/>
  <c r="K143" i="1"/>
  <c r="AC139" i="1"/>
  <c r="T162" i="1"/>
  <c r="AA152" i="1"/>
  <c r="AA150" i="1"/>
  <c r="AC175" i="1"/>
  <c r="T177" i="1"/>
  <c r="K157" i="1"/>
  <c r="AC169" i="1"/>
  <c r="AM162" i="1"/>
  <c r="AA177" i="1"/>
  <c r="AA144" i="1"/>
  <c r="AC157" i="1"/>
  <c r="T150" i="1"/>
  <c r="T171" i="1"/>
  <c r="AM168" i="1"/>
  <c r="AA140" i="1"/>
  <c r="AA141" i="1"/>
  <c r="AC163" i="1"/>
  <c r="T163" i="1"/>
  <c r="K166" i="1"/>
  <c r="D153" i="1"/>
  <c r="AM139" i="1"/>
  <c r="AC154" i="1"/>
  <c r="T148" i="1"/>
  <c r="AM177" i="1"/>
  <c r="AA158" i="1"/>
  <c r="AC148" i="1"/>
  <c r="T139" i="1"/>
  <c r="AD140" i="1"/>
  <c r="U175" i="1"/>
  <c r="AM174" i="1"/>
  <c r="O156" i="1"/>
  <c r="O167" i="1"/>
  <c r="O154" i="1"/>
  <c r="O164" i="1"/>
  <c r="O144" i="1"/>
  <c r="O158" i="1"/>
  <c r="O174" i="1"/>
  <c r="O155" i="1"/>
  <c r="O165" i="1"/>
  <c r="O152" i="1"/>
  <c r="AB166" i="1"/>
  <c r="O151" i="1"/>
  <c r="AF176" i="1"/>
  <c r="AF175" i="1"/>
  <c r="AA149" i="1"/>
  <c r="AA172" i="1"/>
  <c r="AC145" i="1"/>
  <c r="AB163" i="1"/>
  <c r="T153" i="1"/>
  <c r="O149" i="1"/>
  <c r="O172" i="1"/>
  <c r="O146" i="1"/>
  <c r="AF166" i="1"/>
  <c r="AF170" i="1"/>
  <c r="AA174" i="1"/>
  <c r="AA163" i="1"/>
  <c r="AB178" i="1"/>
  <c r="T175" i="1"/>
  <c r="AB143" i="1"/>
  <c r="O160" i="1"/>
  <c r="O140" i="1"/>
  <c r="D160" i="1"/>
  <c r="AB153" i="1"/>
  <c r="AF161" i="1"/>
  <c r="AF150" i="1"/>
  <c r="AA145" i="1"/>
  <c r="D173" i="1"/>
  <c r="AB152" i="1"/>
  <c r="T155" i="1"/>
  <c r="AD153" i="1"/>
  <c r="AB151" i="1"/>
  <c r="AM141" i="1"/>
  <c r="AB150" i="1"/>
  <c r="R173" i="1"/>
  <c r="AM173" i="1"/>
  <c r="AM157" i="1"/>
  <c r="AB164" i="1"/>
  <c r="T174" i="1"/>
  <c r="AM163" i="1"/>
  <c r="AB160" i="1"/>
  <c r="K142" i="1"/>
  <c r="T144" i="1"/>
  <c r="AM148" i="1"/>
  <c r="D163" i="1"/>
  <c r="AC143" i="1"/>
  <c r="AB175" i="1"/>
  <c r="T169" i="1"/>
  <c r="T141" i="1"/>
  <c r="K158" i="1"/>
  <c r="AC147" i="1"/>
  <c r="K147" i="1"/>
  <c r="D145" i="1"/>
  <c r="AC151" i="1"/>
  <c r="K146" i="1"/>
  <c r="T149" i="1"/>
  <c r="AD150" i="1"/>
  <c r="AF159" i="1"/>
  <c r="D144" i="1"/>
  <c r="AC164" i="1"/>
  <c r="AB141" i="1"/>
  <c r="K156" i="1"/>
  <c r="T145" i="1"/>
  <c r="AD167" i="1"/>
  <c r="T146" i="1"/>
  <c r="D146" i="1"/>
  <c r="AC140" i="1"/>
  <c r="AF149" i="1"/>
  <c r="D159" i="1"/>
  <c r="AB161" i="1"/>
  <c r="K175" i="1"/>
  <c r="T156" i="1"/>
  <c r="AH178" i="1"/>
  <c r="AD158" i="1"/>
  <c r="K169" i="1"/>
  <c r="T158" i="1"/>
  <c r="AB157" i="1"/>
  <c r="T168" i="1"/>
  <c r="AD148" i="1"/>
  <c r="AF163" i="1"/>
  <c r="AF140" i="1"/>
  <c r="D151" i="1"/>
  <c r="AB144" i="1"/>
  <c r="K168" i="1"/>
  <c r="T176" i="1"/>
  <c r="AD164" i="1"/>
  <c r="AD152" i="1"/>
  <c r="AI161" i="1"/>
  <c r="T165" i="1"/>
  <c r="D157" i="1"/>
  <c r="D161" i="1"/>
  <c r="T147" i="1"/>
  <c r="D150" i="1"/>
  <c r="K140" i="1"/>
  <c r="AH153" i="1"/>
  <c r="AM147" i="1"/>
  <c r="AF142" i="1"/>
  <c r="D140" i="1"/>
  <c r="AB169" i="1"/>
  <c r="K141" i="1"/>
  <c r="T173" i="1"/>
  <c r="AD160" i="1"/>
  <c r="AD170" i="1"/>
  <c r="AI158" i="1"/>
  <c r="M173" i="1"/>
  <c r="R149" i="1"/>
  <c r="J139" i="1"/>
  <c r="M163" i="1"/>
  <c r="R159" i="1"/>
  <c r="AM145" i="1"/>
  <c r="D139" i="1"/>
  <c r="J161" i="1"/>
  <c r="AC156" i="1"/>
  <c r="M140" i="1"/>
  <c r="AB176" i="1"/>
  <c r="AB140" i="1"/>
  <c r="R145" i="1"/>
  <c r="AH170" i="1"/>
  <c r="M167" i="1"/>
  <c r="J176" i="1"/>
  <c r="R143" i="1"/>
  <c r="AM144" i="1"/>
  <c r="D167" i="1"/>
  <c r="J165" i="1"/>
  <c r="R144" i="1"/>
  <c r="AH172" i="1"/>
  <c r="AM153" i="1"/>
  <c r="D155" i="1"/>
  <c r="AC170" i="1"/>
  <c r="AC165" i="1"/>
  <c r="AB172" i="1"/>
  <c r="AB149" i="1"/>
  <c r="R153" i="1"/>
  <c r="AH165" i="1"/>
  <c r="AM159" i="1"/>
  <c r="D176" i="1"/>
  <c r="AC173" i="1"/>
  <c r="AC149" i="1"/>
  <c r="AB177" i="1"/>
  <c r="AB162" i="1"/>
  <c r="T172" i="1"/>
  <c r="R140" i="1"/>
  <c r="AH169" i="1"/>
  <c r="AB145" i="1"/>
  <c r="R168" i="1"/>
  <c r="AH168" i="1"/>
  <c r="AC176" i="1"/>
  <c r="AM161" i="1"/>
  <c r="V175" i="1"/>
  <c r="D156" i="1"/>
  <c r="AC172" i="1"/>
  <c r="AC177" i="1"/>
  <c r="AB148" i="1"/>
  <c r="C148" i="1"/>
  <c r="T160" i="1"/>
  <c r="R147" i="1"/>
  <c r="AH150" i="1"/>
  <c r="M164" i="1"/>
  <c r="R178" i="1"/>
  <c r="V152" i="1"/>
  <c r="D175" i="1"/>
  <c r="C164" i="1"/>
  <c r="AM165" i="1"/>
  <c r="AM158" i="1"/>
  <c r="V168" i="1"/>
  <c r="D177" i="1"/>
  <c r="AC150" i="1"/>
  <c r="AC174" i="1"/>
  <c r="AB174" i="1"/>
  <c r="C162" i="1"/>
  <c r="T159" i="1"/>
  <c r="T151" i="1"/>
  <c r="R169" i="1"/>
  <c r="AH162" i="1"/>
  <c r="M168" i="1"/>
  <c r="J175" i="1"/>
  <c r="C143" i="1"/>
  <c r="AM151" i="1"/>
  <c r="AM152" i="1"/>
  <c r="V146" i="1"/>
  <c r="D148" i="1"/>
  <c r="AC141" i="1"/>
  <c r="AC171" i="1"/>
  <c r="AB158" i="1"/>
  <c r="C147" i="1"/>
  <c r="T152" i="1"/>
  <c r="T142" i="1"/>
  <c r="R162" i="1"/>
  <c r="AH156" i="1"/>
  <c r="AM164" i="1"/>
  <c r="AM160" i="1"/>
  <c r="AM149" i="1"/>
  <c r="D174" i="1"/>
  <c r="AC158" i="1"/>
  <c r="AC159" i="1"/>
  <c r="AB165" i="1"/>
  <c r="T164" i="1"/>
  <c r="T157" i="1"/>
  <c r="R156" i="1"/>
  <c r="AH144" i="1"/>
  <c r="V161" i="1"/>
  <c r="R167" i="1"/>
  <c r="AM167" i="1"/>
  <c r="V158" i="1"/>
  <c r="D142" i="1"/>
  <c r="AC160" i="1"/>
  <c r="AB173" i="1"/>
  <c r="R139" i="1"/>
  <c r="AH143" i="1"/>
  <c r="D171" i="1"/>
  <c r="AC153" i="1"/>
  <c r="AC161" i="1"/>
  <c r="AB159" i="1"/>
  <c r="T170" i="1"/>
  <c r="T140" i="1"/>
  <c r="R150" i="1"/>
  <c r="J149" i="1"/>
  <c r="AM150" i="1"/>
  <c r="AM146" i="1"/>
  <c r="AM171" i="1"/>
  <c r="AM143" i="1"/>
  <c r="D158" i="1"/>
  <c r="AC167" i="1"/>
  <c r="AB167" i="1"/>
  <c r="T166" i="1"/>
  <c r="R164" i="1"/>
  <c r="Y172" i="1"/>
  <c r="H140" i="1"/>
  <c r="Y164" i="1"/>
  <c r="M143" i="1"/>
  <c r="H163" i="1"/>
  <c r="W167" i="1"/>
  <c r="Y148" i="1"/>
  <c r="J148" i="1"/>
  <c r="M149" i="1"/>
  <c r="H165" i="1"/>
  <c r="AH139" i="1"/>
  <c r="AH174" i="1"/>
  <c r="W155" i="1"/>
  <c r="C173" i="1"/>
  <c r="AJ63" i="1"/>
  <c r="AJ68" i="1" s="1"/>
  <c r="W110" i="1" s="1"/>
  <c r="Y139" i="1"/>
  <c r="J162" i="1"/>
  <c r="M176" i="1"/>
  <c r="H159" i="1"/>
  <c r="AH164" i="1"/>
  <c r="AH171" i="1"/>
  <c r="W170" i="1"/>
  <c r="U166" i="1"/>
  <c r="Y163" i="1"/>
  <c r="J155" i="1"/>
  <c r="M171" i="1"/>
  <c r="K152" i="1"/>
  <c r="K177" i="1"/>
  <c r="H178" i="1"/>
  <c r="AH140" i="1"/>
  <c r="AH155" i="1"/>
  <c r="W165" i="1"/>
  <c r="U157" i="1"/>
  <c r="Y176" i="1"/>
  <c r="AM154" i="1"/>
  <c r="AM155" i="1"/>
  <c r="Y160" i="1"/>
  <c r="D170" i="1"/>
  <c r="J172" i="1"/>
  <c r="M155" i="1"/>
  <c r="AB146" i="1"/>
  <c r="AB155" i="1"/>
  <c r="K167" i="1"/>
  <c r="K172" i="1"/>
  <c r="H153" i="1"/>
  <c r="AH173" i="1"/>
  <c r="AH142" i="1"/>
  <c r="AD172" i="1"/>
  <c r="W162" i="1"/>
  <c r="U163" i="1"/>
  <c r="W159" i="1"/>
  <c r="Y145" i="1"/>
  <c r="W153" i="1"/>
  <c r="Y156" i="1"/>
  <c r="J160" i="1"/>
  <c r="AH160" i="1"/>
  <c r="W144" i="1"/>
  <c r="U176" i="1"/>
  <c r="AM172" i="1"/>
  <c r="AM140" i="1"/>
  <c r="J154" i="1"/>
  <c r="M154" i="1"/>
  <c r="K174" i="1"/>
  <c r="K163" i="1"/>
  <c r="AH158" i="1"/>
  <c r="U150" i="1"/>
  <c r="AM169" i="1"/>
  <c r="D172" i="1"/>
  <c r="D147" i="1"/>
  <c r="J151" i="1"/>
  <c r="M141" i="1"/>
  <c r="AB171" i="1"/>
  <c r="AB154" i="1"/>
  <c r="K173" i="1"/>
  <c r="K160" i="1"/>
  <c r="R157" i="1"/>
  <c r="AH149" i="1"/>
  <c r="AD155" i="1"/>
  <c r="AD169" i="1"/>
  <c r="U174" i="1"/>
  <c r="Y159" i="1"/>
  <c r="J166" i="1"/>
  <c r="W147" i="1"/>
  <c r="J140" i="1"/>
  <c r="M153" i="1"/>
  <c r="U143" i="1"/>
  <c r="AM142" i="1"/>
  <c r="V159" i="1"/>
  <c r="AY68" i="1"/>
  <c r="AL110" i="1" s="1"/>
  <c r="AO280" i="1" s="1"/>
  <c r="J178" i="1"/>
  <c r="M146" i="1"/>
  <c r="K153" i="1"/>
  <c r="K154" i="1"/>
  <c r="AH161" i="1"/>
  <c r="U153" i="1"/>
  <c r="AM156" i="1"/>
  <c r="V148" i="1"/>
  <c r="D149" i="1"/>
  <c r="D143" i="1"/>
  <c r="J153" i="1"/>
  <c r="M157" i="1"/>
  <c r="AB139" i="1"/>
  <c r="AB170" i="1"/>
  <c r="K170" i="1"/>
  <c r="K151" i="1"/>
  <c r="R146" i="1"/>
  <c r="AH141" i="1"/>
  <c r="AD161" i="1"/>
  <c r="AD175" i="1"/>
  <c r="U144" i="1"/>
  <c r="H149" i="1"/>
  <c r="Y170" i="1"/>
  <c r="W166" i="1"/>
  <c r="Y157" i="1"/>
  <c r="J141" i="1"/>
  <c r="AH175" i="1"/>
  <c r="AM176" i="1"/>
  <c r="V173" i="1"/>
  <c r="J171" i="1"/>
  <c r="M156" i="1"/>
  <c r="K150" i="1"/>
  <c r="K148" i="1"/>
  <c r="AH157" i="1"/>
  <c r="U170" i="1"/>
  <c r="Z63" i="1"/>
  <c r="Z68" i="1" s="1"/>
  <c r="M110" i="1" s="1"/>
  <c r="Y255" i="1" s="1"/>
  <c r="AM170" i="1"/>
  <c r="V171" i="1"/>
  <c r="D178" i="1"/>
  <c r="D165" i="1"/>
  <c r="J157" i="1"/>
  <c r="M144" i="1"/>
  <c r="AB156" i="1"/>
  <c r="AB147" i="1"/>
  <c r="K159" i="1"/>
  <c r="K145" i="1"/>
  <c r="R155" i="1"/>
  <c r="AH159" i="1"/>
  <c r="AD139" i="1"/>
  <c r="AD178" i="1"/>
  <c r="U159" i="1"/>
  <c r="W146" i="1"/>
  <c r="U140" i="1"/>
  <c r="AH147" i="1"/>
  <c r="U160" i="1"/>
  <c r="AH152" i="1"/>
  <c r="U149" i="1"/>
  <c r="M158" i="1"/>
  <c r="AH151" i="1"/>
  <c r="U158" i="1"/>
  <c r="AI63" i="1"/>
  <c r="V113" i="1" s="1"/>
  <c r="V155" i="1"/>
  <c r="M159" i="1"/>
  <c r="K164" i="1"/>
  <c r="K139" i="1"/>
  <c r="AH146" i="1"/>
  <c r="AM178" i="1"/>
  <c r="V141" i="1"/>
  <c r="D152" i="1"/>
  <c r="C178" i="1"/>
  <c r="R177" i="1"/>
  <c r="AH148" i="1"/>
  <c r="AD176" i="1"/>
  <c r="C160" i="1"/>
  <c r="C153" i="1"/>
  <c r="AI143" i="1"/>
  <c r="C140" i="1"/>
  <c r="AI154" i="1"/>
  <c r="AI148" i="1"/>
  <c r="V176" i="1"/>
  <c r="W176" i="1"/>
  <c r="C158" i="1"/>
  <c r="Y158" i="1"/>
  <c r="J144" i="1"/>
  <c r="J173" i="1"/>
  <c r="C145" i="1"/>
  <c r="Y165" i="1"/>
  <c r="J168" i="1"/>
  <c r="J167" i="1"/>
  <c r="C155" i="1"/>
  <c r="Y162" i="1"/>
  <c r="V142" i="1"/>
  <c r="J158" i="1"/>
  <c r="J174" i="1"/>
  <c r="C176" i="1"/>
  <c r="R170" i="1"/>
  <c r="R151" i="1"/>
  <c r="W143" i="1"/>
  <c r="U164" i="1"/>
  <c r="C171" i="1"/>
  <c r="V143" i="1"/>
  <c r="S171" i="1"/>
  <c r="S157" i="1"/>
  <c r="J163" i="1"/>
  <c r="M172" i="1"/>
  <c r="C146" i="1"/>
  <c r="R176" i="1"/>
  <c r="R175" i="1"/>
  <c r="H171" i="1"/>
  <c r="AH166" i="1"/>
  <c r="W160" i="1"/>
  <c r="U139" i="1"/>
  <c r="C177" i="1"/>
  <c r="C169" i="1"/>
  <c r="S177" i="1"/>
  <c r="R171" i="1"/>
  <c r="U146" i="1"/>
  <c r="J169" i="1"/>
  <c r="M178" i="1"/>
  <c r="V164" i="1"/>
  <c r="S174" i="1"/>
  <c r="J150" i="1"/>
  <c r="M148" i="1"/>
  <c r="C149" i="1"/>
  <c r="R163" i="1"/>
  <c r="R172" i="1"/>
  <c r="H155" i="1"/>
  <c r="AH176" i="1"/>
  <c r="W151" i="1"/>
  <c r="U173" i="1"/>
  <c r="AI153" i="1"/>
  <c r="V174" i="1"/>
  <c r="J145" i="1"/>
  <c r="V147" i="1"/>
  <c r="R166" i="1"/>
  <c r="W161" i="1"/>
  <c r="V150" i="1"/>
  <c r="S163" i="1"/>
  <c r="J164" i="1"/>
  <c r="M139" i="1"/>
  <c r="C166" i="1"/>
  <c r="R160" i="1"/>
  <c r="R165" i="1"/>
  <c r="H170" i="1"/>
  <c r="AH177" i="1"/>
  <c r="W142" i="1"/>
  <c r="U169" i="1"/>
  <c r="Y147" i="1"/>
  <c r="J146" i="1"/>
  <c r="C157" i="1"/>
  <c r="J152" i="1"/>
  <c r="S144" i="1"/>
  <c r="W173" i="1"/>
  <c r="C170" i="1"/>
  <c r="R174" i="1"/>
  <c r="U172" i="1"/>
  <c r="Y177" i="1"/>
  <c r="V149" i="1"/>
  <c r="S154" i="1"/>
  <c r="J156" i="1"/>
  <c r="M165" i="1"/>
  <c r="C142" i="1"/>
  <c r="R142" i="1"/>
  <c r="R152" i="1"/>
  <c r="H160" i="1"/>
  <c r="AH145" i="1"/>
  <c r="W157" i="1"/>
  <c r="U141" i="1"/>
  <c r="J177" i="1"/>
  <c r="J159" i="1"/>
  <c r="W164" i="1"/>
  <c r="V144" i="1"/>
  <c r="Y140" i="1"/>
  <c r="V140" i="1"/>
  <c r="S153" i="1"/>
  <c r="J170" i="1"/>
  <c r="M147" i="1"/>
  <c r="C168" i="1"/>
  <c r="R161" i="1"/>
  <c r="R141" i="1"/>
  <c r="H169" i="1"/>
  <c r="AH154" i="1"/>
  <c r="W158" i="1"/>
  <c r="AI144" i="1"/>
  <c r="Y144" i="1"/>
  <c r="J147" i="1"/>
  <c r="C139" i="1"/>
  <c r="AH63" i="1"/>
  <c r="AH68" i="1" s="1"/>
  <c r="U110" i="1" s="1"/>
  <c r="AL63" i="1"/>
  <c r="AL68" i="1" s="1"/>
  <c r="Y110" i="1" s="1"/>
  <c r="C175" i="1"/>
  <c r="R158" i="1"/>
  <c r="W139" i="1"/>
  <c r="V162" i="1"/>
  <c r="J143" i="1"/>
  <c r="M175" i="1"/>
  <c r="C165" i="1"/>
  <c r="R148" i="1"/>
  <c r="H162" i="1"/>
  <c r="AH163" i="1"/>
  <c r="W168" i="1"/>
  <c r="U154" i="1"/>
  <c r="AI168" i="1"/>
  <c r="S150" i="1"/>
  <c r="AI173" i="1"/>
  <c r="S141" i="1"/>
  <c r="AI165" i="1"/>
  <c r="S148" i="1"/>
  <c r="S143" i="1"/>
  <c r="M169" i="1"/>
  <c r="M145" i="1"/>
  <c r="Y174" i="1"/>
  <c r="Y141" i="1"/>
  <c r="S140" i="1"/>
  <c r="M162" i="1"/>
  <c r="M161" i="1"/>
  <c r="C154" i="1"/>
  <c r="C159" i="1"/>
  <c r="H139" i="1"/>
  <c r="AI145" i="1"/>
  <c r="Y154" i="1"/>
  <c r="M170" i="1"/>
  <c r="M150" i="1"/>
  <c r="C152" i="1"/>
  <c r="C156" i="1"/>
  <c r="H157" i="1"/>
  <c r="W177" i="1"/>
  <c r="W156" i="1"/>
  <c r="H167" i="1"/>
  <c r="Y167" i="1"/>
  <c r="M160" i="1"/>
  <c r="C167" i="1"/>
  <c r="C150" i="1"/>
  <c r="H156" i="1"/>
  <c r="W154" i="1"/>
  <c r="W150" i="1"/>
  <c r="U161" i="1"/>
  <c r="U152" i="1"/>
  <c r="S169" i="1"/>
  <c r="M174" i="1"/>
  <c r="Y155" i="1"/>
  <c r="C161" i="1"/>
  <c r="Y142" i="1"/>
  <c r="V165" i="1"/>
  <c r="V177" i="1"/>
  <c r="M177" i="1"/>
  <c r="C174" i="1"/>
  <c r="C141" i="1"/>
  <c r="H143" i="1"/>
  <c r="W178" i="1"/>
  <c r="W141" i="1"/>
  <c r="U142" i="1"/>
  <c r="AI178" i="1"/>
  <c r="AI151" i="1"/>
  <c r="H172" i="1"/>
  <c r="Y178" i="1"/>
  <c r="V156" i="1"/>
  <c r="V166" i="1"/>
  <c r="M166" i="1"/>
  <c r="C172" i="1"/>
  <c r="H175" i="1"/>
  <c r="W140" i="1"/>
  <c r="U155" i="1"/>
  <c r="AI172" i="1"/>
  <c r="C144" i="1"/>
  <c r="H145" i="1"/>
  <c r="Y169" i="1"/>
  <c r="V170" i="1"/>
  <c r="V160" i="1"/>
  <c r="M151" i="1"/>
  <c r="C151" i="1"/>
  <c r="H166" i="1"/>
  <c r="W174" i="1"/>
  <c r="U177" i="1"/>
  <c r="AI150" i="1"/>
  <c r="M142" i="1"/>
  <c r="AI170" i="1"/>
  <c r="Y146" i="1"/>
  <c r="V139" i="1"/>
  <c r="V151" i="1"/>
  <c r="H148" i="1"/>
  <c r="W171" i="1"/>
  <c r="U167" i="1"/>
  <c r="AI155" i="1"/>
  <c r="S162" i="1"/>
  <c r="AI176" i="1"/>
  <c r="AI146" i="1"/>
  <c r="S172" i="1"/>
  <c r="AI164" i="1"/>
  <c r="AI166" i="1"/>
  <c r="S178" i="1"/>
  <c r="H152" i="1"/>
  <c r="H151" i="1"/>
  <c r="AI175" i="1"/>
  <c r="AI163" i="1"/>
  <c r="Y151" i="1"/>
  <c r="Y153" i="1"/>
  <c r="S165" i="1"/>
  <c r="I113" i="1"/>
  <c r="U31" i="1" s="1"/>
  <c r="H174" i="1"/>
  <c r="H144" i="1"/>
  <c r="AI152" i="1"/>
  <c r="AI160" i="1"/>
  <c r="Y171" i="1"/>
  <c r="Y150" i="1"/>
  <c r="V172" i="1"/>
  <c r="S176" i="1"/>
  <c r="S159" i="1"/>
  <c r="H168" i="1"/>
  <c r="H164" i="1"/>
  <c r="U151" i="1"/>
  <c r="U162" i="1"/>
  <c r="AI162" i="1"/>
  <c r="AI157" i="1"/>
  <c r="AI147" i="1"/>
  <c r="W68" i="1"/>
  <c r="J110" i="1" s="1"/>
  <c r="S252" i="1" s="1"/>
  <c r="Y173" i="1"/>
  <c r="S166" i="1"/>
  <c r="S164" i="1"/>
  <c r="H177" i="1"/>
  <c r="H142" i="1"/>
  <c r="U171" i="1"/>
  <c r="U148" i="1"/>
  <c r="AI167" i="1"/>
  <c r="S139" i="1"/>
  <c r="S151" i="1"/>
  <c r="AI169" i="1"/>
  <c r="AI139" i="1"/>
  <c r="S170" i="1"/>
  <c r="Y143" i="1"/>
  <c r="V163" i="1"/>
  <c r="V145" i="1"/>
  <c r="S142" i="1"/>
  <c r="S158" i="1"/>
  <c r="H147" i="1"/>
  <c r="W149" i="1"/>
  <c r="W148" i="1"/>
  <c r="U168" i="1"/>
  <c r="U145" i="1"/>
  <c r="AI171" i="1"/>
  <c r="S167" i="1"/>
  <c r="H173" i="1"/>
  <c r="AI141" i="1"/>
  <c r="Y168" i="1"/>
  <c r="V157" i="1"/>
  <c r="V178" i="1"/>
  <c r="S145" i="1"/>
  <c r="S155" i="1"/>
  <c r="H161" i="1"/>
  <c r="W175" i="1"/>
  <c r="W172" i="1"/>
  <c r="U178" i="1"/>
  <c r="AV63" i="1"/>
  <c r="AV68" i="1" s="1"/>
  <c r="AI110" i="1" s="1"/>
  <c r="AI156" i="1"/>
  <c r="S156" i="1"/>
  <c r="AI142" i="1"/>
  <c r="S160" i="1"/>
  <c r="Y152" i="1"/>
  <c r="S161" i="1"/>
  <c r="H141" i="1"/>
  <c r="H146" i="1"/>
  <c r="U147" i="1"/>
  <c r="U156" i="1"/>
  <c r="Y161" i="1"/>
  <c r="V167" i="1"/>
  <c r="V153" i="1"/>
  <c r="S173" i="1"/>
  <c r="S152" i="1"/>
  <c r="H158" i="1"/>
  <c r="W169" i="1"/>
  <c r="W163" i="1"/>
  <c r="U165" i="1"/>
  <c r="T113" i="1"/>
  <c r="AF32" i="1" s="1"/>
  <c r="AI140" i="1"/>
  <c r="S147" i="1"/>
  <c r="H176" i="1"/>
  <c r="Y175" i="1"/>
  <c r="Y149" i="1"/>
  <c r="S168" i="1"/>
  <c r="S149" i="1"/>
  <c r="H150" i="1"/>
  <c r="AI174" i="1"/>
  <c r="Y166" i="1"/>
  <c r="V154" i="1"/>
  <c r="S175" i="1"/>
  <c r="W152" i="1"/>
  <c r="P63" i="1"/>
  <c r="AO68" i="1"/>
  <c r="AB110" i="1" s="1"/>
  <c r="AD270" i="1" s="1"/>
  <c r="O113" i="1"/>
  <c r="AA31" i="1" s="1"/>
  <c r="AE113" i="1"/>
  <c r="AQ32" i="1" s="1"/>
  <c r="L113" i="1"/>
  <c r="X31" i="1" s="1"/>
  <c r="AN68" i="1"/>
  <c r="AA110" i="1" s="1"/>
  <c r="AN269" i="1" s="1"/>
  <c r="R113" i="1"/>
  <c r="AD31" i="1" s="1"/>
  <c r="AC113" i="1"/>
  <c r="AO32" i="1" s="1"/>
  <c r="Q68" i="1"/>
  <c r="D110" i="1" s="1"/>
  <c r="F246" i="1" s="1"/>
  <c r="AM68" i="1"/>
  <c r="Z110" i="1" s="1"/>
  <c r="F268" i="1" s="1"/>
  <c r="AF113" i="1"/>
  <c r="AS68" i="1"/>
  <c r="AF110" i="1" s="1"/>
  <c r="D262" i="1"/>
  <c r="AB262" i="1"/>
  <c r="F262" i="1"/>
  <c r="AD262" i="1"/>
  <c r="H262" i="1"/>
  <c r="AF262" i="1"/>
  <c r="AC262" i="1"/>
  <c r="C262" i="1"/>
  <c r="AG262" i="1"/>
  <c r="J360" i="1"/>
  <c r="J556" i="1" s="1"/>
  <c r="AH360" i="1"/>
  <c r="AH556" i="1" s="1"/>
  <c r="T262" i="1"/>
  <c r="V262" i="1"/>
  <c r="M360" i="1"/>
  <c r="M556" i="1" s="1"/>
  <c r="AL360" i="1"/>
  <c r="AL556" i="1" s="1"/>
  <c r="AH262" i="1"/>
  <c r="AJ262" i="1"/>
  <c r="E360" i="1"/>
  <c r="E556" i="1" s="1"/>
  <c r="AE360" i="1"/>
  <c r="AE556" i="1" s="1"/>
  <c r="E262" i="1"/>
  <c r="AL262" i="1"/>
  <c r="Q262" i="1"/>
  <c r="P262" i="1"/>
  <c r="U262" i="1"/>
  <c r="J262" i="1"/>
  <c r="K262" i="1"/>
  <c r="L262" i="1"/>
  <c r="X262" i="1"/>
  <c r="AE262" i="1"/>
  <c r="W262" i="1"/>
  <c r="D360" i="1"/>
  <c r="D556" i="1" s="1"/>
  <c r="AF360" i="1"/>
  <c r="AF556" i="1" s="1"/>
  <c r="Y262" i="1"/>
  <c r="F360" i="1"/>
  <c r="F556" i="1" s="1"/>
  <c r="AG360" i="1"/>
  <c r="AG556" i="1" s="1"/>
  <c r="Z262" i="1"/>
  <c r="G360" i="1"/>
  <c r="G556" i="1" s="1"/>
  <c r="AI360" i="1"/>
  <c r="AI556" i="1" s="1"/>
  <c r="AA262" i="1"/>
  <c r="H360" i="1"/>
  <c r="H556" i="1" s="1"/>
  <c r="AJ360" i="1"/>
  <c r="AJ556" i="1" s="1"/>
  <c r="AN262" i="1"/>
  <c r="O262" i="1"/>
  <c r="R360" i="1"/>
  <c r="R556" i="1" s="1"/>
  <c r="R262" i="1"/>
  <c r="S360" i="1"/>
  <c r="S556" i="1" s="1"/>
  <c r="S262" i="1"/>
  <c r="T360" i="1"/>
  <c r="T556" i="1" s="1"/>
  <c r="AI262" i="1"/>
  <c r="U360" i="1"/>
  <c r="U556" i="1" s="1"/>
  <c r="AK262" i="1"/>
  <c r="V360" i="1"/>
  <c r="V556" i="1" s="1"/>
  <c r="AM262" i="1"/>
  <c r="W360" i="1"/>
  <c r="W556" i="1" s="1"/>
  <c r="AO262" i="1"/>
  <c r="X360" i="1"/>
  <c r="X556" i="1" s="1"/>
  <c r="N360" i="1"/>
  <c r="N556" i="1" s="1"/>
  <c r="O360" i="1"/>
  <c r="O556" i="1" s="1"/>
  <c r="P360" i="1"/>
  <c r="P556" i="1" s="1"/>
  <c r="Q360" i="1"/>
  <c r="Q556" i="1" s="1"/>
  <c r="Y360" i="1"/>
  <c r="Y556" i="1" s="1"/>
  <c r="Z360" i="1"/>
  <c r="Z556" i="1" s="1"/>
  <c r="AA360" i="1"/>
  <c r="AA556" i="1" s="1"/>
  <c r="AB360" i="1"/>
  <c r="AB556" i="1" s="1"/>
  <c r="AC360" i="1"/>
  <c r="AC556" i="1" s="1"/>
  <c r="G262" i="1"/>
  <c r="AO360" i="1"/>
  <c r="AO556" i="1" s="1"/>
  <c r="B262" i="1"/>
  <c r="AN360" i="1"/>
  <c r="AN556" i="1" s="1"/>
  <c r="I262" i="1"/>
  <c r="M262" i="1"/>
  <c r="N262" i="1"/>
  <c r="C360" i="1"/>
  <c r="C556" i="1" s="1"/>
  <c r="B360" i="1"/>
  <c r="B556" i="1" s="1"/>
  <c r="I360" i="1"/>
  <c r="I556" i="1" s="1"/>
  <c r="K360" i="1"/>
  <c r="K556" i="1" s="1"/>
  <c r="AD360" i="1"/>
  <c r="AD556" i="1" s="1"/>
  <c r="AM360" i="1"/>
  <c r="AM556" i="1" s="1"/>
  <c r="L360" i="1"/>
  <c r="L556" i="1" s="1"/>
  <c r="AK360" i="1"/>
  <c r="AK556" i="1" s="1"/>
  <c r="T68" i="1"/>
  <c r="G110" i="1" s="1"/>
  <c r="G113" i="1"/>
  <c r="L251" i="1"/>
  <c r="AJ251" i="1"/>
  <c r="N251" i="1"/>
  <c r="AL251" i="1"/>
  <c r="P251" i="1"/>
  <c r="AN251" i="1"/>
  <c r="C251" i="1"/>
  <c r="AD251" i="1"/>
  <c r="E251" i="1"/>
  <c r="AF251" i="1"/>
  <c r="R349" i="1"/>
  <c r="R545" i="1" s="1"/>
  <c r="G251" i="1"/>
  <c r="AH251" i="1"/>
  <c r="AC251" i="1"/>
  <c r="AG251" i="1"/>
  <c r="B349" i="1"/>
  <c r="B545" i="1" s="1"/>
  <c r="AA349" i="1"/>
  <c r="AA545" i="1" s="1"/>
  <c r="B251" i="1"/>
  <c r="AM251" i="1"/>
  <c r="F251" i="1"/>
  <c r="AB349" i="1"/>
  <c r="AB545" i="1" s="1"/>
  <c r="I251" i="1"/>
  <c r="V251" i="1"/>
  <c r="Q251" i="1"/>
  <c r="T251" i="1"/>
  <c r="J251" i="1"/>
  <c r="K251" i="1"/>
  <c r="M251" i="1"/>
  <c r="Y251" i="1"/>
  <c r="Z349" i="1"/>
  <c r="Z545" i="1" s="1"/>
  <c r="AE251" i="1"/>
  <c r="U251" i="1"/>
  <c r="G349" i="1"/>
  <c r="G545" i="1" s="1"/>
  <c r="AI349" i="1"/>
  <c r="AI545" i="1" s="1"/>
  <c r="W251" i="1"/>
  <c r="H349" i="1"/>
  <c r="H545" i="1" s="1"/>
  <c r="AJ349" i="1"/>
  <c r="AJ545" i="1" s="1"/>
  <c r="X251" i="1"/>
  <c r="I349" i="1"/>
  <c r="I545" i="1" s="1"/>
  <c r="AK349" i="1"/>
  <c r="AK545" i="1" s="1"/>
  <c r="Z251" i="1"/>
  <c r="J349" i="1"/>
  <c r="J545" i="1" s="1"/>
  <c r="AL349" i="1"/>
  <c r="AL545" i="1" s="1"/>
  <c r="AK251" i="1"/>
  <c r="AD349" i="1"/>
  <c r="AD545" i="1" s="1"/>
  <c r="AE349" i="1"/>
  <c r="AE545" i="1" s="1"/>
  <c r="AF349" i="1"/>
  <c r="AF545" i="1" s="1"/>
  <c r="AG349" i="1"/>
  <c r="AG545" i="1" s="1"/>
  <c r="AH349" i="1"/>
  <c r="AH545" i="1" s="1"/>
  <c r="C349" i="1"/>
  <c r="C545" i="1" s="1"/>
  <c r="AM349" i="1"/>
  <c r="AM545" i="1" s="1"/>
  <c r="D251" i="1"/>
  <c r="D349" i="1"/>
  <c r="D545" i="1" s="1"/>
  <c r="AN349" i="1"/>
  <c r="AN545" i="1" s="1"/>
  <c r="O251" i="1"/>
  <c r="E349" i="1"/>
  <c r="E545" i="1" s="1"/>
  <c r="F349" i="1"/>
  <c r="F545" i="1" s="1"/>
  <c r="K349" i="1"/>
  <c r="K545" i="1" s="1"/>
  <c r="P349" i="1"/>
  <c r="P545" i="1" s="1"/>
  <c r="AB251" i="1"/>
  <c r="AI251" i="1"/>
  <c r="L349" i="1"/>
  <c r="L545" i="1" s="1"/>
  <c r="AO251" i="1"/>
  <c r="M349" i="1"/>
  <c r="M545" i="1" s="1"/>
  <c r="N349" i="1"/>
  <c r="N545" i="1" s="1"/>
  <c r="O349" i="1"/>
  <c r="O545" i="1" s="1"/>
  <c r="Q349" i="1"/>
  <c r="Q545" i="1" s="1"/>
  <c r="S349" i="1"/>
  <c r="S545" i="1" s="1"/>
  <c r="U349" i="1"/>
  <c r="U545" i="1" s="1"/>
  <c r="V349" i="1"/>
  <c r="V545" i="1" s="1"/>
  <c r="AC349" i="1"/>
  <c r="AC545" i="1" s="1"/>
  <c r="AO349" i="1"/>
  <c r="AO545" i="1" s="1"/>
  <c r="T349" i="1"/>
  <c r="T545" i="1" s="1"/>
  <c r="W349" i="1"/>
  <c r="W545" i="1" s="1"/>
  <c r="X349" i="1"/>
  <c r="X545" i="1" s="1"/>
  <c r="Y349" i="1"/>
  <c r="Y545" i="1" s="1"/>
  <c r="H251" i="1"/>
  <c r="AA251" i="1"/>
  <c r="R251" i="1"/>
  <c r="S251" i="1"/>
  <c r="AT68" i="1"/>
  <c r="AG110" i="1" s="1"/>
  <c r="AG113" i="1"/>
  <c r="K113" i="1"/>
  <c r="X68" i="1"/>
  <c r="K110" i="1" s="1"/>
  <c r="B113" i="1"/>
  <c r="O68" i="1"/>
  <c r="B110" i="1" s="1"/>
  <c r="L260" i="1"/>
  <c r="AJ260" i="1"/>
  <c r="N260" i="1"/>
  <c r="AL260" i="1"/>
  <c r="P260" i="1"/>
  <c r="AN260" i="1"/>
  <c r="AA260" i="1"/>
  <c r="B260" i="1"/>
  <c r="AC260" i="1"/>
  <c r="R358" i="1"/>
  <c r="R554" i="1" s="1"/>
  <c r="J260" i="1"/>
  <c r="M260" i="1"/>
  <c r="Q358" i="1"/>
  <c r="Q554" i="1" s="1"/>
  <c r="O260" i="1"/>
  <c r="R260" i="1"/>
  <c r="G358" i="1"/>
  <c r="G554" i="1" s="1"/>
  <c r="AG358" i="1"/>
  <c r="AG554" i="1" s="1"/>
  <c r="T260" i="1"/>
  <c r="AF260" i="1"/>
  <c r="U260" i="1"/>
  <c r="X260" i="1"/>
  <c r="C260" i="1"/>
  <c r="D260" i="1"/>
  <c r="E260" i="1"/>
  <c r="S260" i="1"/>
  <c r="Z260" i="1"/>
  <c r="C358" i="1"/>
  <c r="C554" i="1" s="1"/>
  <c r="AD358" i="1"/>
  <c r="AD554" i="1" s="1"/>
  <c r="D358" i="1"/>
  <c r="D554" i="1" s="1"/>
  <c r="AE358" i="1"/>
  <c r="AE554" i="1" s="1"/>
  <c r="E358" i="1"/>
  <c r="E554" i="1" s="1"/>
  <c r="AF358" i="1"/>
  <c r="AF554" i="1" s="1"/>
  <c r="F358" i="1"/>
  <c r="F554" i="1" s="1"/>
  <c r="AH358" i="1"/>
  <c r="AH554" i="1" s="1"/>
  <c r="H260" i="1"/>
  <c r="Q260" i="1"/>
  <c r="Y260" i="1"/>
  <c r="AB260" i="1"/>
  <c r="AC358" i="1"/>
  <c r="AC554" i="1" s="1"/>
  <c r="AD260" i="1"/>
  <c r="AI358" i="1"/>
  <c r="AI554" i="1" s="1"/>
  <c r="AE260" i="1"/>
  <c r="AJ358" i="1"/>
  <c r="AJ554" i="1" s="1"/>
  <c r="AG260" i="1"/>
  <c r="AK358" i="1"/>
  <c r="AK554" i="1" s="1"/>
  <c r="AH260" i="1"/>
  <c r="B358" i="1"/>
  <c r="B554" i="1" s="1"/>
  <c r="AL358" i="1"/>
  <c r="AL554" i="1" s="1"/>
  <c r="AI260" i="1"/>
  <c r="H358" i="1"/>
  <c r="H554" i="1" s="1"/>
  <c r="AM358" i="1"/>
  <c r="AM554" i="1" s="1"/>
  <c r="AK260" i="1"/>
  <c r="I358" i="1"/>
  <c r="I554" i="1" s="1"/>
  <c r="AN358" i="1"/>
  <c r="AN554" i="1" s="1"/>
  <c r="AO260" i="1"/>
  <c r="W260" i="1"/>
  <c r="AM260" i="1"/>
  <c r="J358" i="1"/>
  <c r="J554" i="1" s="1"/>
  <c r="K358" i="1"/>
  <c r="K554" i="1" s="1"/>
  <c r="L358" i="1"/>
  <c r="L554" i="1" s="1"/>
  <c r="M358" i="1"/>
  <c r="M554" i="1" s="1"/>
  <c r="N358" i="1"/>
  <c r="N554" i="1" s="1"/>
  <c r="O358" i="1"/>
  <c r="O554" i="1" s="1"/>
  <c r="P358" i="1"/>
  <c r="P554" i="1" s="1"/>
  <c r="S358" i="1"/>
  <c r="S554" i="1" s="1"/>
  <c r="X358" i="1"/>
  <c r="X554" i="1" s="1"/>
  <c r="AB358" i="1"/>
  <c r="AB554" i="1" s="1"/>
  <c r="AO358" i="1"/>
  <c r="AO554" i="1" s="1"/>
  <c r="G260" i="1"/>
  <c r="T358" i="1"/>
  <c r="T554" i="1" s="1"/>
  <c r="F260" i="1"/>
  <c r="I260" i="1"/>
  <c r="U358" i="1"/>
  <c r="U554" i="1" s="1"/>
  <c r="K260" i="1"/>
  <c r="V358" i="1"/>
  <c r="V554" i="1" s="1"/>
  <c r="V260" i="1"/>
  <c r="W358" i="1"/>
  <c r="W554" i="1" s="1"/>
  <c r="Y358" i="1"/>
  <c r="Y554" i="1" s="1"/>
  <c r="Z358" i="1"/>
  <c r="Z554" i="1" s="1"/>
  <c r="AA358" i="1"/>
  <c r="AA554" i="1" s="1"/>
  <c r="R68" i="1"/>
  <c r="E110" i="1" s="1"/>
  <c r="E113" i="1"/>
  <c r="AD113" i="1"/>
  <c r="AQ68" i="1"/>
  <c r="AD110" i="1" s="1"/>
  <c r="P113" i="1"/>
  <c r="AC68" i="1"/>
  <c r="P110" i="1" s="1"/>
  <c r="BA68" i="1"/>
  <c r="AN110" i="1" s="1"/>
  <c r="AN113" i="1"/>
  <c r="L257" i="1"/>
  <c r="AJ257" i="1"/>
  <c r="N257" i="1"/>
  <c r="AL257" i="1"/>
  <c r="P257" i="1"/>
  <c r="AN257" i="1"/>
  <c r="I257" i="1"/>
  <c r="AK257" i="1"/>
  <c r="K257" i="1"/>
  <c r="AO257" i="1"/>
  <c r="R355" i="1"/>
  <c r="R551" i="1" s="1"/>
  <c r="O257" i="1"/>
  <c r="H257" i="1"/>
  <c r="M257" i="1"/>
  <c r="L355" i="1"/>
  <c r="L551" i="1" s="1"/>
  <c r="AK355" i="1"/>
  <c r="AK551" i="1" s="1"/>
  <c r="AG257" i="1"/>
  <c r="C257" i="1"/>
  <c r="AI257" i="1"/>
  <c r="W355" i="1"/>
  <c r="W551" i="1" s="1"/>
  <c r="E257" i="1"/>
  <c r="W257" i="1"/>
  <c r="V257" i="1"/>
  <c r="Z257" i="1"/>
  <c r="AH257" i="1"/>
  <c r="AM257" i="1"/>
  <c r="G257" i="1"/>
  <c r="S257" i="1"/>
  <c r="D257" i="1"/>
  <c r="N355" i="1"/>
  <c r="N551" i="1" s="1"/>
  <c r="AO355" i="1"/>
  <c r="AO551" i="1" s="1"/>
  <c r="F257" i="1"/>
  <c r="O355" i="1"/>
  <c r="O551" i="1" s="1"/>
  <c r="J257" i="1"/>
  <c r="P355" i="1"/>
  <c r="P551" i="1" s="1"/>
  <c r="Q257" i="1"/>
  <c r="Q355" i="1"/>
  <c r="Q551" i="1" s="1"/>
  <c r="X257" i="1"/>
  <c r="AB257" i="1"/>
  <c r="AE257" i="1"/>
  <c r="V355" i="1"/>
  <c r="V551" i="1" s="1"/>
  <c r="X355" i="1"/>
  <c r="X551" i="1" s="1"/>
  <c r="Y355" i="1"/>
  <c r="Y551" i="1" s="1"/>
  <c r="Z355" i="1"/>
  <c r="Z551" i="1" s="1"/>
  <c r="AA355" i="1"/>
  <c r="AA551" i="1" s="1"/>
  <c r="AB355" i="1"/>
  <c r="AB551" i="1" s="1"/>
  <c r="B257" i="1"/>
  <c r="AC355" i="1"/>
  <c r="AC551" i="1" s="1"/>
  <c r="T257" i="1"/>
  <c r="AF355" i="1"/>
  <c r="AF551" i="1" s="1"/>
  <c r="AG355" i="1"/>
  <c r="AG551" i="1" s="1"/>
  <c r="AH355" i="1"/>
  <c r="AH551" i="1" s="1"/>
  <c r="AI355" i="1"/>
  <c r="AI551" i="1" s="1"/>
  <c r="AJ355" i="1"/>
  <c r="AJ551" i="1" s="1"/>
  <c r="AL355" i="1"/>
  <c r="AL551" i="1" s="1"/>
  <c r="AM355" i="1"/>
  <c r="AM551" i="1" s="1"/>
  <c r="AN355" i="1"/>
  <c r="AN551" i="1" s="1"/>
  <c r="B355" i="1"/>
  <c r="B551" i="1" s="1"/>
  <c r="G355" i="1"/>
  <c r="G551" i="1" s="1"/>
  <c r="R257" i="1"/>
  <c r="D355" i="1"/>
  <c r="D551" i="1" s="1"/>
  <c r="U257" i="1"/>
  <c r="E355" i="1"/>
  <c r="E551" i="1" s="1"/>
  <c r="Y257" i="1"/>
  <c r="F355" i="1"/>
  <c r="F551" i="1" s="1"/>
  <c r="AA257" i="1"/>
  <c r="H355" i="1"/>
  <c r="H551" i="1" s="1"/>
  <c r="AC257" i="1"/>
  <c r="I355" i="1"/>
  <c r="I551" i="1" s="1"/>
  <c r="AD257" i="1"/>
  <c r="J355" i="1"/>
  <c r="J551" i="1" s="1"/>
  <c r="AF257" i="1"/>
  <c r="K355" i="1"/>
  <c r="K551" i="1" s="1"/>
  <c r="S355" i="1"/>
  <c r="S551" i="1" s="1"/>
  <c r="T355" i="1"/>
  <c r="T551" i="1" s="1"/>
  <c r="U355" i="1"/>
  <c r="U551" i="1" s="1"/>
  <c r="AE355" i="1"/>
  <c r="AE551" i="1" s="1"/>
  <c r="C355" i="1"/>
  <c r="C551" i="1" s="1"/>
  <c r="M355" i="1"/>
  <c r="M551" i="1" s="1"/>
  <c r="AD355" i="1"/>
  <c r="AD551" i="1" s="1"/>
  <c r="X113" i="1"/>
  <c r="AK68" i="1"/>
  <c r="X110" i="1" s="1"/>
  <c r="H113" i="1"/>
  <c r="U68" i="1"/>
  <c r="H110" i="1" s="1"/>
  <c r="AF68" i="1"/>
  <c r="S110" i="1" s="1"/>
  <c r="S113" i="1"/>
  <c r="D283" i="1"/>
  <c r="AB283" i="1"/>
  <c r="BA32" i="1"/>
  <c r="F283" i="1"/>
  <c r="AD283" i="1"/>
  <c r="H283" i="1"/>
  <c r="AF283" i="1"/>
  <c r="O283" i="1"/>
  <c r="J283" i="1"/>
  <c r="AL283" i="1"/>
  <c r="T283" i="1"/>
  <c r="V283" i="1"/>
  <c r="W381" i="1"/>
  <c r="W577" i="1" s="1"/>
  <c r="X283" i="1"/>
  <c r="BA31" i="1"/>
  <c r="AG283" i="1"/>
  <c r="AJ283" i="1"/>
  <c r="S283" i="1"/>
  <c r="W283" i="1"/>
  <c r="AI283" i="1"/>
  <c r="C283" i="1"/>
  <c r="AO283" i="1"/>
  <c r="L283" i="1"/>
  <c r="M283" i="1"/>
  <c r="N283" i="1"/>
  <c r="J381" i="1"/>
  <c r="J577" i="1" s="1"/>
  <c r="AI381" i="1"/>
  <c r="AI577" i="1" s="1"/>
  <c r="P283" i="1"/>
  <c r="Y283" i="1"/>
  <c r="AC283" i="1"/>
  <c r="AK283" i="1"/>
  <c r="E283" i="1"/>
  <c r="E381" i="1"/>
  <c r="E577" i="1" s="1"/>
  <c r="AE381" i="1"/>
  <c r="AE577" i="1" s="1"/>
  <c r="G283" i="1"/>
  <c r="F381" i="1"/>
  <c r="F577" i="1" s="1"/>
  <c r="AF381" i="1"/>
  <c r="AF577" i="1" s="1"/>
  <c r="I283" i="1"/>
  <c r="G381" i="1"/>
  <c r="G577" i="1" s="1"/>
  <c r="AG381" i="1"/>
  <c r="AG577" i="1" s="1"/>
  <c r="K283" i="1"/>
  <c r="Q283" i="1"/>
  <c r="I381" i="1"/>
  <c r="I577" i="1" s="1"/>
  <c r="AJ381" i="1"/>
  <c r="AJ577" i="1" s="1"/>
  <c r="R283" i="1"/>
  <c r="U283" i="1"/>
  <c r="AA283" i="1"/>
  <c r="U381" i="1"/>
  <c r="U577" i="1" s="1"/>
  <c r="V381" i="1"/>
  <c r="V577" i="1" s="1"/>
  <c r="X381" i="1"/>
  <c r="X577" i="1" s="1"/>
  <c r="Y381" i="1"/>
  <c r="Y577" i="1" s="1"/>
  <c r="Z381" i="1"/>
  <c r="Z577" i="1" s="1"/>
  <c r="AA381" i="1"/>
  <c r="AA577" i="1" s="1"/>
  <c r="AB381" i="1"/>
  <c r="AB577" i="1" s="1"/>
  <c r="AC381" i="1"/>
  <c r="AC577" i="1" s="1"/>
  <c r="AD381" i="1"/>
  <c r="AD577" i="1" s="1"/>
  <c r="H381" i="1"/>
  <c r="H577" i="1" s="1"/>
  <c r="AN283" i="1"/>
  <c r="AM381" i="1"/>
  <c r="AM577" i="1" s="1"/>
  <c r="AN381" i="1"/>
  <c r="AN577" i="1" s="1"/>
  <c r="AO381" i="1"/>
  <c r="AO577" i="1" s="1"/>
  <c r="B381" i="1"/>
  <c r="B577" i="1" s="1"/>
  <c r="C381" i="1"/>
  <c r="C577" i="1" s="1"/>
  <c r="M381" i="1"/>
  <c r="M577" i="1" s="1"/>
  <c r="N381" i="1"/>
  <c r="N577" i="1" s="1"/>
  <c r="Q381" i="1"/>
  <c r="Q577" i="1" s="1"/>
  <c r="D381" i="1"/>
  <c r="D577" i="1" s="1"/>
  <c r="AK381" i="1"/>
  <c r="AK577" i="1" s="1"/>
  <c r="AL381" i="1"/>
  <c r="AL577" i="1" s="1"/>
  <c r="B283" i="1"/>
  <c r="Z283" i="1"/>
  <c r="AE283" i="1"/>
  <c r="AH283" i="1"/>
  <c r="AM283" i="1"/>
  <c r="L381" i="1"/>
  <c r="L577" i="1" s="1"/>
  <c r="O381" i="1"/>
  <c r="O577" i="1" s="1"/>
  <c r="P381" i="1"/>
  <c r="P577" i="1" s="1"/>
  <c r="R381" i="1"/>
  <c r="R577" i="1" s="1"/>
  <c r="S381" i="1"/>
  <c r="S577" i="1" s="1"/>
  <c r="T381" i="1"/>
  <c r="T577" i="1" s="1"/>
  <c r="AH381" i="1"/>
  <c r="AH577" i="1" s="1"/>
  <c r="K381" i="1"/>
  <c r="K577" i="1" s="1"/>
  <c r="AH113" i="1"/>
  <c r="AU68" i="1"/>
  <c r="AH110" i="1" s="1"/>
  <c r="L254" i="1"/>
  <c r="AJ254" i="1"/>
  <c r="N254" i="1"/>
  <c r="AL254" i="1"/>
  <c r="P254" i="1"/>
  <c r="AN254" i="1"/>
  <c r="U254" i="1"/>
  <c r="W254" i="1"/>
  <c r="R352" i="1"/>
  <c r="R548" i="1" s="1"/>
  <c r="Y254" i="1"/>
  <c r="E254" i="1"/>
  <c r="AI254" i="1"/>
  <c r="G254" i="1"/>
  <c r="AM254" i="1"/>
  <c r="G352" i="1"/>
  <c r="G548" i="1" s="1"/>
  <c r="AF352" i="1"/>
  <c r="AF548" i="1" s="1"/>
  <c r="S254" i="1"/>
  <c r="V254" i="1"/>
  <c r="L352" i="1"/>
  <c r="L548" i="1" s="1"/>
  <c r="AL352" i="1"/>
  <c r="AL548" i="1" s="1"/>
  <c r="Z254" i="1"/>
  <c r="D254" i="1"/>
  <c r="AO254" i="1"/>
  <c r="Q254" i="1"/>
  <c r="X254" i="1"/>
  <c r="AA254" i="1"/>
  <c r="AB254" i="1"/>
  <c r="AC254" i="1"/>
  <c r="B254" i="1"/>
  <c r="J254" i="1"/>
  <c r="Y352" i="1"/>
  <c r="Y548" i="1" s="1"/>
  <c r="K254" i="1"/>
  <c r="Z352" i="1"/>
  <c r="Z548" i="1" s="1"/>
  <c r="M254" i="1"/>
  <c r="AA352" i="1"/>
  <c r="AA548" i="1" s="1"/>
  <c r="O254" i="1"/>
  <c r="AB352" i="1"/>
  <c r="AB548" i="1" s="1"/>
  <c r="AE254" i="1"/>
  <c r="AH254" i="1"/>
  <c r="AF254" i="1"/>
  <c r="J352" i="1"/>
  <c r="J548" i="1" s="1"/>
  <c r="AG254" i="1"/>
  <c r="K352" i="1"/>
  <c r="K548" i="1" s="1"/>
  <c r="AK254" i="1"/>
  <c r="M352" i="1"/>
  <c r="M548" i="1" s="1"/>
  <c r="N352" i="1"/>
  <c r="N548" i="1" s="1"/>
  <c r="O352" i="1"/>
  <c r="O548" i="1" s="1"/>
  <c r="P352" i="1"/>
  <c r="P548" i="1" s="1"/>
  <c r="Q352" i="1"/>
  <c r="Q548" i="1" s="1"/>
  <c r="AD254" i="1"/>
  <c r="H352" i="1"/>
  <c r="H548" i="1" s="1"/>
  <c r="I352" i="1"/>
  <c r="I548" i="1" s="1"/>
  <c r="S352" i="1"/>
  <c r="S548" i="1" s="1"/>
  <c r="T352" i="1"/>
  <c r="T548" i="1" s="1"/>
  <c r="U352" i="1"/>
  <c r="U548" i="1" s="1"/>
  <c r="V352" i="1"/>
  <c r="V548" i="1" s="1"/>
  <c r="W352" i="1"/>
  <c r="W548" i="1" s="1"/>
  <c r="X352" i="1"/>
  <c r="X548" i="1" s="1"/>
  <c r="AC352" i="1"/>
  <c r="AC548" i="1" s="1"/>
  <c r="AI352" i="1"/>
  <c r="AI548" i="1" s="1"/>
  <c r="AK352" i="1"/>
  <c r="AK548" i="1" s="1"/>
  <c r="AM352" i="1"/>
  <c r="AM548" i="1" s="1"/>
  <c r="AN352" i="1"/>
  <c r="AN548" i="1" s="1"/>
  <c r="AO352" i="1"/>
  <c r="AO548" i="1" s="1"/>
  <c r="H254" i="1"/>
  <c r="I254" i="1"/>
  <c r="B352" i="1"/>
  <c r="B548" i="1" s="1"/>
  <c r="R254" i="1"/>
  <c r="C352" i="1"/>
  <c r="C548" i="1" s="1"/>
  <c r="E352" i="1"/>
  <c r="E548" i="1" s="1"/>
  <c r="D352" i="1"/>
  <c r="D548" i="1" s="1"/>
  <c r="F352" i="1"/>
  <c r="F548" i="1" s="1"/>
  <c r="AD352" i="1"/>
  <c r="AD548" i="1" s="1"/>
  <c r="AG352" i="1"/>
  <c r="AG548" i="1" s="1"/>
  <c r="AJ352" i="1"/>
  <c r="AJ548" i="1" s="1"/>
  <c r="T254" i="1"/>
  <c r="AE352" i="1"/>
  <c r="AE548" i="1" s="1"/>
  <c r="AH352" i="1"/>
  <c r="AH548" i="1" s="1"/>
  <c r="C254" i="1"/>
  <c r="F254" i="1"/>
  <c r="N113" i="1"/>
  <c r="AA68" i="1"/>
  <c r="N110" i="1" s="1"/>
  <c r="AX68" i="1"/>
  <c r="AK110" i="1" s="1"/>
  <c r="AK113" i="1"/>
  <c r="N278" i="1"/>
  <c r="AL278" i="1"/>
  <c r="AG278" i="1"/>
  <c r="G376" i="1"/>
  <c r="G572" i="1" s="1"/>
  <c r="E376" i="1"/>
  <c r="E572" i="1" s="1"/>
  <c r="AL376" i="1"/>
  <c r="AL572" i="1" s="1"/>
  <c r="AB278" i="1"/>
  <c r="O376" i="1"/>
  <c r="O572" i="1" s="1"/>
  <c r="D271" i="1"/>
  <c r="AB271" i="1"/>
  <c r="F271" i="1"/>
  <c r="AD271" i="1"/>
  <c r="H271" i="1"/>
  <c r="AF271" i="1"/>
  <c r="Y271" i="1"/>
  <c r="AA271" i="1"/>
  <c r="S271" i="1"/>
  <c r="U271" i="1"/>
  <c r="Y369" i="1"/>
  <c r="Y565" i="1" s="1"/>
  <c r="AG271" i="1"/>
  <c r="AI271" i="1"/>
  <c r="I369" i="1"/>
  <c r="I565" i="1" s="1"/>
  <c r="AH369" i="1"/>
  <c r="AH565" i="1" s="1"/>
  <c r="C271" i="1"/>
  <c r="AK271" i="1"/>
  <c r="P271" i="1"/>
  <c r="K271" i="1"/>
  <c r="N271" i="1"/>
  <c r="AH271" i="1"/>
  <c r="AL271" i="1"/>
  <c r="G271" i="1"/>
  <c r="M271" i="1"/>
  <c r="V271" i="1"/>
  <c r="W369" i="1"/>
  <c r="W565" i="1" s="1"/>
  <c r="W271" i="1"/>
  <c r="X271" i="1"/>
  <c r="Z369" i="1"/>
  <c r="Z565" i="1" s="1"/>
  <c r="Z271" i="1"/>
  <c r="AM271" i="1"/>
  <c r="R271" i="1"/>
  <c r="AA369" i="1"/>
  <c r="AA565" i="1" s="1"/>
  <c r="T271" i="1"/>
  <c r="AB369" i="1"/>
  <c r="AB565" i="1" s="1"/>
  <c r="AC271" i="1"/>
  <c r="AC369" i="1"/>
  <c r="AC565" i="1" s="1"/>
  <c r="AE271" i="1"/>
  <c r="AJ271" i="1"/>
  <c r="C369" i="1"/>
  <c r="C565" i="1" s="1"/>
  <c r="AE369" i="1"/>
  <c r="AE565" i="1" s="1"/>
  <c r="AN271" i="1"/>
  <c r="AO271" i="1"/>
  <c r="Q271" i="1"/>
  <c r="O369" i="1"/>
  <c r="O565" i="1" s="1"/>
  <c r="P369" i="1"/>
  <c r="P565" i="1" s="1"/>
  <c r="Q369" i="1"/>
  <c r="Q565" i="1" s="1"/>
  <c r="R369" i="1"/>
  <c r="R565" i="1" s="1"/>
  <c r="S369" i="1"/>
  <c r="S565" i="1" s="1"/>
  <c r="T369" i="1"/>
  <c r="T565" i="1" s="1"/>
  <c r="U369" i="1"/>
  <c r="U565" i="1" s="1"/>
  <c r="V369" i="1"/>
  <c r="V565" i="1" s="1"/>
  <c r="X369" i="1"/>
  <c r="X565" i="1" s="1"/>
  <c r="B369" i="1"/>
  <c r="B565" i="1" s="1"/>
  <c r="AJ369" i="1"/>
  <c r="AJ565" i="1" s="1"/>
  <c r="E271" i="1"/>
  <c r="L369" i="1"/>
  <c r="L565" i="1" s="1"/>
  <c r="I271" i="1"/>
  <c r="M369" i="1"/>
  <c r="M565" i="1" s="1"/>
  <c r="J271" i="1"/>
  <c r="N369" i="1"/>
  <c r="N565" i="1" s="1"/>
  <c r="L271" i="1"/>
  <c r="AD369" i="1"/>
  <c r="AD565" i="1" s="1"/>
  <c r="O271" i="1"/>
  <c r="AF369" i="1"/>
  <c r="AF565" i="1" s="1"/>
  <c r="AG369" i="1"/>
  <c r="AG565" i="1" s="1"/>
  <c r="AI369" i="1"/>
  <c r="AI565" i="1" s="1"/>
  <c r="AL369" i="1"/>
  <c r="AL565" i="1" s="1"/>
  <c r="AM369" i="1"/>
  <c r="AM565" i="1" s="1"/>
  <c r="D369" i="1"/>
  <c r="D565" i="1" s="1"/>
  <c r="E369" i="1"/>
  <c r="E565" i="1" s="1"/>
  <c r="F369" i="1"/>
  <c r="F565" i="1" s="1"/>
  <c r="G369" i="1"/>
  <c r="G565" i="1" s="1"/>
  <c r="B271" i="1"/>
  <c r="H369" i="1"/>
  <c r="H565" i="1" s="1"/>
  <c r="J369" i="1"/>
  <c r="J565" i="1" s="1"/>
  <c r="AN369" i="1"/>
  <c r="AN565" i="1" s="1"/>
  <c r="K369" i="1"/>
  <c r="K565" i="1" s="1"/>
  <c r="AK369" i="1"/>
  <c r="AK565" i="1" s="1"/>
  <c r="AO369" i="1"/>
  <c r="AO565" i="1" s="1"/>
  <c r="T273" i="1"/>
  <c r="V273" i="1"/>
  <c r="X273" i="1"/>
  <c r="B273" i="1"/>
  <c r="AC273" i="1"/>
  <c r="D273" i="1"/>
  <c r="AE273" i="1"/>
  <c r="AD273" i="1"/>
  <c r="AQ31" i="1"/>
  <c r="C273" i="1"/>
  <c r="AG273" i="1"/>
  <c r="Q371" i="1"/>
  <c r="Q567" i="1" s="1"/>
  <c r="AO371" i="1"/>
  <c r="AO567" i="1" s="1"/>
  <c r="O273" i="1"/>
  <c r="Q273" i="1"/>
  <c r="D371" i="1"/>
  <c r="D567" i="1" s="1"/>
  <c r="AC371" i="1"/>
  <c r="AC567" i="1" s="1"/>
  <c r="S273" i="1"/>
  <c r="G273" i="1"/>
  <c r="AO273" i="1"/>
  <c r="J273" i="1"/>
  <c r="AI273" i="1"/>
  <c r="AK273" i="1"/>
  <c r="I273" i="1"/>
  <c r="N273" i="1"/>
  <c r="AM273" i="1"/>
  <c r="AN273" i="1"/>
  <c r="X371" i="1"/>
  <c r="X567" i="1" s="1"/>
  <c r="F273" i="1"/>
  <c r="L273" i="1"/>
  <c r="R273" i="1"/>
  <c r="M273" i="1"/>
  <c r="B371" i="1"/>
  <c r="B567" i="1" s="1"/>
  <c r="AD371" i="1"/>
  <c r="AD567" i="1" s="1"/>
  <c r="P273" i="1"/>
  <c r="C371" i="1"/>
  <c r="C567" i="1" s="1"/>
  <c r="AE371" i="1"/>
  <c r="AE567" i="1" s="1"/>
  <c r="U273" i="1"/>
  <c r="E371" i="1"/>
  <c r="E567" i="1" s="1"/>
  <c r="AF371" i="1"/>
  <c r="AF567" i="1" s="1"/>
  <c r="W273" i="1"/>
  <c r="Y273" i="1"/>
  <c r="G371" i="1"/>
  <c r="G567" i="1" s="1"/>
  <c r="AH371" i="1"/>
  <c r="AH567" i="1" s="1"/>
  <c r="Z273" i="1"/>
  <c r="AA273" i="1"/>
  <c r="AF273" i="1"/>
  <c r="AK371" i="1"/>
  <c r="AK567" i="1" s="1"/>
  <c r="F371" i="1"/>
  <c r="F567" i="1" s="1"/>
  <c r="AL371" i="1"/>
  <c r="AL567" i="1" s="1"/>
  <c r="H371" i="1"/>
  <c r="H567" i="1" s="1"/>
  <c r="AM371" i="1"/>
  <c r="AM567" i="1" s="1"/>
  <c r="I371" i="1"/>
  <c r="I567" i="1" s="1"/>
  <c r="AN371" i="1"/>
  <c r="AN567" i="1" s="1"/>
  <c r="J371" i="1"/>
  <c r="J567" i="1" s="1"/>
  <c r="K371" i="1"/>
  <c r="K567" i="1" s="1"/>
  <c r="L371" i="1"/>
  <c r="L567" i="1" s="1"/>
  <c r="M371" i="1"/>
  <c r="M567" i="1" s="1"/>
  <c r="N371" i="1"/>
  <c r="N567" i="1" s="1"/>
  <c r="T371" i="1"/>
  <c r="T567" i="1" s="1"/>
  <c r="P371" i="1"/>
  <c r="P567" i="1" s="1"/>
  <c r="E273" i="1"/>
  <c r="R371" i="1"/>
  <c r="R567" i="1" s="1"/>
  <c r="AH273" i="1"/>
  <c r="W371" i="1"/>
  <c r="W567" i="1" s="1"/>
  <c r="AJ273" i="1"/>
  <c r="Y371" i="1"/>
  <c r="Y567" i="1" s="1"/>
  <c r="AL273" i="1"/>
  <c r="AB371" i="1"/>
  <c r="AB567" i="1" s="1"/>
  <c r="O371" i="1"/>
  <c r="O567" i="1" s="1"/>
  <c r="S371" i="1"/>
  <c r="S567" i="1" s="1"/>
  <c r="U371" i="1"/>
  <c r="U567" i="1" s="1"/>
  <c r="V371" i="1"/>
  <c r="V567" i="1" s="1"/>
  <c r="Z371" i="1"/>
  <c r="Z567" i="1" s="1"/>
  <c r="AA371" i="1"/>
  <c r="AA567" i="1" s="1"/>
  <c r="AG371" i="1"/>
  <c r="AG567" i="1" s="1"/>
  <c r="AI371" i="1"/>
  <c r="AI567" i="1" s="1"/>
  <c r="AJ371" i="1"/>
  <c r="AJ567" i="1" s="1"/>
  <c r="AB273" i="1"/>
  <c r="H273" i="1"/>
  <c r="K273" i="1"/>
  <c r="AD68" i="1"/>
  <c r="Q110" i="1" s="1"/>
  <c r="Q113" i="1"/>
  <c r="AD376" i="1" l="1"/>
  <c r="AD572" i="1" s="1"/>
  <c r="J278" i="1"/>
  <c r="AM113" i="1"/>
  <c r="AZ68" i="1"/>
  <c r="AM110" i="1" s="1"/>
  <c r="S278" i="1"/>
  <c r="L376" i="1"/>
  <c r="L572" i="1" s="1"/>
  <c r="N376" i="1"/>
  <c r="N572" i="1" s="1"/>
  <c r="H376" i="1"/>
  <c r="H572" i="1" s="1"/>
  <c r="C278" i="1"/>
  <c r="W278" i="1"/>
  <c r="AJ278" i="1"/>
  <c r="AH278" i="1"/>
  <c r="F278" i="1"/>
  <c r="M376" i="1"/>
  <c r="M572" i="1" s="1"/>
  <c r="AM376" i="1"/>
  <c r="AM572" i="1" s="1"/>
  <c r="AM278" i="1"/>
  <c r="AM474" i="1" s="1"/>
  <c r="AN278" i="1"/>
  <c r="AE278" i="1"/>
  <c r="J376" i="1"/>
  <c r="J572" i="1" s="1"/>
  <c r="AN376" i="1"/>
  <c r="AN572" i="1" s="1"/>
  <c r="Q376" i="1"/>
  <c r="Q572" i="1" s="1"/>
  <c r="F376" i="1"/>
  <c r="F572" i="1" s="1"/>
  <c r="AH376" i="1"/>
  <c r="AH572" i="1" s="1"/>
  <c r="P278" i="1"/>
  <c r="P474" i="1" s="1"/>
  <c r="AK376" i="1"/>
  <c r="AK572" i="1" s="1"/>
  <c r="L278" i="1"/>
  <c r="Q278" i="1"/>
  <c r="AJ376" i="1"/>
  <c r="AJ572" i="1" s="1"/>
  <c r="R278" i="1"/>
  <c r="M278" i="1"/>
  <c r="G278" i="1"/>
  <c r="E278" i="1"/>
  <c r="AI376" i="1"/>
  <c r="AI572" i="1" s="1"/>
  <c r="AI278" i="1"/>
  <c r="B376" i="1"/>
  <c r="B572" i="1" s="1"/>
  <c r="AE376" i="1"/>
  <c r="AE572" i="1" s="1"/>
  <c r="AF376" i="1"/>
  <c r="AF572" i="1" s="1"/>
  <c r="AF278" i="1"/>
  <c r="AB376" i="1"/>
  <c r="AB572" i="1" s="1"/>
  <c r="AO278" i="1"/>
  <c r="AO474" i="1" s="1"/>
  <c r="AC278" i="1"/>
  <c r="C376" i="1"/>
  <c r="C572" i="1" s="1"/>
  <c r="AJ113" i="1"/>
  <c r="AV32" i="1" s="1"/>
  <c r="AA376" i="1"/>
  <c r="AA572" i="1" s="1"/>
  <c r="AA278" i="1"/>
  <c r="AA523" i="1" s="1"/>
  <c r="Z278" i="1"/>
  <c r="Z523" i="1" s="1"/>
  <c r="Y376" i="1"/>
  <c r="Y572" i="1" s="1"/>
  <c r="B278" i="1"/>
  <c r="AD278" i="1"/>
  <c r="S376" i="1"/>
  <c r="S572" i="1" s="1"/>
  <c r="V278" i="1"/>
  <c r="K278" i="1"/>
  <c r="R376" i="1"/>
  <c r="R572" i="1" s="1"/>
  <c r="V376" i="1"/>
  <c r="V572" i="1" s="1"/>
  <c r="I278" i="1"/>
  <c r="Y278" i="1"/>
  <c r="W376" i="1"/>
  <c r="W572" i="1" s="1"/>
  <c r="P376" i="1"/>
  <c r="P572" i="1" s="1"/>
  <c r="U278" i="1"/>
  <c r="AG376" i="1"/>
  <c r="AG572" i="1" s="1"/>
  <c r="O278" i="1"/>
  <c r="X376" i="1"/>
  <c r="X572" i="1" s="1"/>
  <c r="D278" i="1"/>
  <c r="U376" i="1"/>
  <c r="U572" i="1" s="1"/>
  <c r="I376" i="1"/>
  <c r="I572" i="1" s="1"/>
  <c r="AC376" i="1"/>
  <c r="AC572" i="1" s="1"/>
  <c r="X278" i="1"/>
  <c r="K376" i="1"/>
  <c r="K572" i="1" s="1"/>
  <c r="T278" i="1"/>
  <c r="T523" i="1" s="1"/>
  <c r="AK278" i="1"/>
  <c r="Z376" i="1"/>
  <c r="Z572" i="1" s="1"/>
  <c r="D376" i="1"/>
  <c r="D572" i="1" s="1"/>
  <c r="AO376" i="1"/>
  <c r="AO572" i="1" s="1"/>
  <c r="T376" i="1"/>
  <c r="T572" i="1" s="1"/>
  <c r="S68" i="1"/>
  <c r="F110" i="1" s="1"/>
  <c r="AK248" i="1" s="1"/>
  <c r="AK353" i="1"/>
  <c r="AK549" i="1" s="1"/>
  <c r="AI255" i="1"/>
  <c r="H255" i="1"/>
  <c r="U255" i="1"/>
  <c r="V353" i="1"/>
  <c r="V549" i="1" s="1"/>
  <c r="O255" i="1"/>
  <c r="H353" i="1"/>
  <c r="H549" i="1" s="1"/>
  <c r="G255" i="1"/>
  <c r="G500" i="1" s="1"/>
  <c r="L344" i="1"/>
  <c r="L540" i="1" s="1"/>
  <c r="E353" i="1"/>
  <c r="E549" i="1" s="1"/>
  <c r="AL246" i="1"/>
  <c r="O353" i="1"/>
  <c r="O549" i="1" s="1"/>
  <c r="X353" i="1"/>
  <c r="X549" i="1" s="1"/>
  <c r="D353" i="1"/>
  <c r="D549" i="1" s="1"/>
  <c r="N255" i="1"/>
  <c r="Q353" i="1"/>
  <c r="Q549" i="1" s="1"/>
  <c r="AI353" i="1"/>
  <c r="AI549" i="1" s="1"/>
  <c r="Z246" i="1"/>
  <c r="Z491" i="1" s="1"/>
  <c r="D255" i="1"/>
  <c r="D451" i="1" s="1"/>
  <c r="AD255" i="1"/>
  <c r="AD500" i="1" s="1"/>
  <c r="AB255" i="1"/>
  <c r="AD367" i="1"/>
  <c r="AD563" i="1" s="1"/>
  <c r="AM255" i="1"/>
  <c r="AM500" i="1" s="1"/>
  <c r="O367" i="1"/>
  <c r="O563" i="1" s="1"/>
  <c r="Y269" i="1"/>
  <c r="AF353" i="1"/>
  <c r="AF549" i="1" s="1"/>
  <c r="Z280" i="1"/>
  <c r="U269" i="1"/>
  <c r="R353" i="1"/>
  <c r="R549" i="1" s="1"/>
  <c r="AH378" i="1"/>
  <c r="AH574" i="1" s="1"/>
  <c r="T269" i="1"/>
  <c r="T514" i="1" s="1"/>
  <c r="P268" i="1"/>
  <c r="P513" i="1" s="1"/>
  <c r="AA353" i="1"/>
  <c r="AA549" i="1" s="1"/>
  <c r="C378" i="1"/>
  <c r="C574" i="1" s="1"/>
  <c r="J269" i="1"/>
  <c r="J514" i="1" s="1"/>
  <c r="O270" i="1"/>
  <c r="AJ270" i="1"/>
  <c r="AJ515" i="1" s="1"/>
  <c r="AC280" i="1"/>
  <c r="W255" i="1"/>
  <c r="P255" i="1"/>
  <c r="AA280" i="1"/>
  <c r="AA525" i="1" s="1"/>
  <c r="AG280" i="1"/>
  <c r="AG525" i="1" s="1"/>
  <c r="AL353" i="1"/>
  <c r="AL549" i="1" s="1"/>
  <c r="Q378" i="1"/>
  <c r="Q574" i="1" s="1"/>
  <c r="J246" i="1"/>
  <c r="J491" i="1" s="1"/>
  <c r="AB378" i="1"/>
  <c r="AB574" i="1" s="1"/>
  <c r="L255" i="1"/>
  <c r="L500" i="1" s="1"/>
  <c r="G353" i="1"/>
  <c r="G549" i="1" s="1"/>
  <c r="B353" i="1"/>
  <c r="B549" i="1" s="1"/>
  <c r="I280" i="1"/>
  <c r="I525" i="1" s="1"/>
  <c r="I246" i="1"/>
  <c r="J280" i="1"/>
  <c r="J525" i="1" s="1"/>
  <c r="B280" i="1"/>
  <c r="B525" i="1" s="1"/>
  <c r="E378" i="1"/>
  <c r="E574" i="1" s="1"/>
  <c r="AH353" i="1"/>
  <c r="AH549" i="1" s="1"/>
  <c r="E280" i="1"/>
  <c r="E525" i="1" s="1"/>
  <c r="AG353" i="1"/>
  <c r="AG549" i="1" s="1"/>
  <c r="C353" i="1"/>
  <c r="C549" i="1" s="1"/>
  <c r="AH280" i="1"/>
  <c r="AN378" i="1"/>
  <c r="AN574" i="1" s="1"/>
  <c r="AE280" i="1"/>
  <c r="AE525" i="1" s="1"/>
  <c r="AX32" i="1"/>
  <c r="AE353" i="1"/>
  <c r="AE549" i="1" s="1"/>
  <c r="H280" i="1"/>
  <c r="H525" i="1" s="1"/>
  <c r="AN268" i="1"/>
  <c r="AN513" i="1" s="1"/>
  <c r="S353" i="1"/>
  <c r="S549" i="1" s="1"/>
  <c r="AN353" i="1"/>
  <c r="AN549" i="1" s="1"/>
  <c r="AM378" i="1"/>
  <c r="AM574" i="1" s="1"/>
  <c r="E268" i="1"/>
  <c r="E513" i="1" s="1"/>
  <c r="AO353" i="1"/>
  <c r="AO549" i="1" s="1"/>
  <c r="P353" i="1"/>
  <c r="P549" i="1" s="1"/>
  <c r="M353" i="1"/>
  <c r="M549" i="1" s="1"/>
  <c r="AK378" i="1"/>
  <c r="AK574" i="1" s="1"/>
  <c r="K353" i="1"/>
  <c r="K549" i="1" s="1"/>
  <c r="AF255" i="1"/>
  <c r="AJ378" i="1"/>
  <c r="AJ574" i="1" s="1"/>
  <c r="N280" i="1"/>
  <c r="J353" i="1"/>
  <c r="J549" i="1" s="1"/>
  <c r="S255" i="1"/>
  <c r="AG378" i="1"/>
  <c r="AG574" i="1" s="1"/>
  <c r="H269" i="1"/>
  <c r="H514" i="1" s="1"/>
  <c r="AO255" i="1"/>
  <c r="AG255" i="1"/>
  <c r="N378" i="1"/>
  <c r="N574" i="1" s="1"/>
  <c r="AE269" i="1"/>
  <c r="AE514" i="1" s="1"/>
  <c r="AL378" i="1"/>
  <c r="AL574" i="1" s="1"/>
  <c r="AO378" i="1"/>
  <c r="AO574" i="1" s="1"/>
  <c r="Z255" i="1"/>
  <c r="Z500" i="1" s="1"/>
  <c r="R255" i="1"/>
  <c r="R500" i="1" s="1"/>
  <c r="AL280" i="1"/>
  <c r="AG367" i="1"/>
  <c r="AG563" i="1" s="1"/>
  <c r="AF378" i="1"/>
  <c r="AF574" i="1" s="1"/>
  <c r="Z378" i="1"/>
  <c r="Z574" i="1" s="1"/>
  <c r="R280" i="1"/>
  <c r="R525" i="1" s="1"/>
  <c r="AJ350" i="1"/>
  <c r="AJ546" i="1" s="1"/>
  <c r="AD350" i="1"/>
  <c r="AD546" i="1" s="1"/>
  <c r="M378" i="1"/>
  <c r="M574" i="1" s="1"/>
  <c r="AG252" i="1"/>
  <c r="Y280" i="1"/>
  <c r="Y525" i="1" s="1"/>
  <c r="I378" i="1"/>
  <c r="I574" i="1" s="1"/>
  <c r="O378" i="1"/>
  <c r="O574" i="1" s="1"/>
  <c r="W378" i="1"/>
  <c r="W574" i="1" s="1"/>
  <c r="AD252" i="1"/>
  <c r="P378" i="1"/>
  <c r="P574" i="1" s="1"/>
  <c r="AM280" i="1"/>
  <c r="W280" i="1"/>
  <c r="W525" i="1" s="1"/>
  <c r="V280" i="1"/>
  <c r="AF252" i="1"/>
  <c r="Y353" i="1"/>
  <c r="Y549" i="1" s="1"/>
  <c r="AL255" i="1"/>
  <c r="Z353" i="1"/>
  <c r="Z549" i="1" s="1"/>
  <c r="AC378" i="1"/>
  <c r="AC574" i="1" s="1"/>
  <c r="Q280" i="1"/>
  <c r="T280" i="1"/>
  <c r="T525" i="1" s="1"/>
  <c r="O280" i="1"/>
  <c r="K378" i="1"/>
  <c r="K574" i="1" s="1"/>
  <c r="M280" i="1"/>
  <c r="M525" i="1" s="1"/>
  <c r="W353" i="1"/>
  <c r="W549" i="1" s="1"/>
  <c r="N353" i="1"/>
  <c r="N549" i="1" s="1"/>
  <c r="AK255" i="1"/>
  <c r="AK451" i="1" s="1"/>
  <c r="J378" i="1"/>
  <c r="J574" i="1" s="1"/>
  <c r="Y378" i="1"/>
  <c r="Y574" i="1" s="1"/>
  <c r="X280" i="1"/>
  <c r="M113" i="1"/>
  <c r="Y32" i="1" s="1"/>
  <c r="Q255" i="1"/>
  <c r="AJ255" i="1"/>
  <c r="J255" i="1"/>
  <c r="J500" i="1" s="1"/>
  <c r="H378" i="1"/>
  <c r="H574" i="1" s="1"/>
  <c r="L280" i="1"/>
  <c r="L525" i="1" s="1"/>
  <c r="AF280" i="1"/>
  <c r="AO31" i="1"/>
  <c r="U353" i="1"/>
  <c r="U549" i="1" s="1"/>
  <c r="AH255" i="1"/>
  <c r="X255" i="1"/>
  <c r="AK280" i="1"/>
  <c r="G280" i="1"/>
  <c r="G525" i="1" s="1"/>
  <c r="F280" i="1"/>
  <c r="F525" i="1" s="1"/>
  <c r="S246" i="1"/>
  <c r="S491" i="1" s="1"/>
  <c r="K255" i="1"/>
  <c r="AM353" i="1"/>
  <c r="AM549" i="1" s="1"/>
  <c r="T255" i="1"/>
  <c r="T500" i="1" s="1"/>
  <c r="F378" i="1"/>
  <c r="F574" i="1" s="1"/>
  <c r="U378" i="1"/>
  <c r="U574" i="1" s="1"/>
  <c r="AB280" i="1"/>
  <c r="AB525" i="1" s="1"/>
  <c r="D246" i="1"/>
  <c r="D491" i="1" s="1"/>
  <c r="G378" i="1"/>
  <c r="G574" i="1" s="1"/>
  <c r="T353" i="1"/>
  <c r="T549" i="1" s="1"/>
  <c r="L353" i="1"/>
  <c r="L549" i="1" s="1"/>
  <c r="AJ280" i="1"/>
  <c r="AJ476" i="1" s="1"/>
  <c r="C280" i="1"/>
  <c r="C525" i="1" s="1"/>
  <c r="D280" i="1"/>
  <c r="D525" i="1" s="1"/>
  <c r="C246" i="1"/>
  <c r="C491" i="1" s="1"/>
  <c r="AD280" i="1"/>
  <c r="M255" i="1"/>
  <c r="M500" i="1" s="1"/>
  <c r="AA255" i="1"/>
  <c r="D378" i="1"/>
  <c r="D574" i="1" s="1"/>
  <c r="T378" i="1"/>
  <c r="T574" i="1" s="1"/>
  <c r="AX31" i="1"/>
  <c r="AD344" i="1"/>
  <c r="AD540" i="1" s="1"/>
  <c r="I353" i="1"/>
  <c r="I549" i="1" s="1"/>
  <c r="Y31" i="1"/>
  <c r="AI280" i="1"/>
  <c r="AI525" i="1" s="1"/>
  <c r="U280" i="1"/>
  <c r="B344" i="1"/>
  <c r="B540" i="1" s="1"/>
  <c r="AI68" i="1"/>
  <c r="V110" i="1" s="1"/>
  <c r="S264" i="1" s="1"/>
  <c r="V378" i="1"/>
  <c r="V574" i="1" s="1"/>
  <c r="I255" i="1"/>
  <c r="I500" i="1" s="1"/>
  <c r="F255" i="1"/>
  <c r="B378" i="1"/>
  <c r="B574" i="1" s="1"/>
  <c r="P280" i="1"/>
  <c r="P525" i="1" s="1"/>
  <c r="AN246" i="1"/>
  <c r="AN491" i="1" s="1"/>
  <c r="AE270" i="1"/>
  <c r="AE515" i="1" s="1"/>
  <c r="AI252" i="1"/>
  <c r="E252" i="1"/>
  <c r="AG270" i="1"/>
  <c r="L270" i="1"/>
  <c r="AN31" i="1"/>
  <c r="D252" i="1"/>
  <c r="D497" i="1" s="1"/>
  <c r="AN32" i="1"/>
  <c r="K368" i="1"/>
  <c r="K564" i="1" s="1"/>
  <c r="AC252" i="1"/>
  <c r="AC497" i="1" s="1"/>
  <c r="I270" i="1"/>
  <c r="I515" i="1" s="1"/>
  <c r="Y350" i="1"/>
  <c r="Y546" i="1" s="1"/>
  <c r="AJ252" i="1"/>
  <c r="O368" i="1"/>
  <c r="O564" i="1" s="1"/>
  <c r="AN270" i="1"/>
  <c r="AN515" i="1" s="1"/>
  <c r="AN350" i="1"/>
  <c r="AN546" i="1" s="1"/>
  <c r="U270" i="1"/>
  <c r="M270" i="1"/>
  <c r="M515" i="1" s="1"/>
  <c r="AH252" i="1"/>
  <c r="AH497" i="1" s="1"/>
  <c r="K270" i="1"/>
  <c r="L350" i="1"/>
  <c r="L546" i="1" s="1"/>
  <c r="X270" i="1"/>
  <c r="X515" i="1" s="1"/>
  <c r="P368" i="1"/>
  <c r="P564" i="1" s="1"/>
  <c r="AO350" i="1"/>
  <c r="AO546" i="1" s="1"/>
  <c r="AL350" i="1"/>
  <c r="AL546" i="1" s="1"/>
  <c r="K350" i="1"/>
  <c r="K546" i="1" s="1"/>
  <c r="AD368" i="1"/>
  <c r="AD564" i="1" s="1"/>
  <c r="U113" i="1"/>
  <c r="AG31" i="1" s="1"/>
  <c r="Y113" i="1"/>
  <c r="J350" i="1"/>
  <c r="J546" i="1" s="1"/>
  <c r="AD353" i="1"/>
  <c r="AD549" i="1" s="1"/>
  <c r="E255" i="1"/>
  <c r="E500" i="1" s="1"/>
  <c r="B255" i="1"/>
  <c r="B500" i="1" s="1"/>
  <c r="V255" i="1"/>
  <c r="V451" i="1" s="1"/>
  <c r="AB368" i="1"/>
  <c r="AB564" i="1" s="1"/>
  <c r="L378" i="1"/>
  <c r="L574" i="1" s="1"/>
  <c r="AA378" i="1"/>
  <c r="AA574" i="1" s="1"/>
  <c r="AD378" i="1"/>
  <c r="AD574" i="1" s="1"/>
  <c r="AC344" i="1"/>
  <c r="AC540" i="1" s="1"/>
  <c r="U252" i="1"/>
  <c r="U497" i="1" s="1"/>
  <c r="AG368" i="1"/>
  <c r="AG564" i="1" s="1"/>
  <c r="AF368" i="1"/>
  <c r="AF564" i="1" s="1"/>
  <c r="P350" i="1"/>
  <c r="P546" i="1" s="1"/>
  <c r="V270" i="1"/>
  <c r="V515" i="1" s="1"/>
  <c r="Q350" i="1"/>
  <c r="Q546" i="1" s="1"/>
  <c r="AL270" i="1"/>
  <c r="AL515" i="1" s="1"/>
  <c r="Q252" i="1"/>
  <c r="Q497" i="1" s="1"/>
  <c r="T252" i="1"/>
  <c r="T497" i="1" s="1"/>
  <c r="L368" i="1"/>
  <c r="L564" i="1" s="1"/>
  <c r="F353" i="1"/>
  <c r="F549" i="1" s="1"/>
  <c r="AE255" i="1"/>
  <c r="AE500" i="1" s="1"/>
  <c r="I368" i="1"/>
  <c r="I564" i="1" s="1"/>
  <c r="S280" i="1"/>
  <c r="S525" i="1" s="1"/>
  <c r="X378" i="1"/>
  <c r="X574" i="1" s="1"/>
  <c r="AN280" i="1"/>
  <c r="AN525" i="1" s="1"/>
  <c r="AA246" i="1"/>
  <c r="AA491" i="1" s="1"/>
  <c r="AG350" i="1"/>
  <c r="AG546" i="1" s="1"/>
  <c r="E270" i="1"/>
  <c r="R368" i="1"/>
  <c r="R564" i="1" s="1"/>
  <c r="T270" i="1"/>
  <c r="T515" i="1" s="1"/>
  <c r="V31" i="1"/>
  <c r="AC353" i="1"/>
  <c r="AC549" i="1" s="1"/>
  <c r="AN255" i="1"/>
  <c r="C255" i="1"/>
  <c r="AC255" i="1"/>
  <c r="AC500" i="1" s="1"/>
  <c r="AJ368" i="1"/>
  <c r="AJ564" i="1" s="1"/>
  <c r="AI378" i="1"/>
  <c r="AI574" i="1" s="1"/>
  <c r="S378" i="1"/>
  <c r="S574" i="1" s="1"/>
  <c r="K280" i="1"/>
  <c r="R246" i="1"/>
  <c r="R491" i="1" s="1"/>
  <c r="W113" i="1"/>
  <c r="AI31" i="1" s="1"/>
  <c r="AF350" i="1"/>
  <c r="AF546" i="1" s="1"/>
  <c r="AI350" i="1"/>
  <c r="AI546" i="1" s="1"/>
  <c r="F368" i="1"/>
  <c r="F564" i="1" s="1"/>
  <c r="AL368" i="1"/>
  <c r="AL564" i="1" s="1"/>
  <c r="U344" i="1"/>
  <c r="U540" i="1" s="1"/>
  <c r="AB353" i="1"/>
  <c r="AB549" i="1" s="1"/>
  <c r="AJ353" i="1"/>
  <c r="AJ549" i="1" s="1"/>
  <c r="H368" i="1"/>
  <c r="H564" i="1" s="1"/>
  <c r="AE378" i="1"/>
  <c r="AE574" i="1" s="1"/>
  <c r="R378" i="1"/>
  <c r="R574" i="1" s="1"/>
  <c r="E246" i="1"/>
  <c r="E491" i="1" s="1"/>
  <c r="AE350" i="1"/>
  <c r="AE546" i="1" s="1"/>
  <c r="Y268" i="1"/>
  <c r="Y513" i="1" s="1"/>
  <c r="AO246" i="1"/>
  <c r="AO491" i="1" s="1"/>
  <c r="AB344" i="1"/>
  <c r="AB540" i="1" s="1"/>
  <c r="AD32" i="1"/>
  <c r="AH246" i="1"/>
  <c r="W246" i="1"/>
  <c r="W491" i="1" s="1"/>
  <c r="G344" i="1"/>
  <c r="G540" i="1" s="1"/>
  <c r="AI344" i="1"/>
  <c r="AI540" i="1" s="1"/>
  <c r="AF367" i="1"/>
  <c r="AF563" i="1" s="1"/>
  <c r="AF246" i="1"/>
  <c r="F269" i="1"/>
  <c r="F514" i="1" s="1"/>
  <c r="G248" i="1"/>
  <c r="AD246" i="1"/>
  <c r="AC367" i="1"/>
  <c r="AC563" i="1" s="1"/>
  <c r="AI248" i="1"/>
  <c r="M344" i="1"/>
  <c r="M540" i="1" s="1"/>
  <c r="P31" i="1"/>
  <c r="AM269" i="1"/>
  <c r="AM514" i="1" s="1"/>
  <c r="I248" i="1"/>
  <c r="I493" i="1" s="1"/>
  <c r="R344" i="1"/>
  <c r="R540" i="1" s="1"/>
  <c r="N344" i="1"/>
  <c r="N540" i="1" s="1"/>
  <c r="AA344" i="1"/>
  <c r="AA540" i="1" s="1"/>
  <c r="U367" i="1"/>
  <c r="U563" i="1" s="1"/>
  <c r="R252" i="1"/>
  <c r="J248" i="1"/>
  <c r="J493" i="1" s="1"/>
  <c r="T344" i="1"/>
  <c r="T540" i="1" s="1"/>
  <c r="M246" i="1"/>
  <c r="M491" i="1" s="1"/>
  <c r="AF269" i="1"/>
  <c r="M252" i="1"/>
  <c r="M497" i="1" s="1"/>
  <c r="C346" i="1"/>
  <c r="C542" i="1" s="1"/>
  <c r="O344" i="1"/>
  <c r="O540" i="1" s="1"/>
  <c r="H246" i="1"/>
  <c r="H491" i="1" s="1"/>
  <c r="AD269" i="1"/>
  <c r="N252" i="1"/>
  <c r="N497" i="1" s="1"/>
  <c r="AA32" i="1"/>
  <c r="M350" i="1"/>
  <c r="M546" i="1" s="1"/>
  <c r="AC350" i="1"/>
  <c r="AC546" i="1" s="1"/>
  <c r="N350" i="1"/>
  <c r="N546" i="1" s="1"/>
  <c r="G368" i="1"/>
  <c r="G564" i="1" s="1"/>
  <c r="AK368" i="1"/>
  <c r="AK564" i="1" s="1"/>
  <c r="AM350" i="1"/>
  <c r="AM546" i="1" s="1"/>
  <c r="AB350" i="1"/>
  <c r="AB546" i="1" s="1"/>
  <c r="B252" i="1"/>
  <c r="B497" i="1" s="1"/>
  <c r="E368" i="1"/>
  <c r="E564" i="1" s="1"/>
  <c r="N270" i="1"/>
  <c r="S350" i="1"/>
  <c r="S546" i="1" s="1"/>
  <c r="V350" i="1"/>
  <c r="V546" i="1" s="1"/>
  <c r="AK350" i="1"/>
  <c r="AK546" i="1" s="1"/>
  <c r="AC368" i="1"/>
  <c r="AC564" i="1" s="1"/>
  <c r="B270" i="1"/>
  <c r="B515" i="1" s="1"/>
  <c r="AB252" i="1"/>
  <c r="AB497" i="1" s="1"/>
  <c r="H252" i="1"/>
  <c r="AA252" i="1"/>
  <c r="AA497" i="1" s="1"/>
  <c r="X32" i="1"/>
  <c r="AA368" i="1"/>
  <c r="AA564" i="1" s="1"/>
  <c r="AC270" i="1"/>
  <c r="Z252" i="1"/>
  <c r="Z497" i="1" s="1"/>
  <c r="AA350" i="1"/>
  <c r="AA546" i="1" s="1"/>
  <c r="X252" i="1"/>
  <c r="Z368" i="1"/>
  <c r="Z564" i="1" s="1"/>
  <c r="P270" i="1"/>
  <c r="I350" i="1"/>
  <c r="I546" i="1" s="1"/>
  <c r="AO252" i="1"/>
  <c r="AO497" i="1" s="1"/>
  <c r="V252" i="1"/>
  <c r="AB270" i="1"/>
  <c r="W368" i="1"/>
  <c r="W564" i="1" s="1"/>
  <c r="Y270" i="1"/>
  <c r="S346" i="1"/>
  <c r="S542" i="1" s="1"/>
  <c r="H350" i="1"/>
  <c r="H546" i="1" s="1"/>
  <c r="AN252" i="1"/>
  <c r="AH368" i="1"/>
  <c r="AH564" i="1" s="1"/>
  <c r="AH248" i="1"/>
  <c r="P252" i="1"/>
  <c r="O350" i="1"/>
  <c r="O546" i="1" s="1"/>
  <c r="J270" i="1"/>
  <c r="J515" i="1" s="1"/>
  <c r="W270" i="1"/>
  <c r="W515" i="1" s="1"/>
  <c r="G270" i="1"/>
  <c r="G515" i="1" s="1"/>
  <c r="X368" i="1"/>
  <c r="X564" i="1" s="1"/>
  <c r="O248" i="1"/>
  <c r="O493" i="1" s="1"/>
  <c r="G350" i="1"/>
  <c r="G546" i="1" s="1"/>
  <c r="AE252" i="1"/>
  <c r="AE497" i="1" s="1"/>
  <c r="Y368" i="1"/>
  <c r="Y564" i="1" s="1"/>
  <c r="V368" i="1"/>
  <c r="V564" i="1" s="1"/>
  <c r="U368" i="1"/>
  <c r="U564" i="1" s="1"/>
  <c r="D270" i="1"/>
  <c r="D515" i="1" s="1"/>
  <c r="AO270" i="1"/>
  <c r="AO515" i="1" s="1"/>
  <c r="R32" i="1"/>
  <c r="J252" i="1"/>
  <c r="O252" i="1"/>
  <c r="O497" i="1" s="1"/>
  <c r="S270" i="1"/>
  <c r="S515" i="1" s="1"/>
  <c r="N368" i="1"/>
  <c r="N564" i="1" s="1"/>
  <c r="H270" i="1"/>
  <c r="F350" i="1"/>
  <c r="F546" i="1" s="1"/>
  <c r="L252" i="1"/>
  <c r="T368" i="1"/>
  <c r="T564" i="1" s="1"/>
  <c r="AN368" i="1"/>
  <c r="AN564" i="1" s="1"/>
  <c r="AK270" i="1"/>
  <c r="I252" i="1"/>
  <c r="I497" i="1" s="1"/>
  <c r="V32" i="1"/>
  <c r="AI368" i="1"/>
  <c r="AI564" i="1" s="1"/>
  <c r="S368" i="1"/>
  <c r="S564" i="1" s="1"/>
  <c r="J368" i="1"/>
  <c r="J564" i="1" s="1"/>
  <c r="F270" i="1"/>
  <c r="F515" i="1" s="1"/>
  <c r="C252" i="1"/>
  <c r="C497" i="1" s="1"/>
  <c r="K252" i="1"/>
  <c r="K497" i="1" s="1"/>
  <c r="D248" i="1"/>
  <c r="D493" i="1" s="1"/>
  <c r="AM248" i="1"/>
  <c r="AM493" i="1" s="1"/>
  <c r="C248" i="1"/>
  <c r="C493" i="1" s="1"/>
  <c r="AG248" i="1"/>
  <c r="E248" i="1"/>
  <c r="E493" i="1" s="1"/>
  <c r="AA366" i="1"/>
  <c r="AA562" i="1" s="1"/>
  <c r="Q346" i="1"/>
  <c r="Q542" i="1" s="1"/>
  <c r="AM346" i="1"/>
  <c r="AM542" i="1" s="1"/>
  <c r="K346" i="1"/>
  <c r="K542" i="1" s="1"/>
  <c r="R31" i="1"/>
  <c r="I366" i="1"/>
  <c r="I562" i="1" s="1"/>
  <c r="V268" i="1"/>
  <c r="V513" i="1" s="1"/>
  <c r="AH366" i="1"/>
  <c r="AH562" i="1" s="1"/>
  <c r="AI113" i="1"/>
  <c r="AU32" i="1" s="1"/>
  <c r="AJ346" i="1"/>
  <c r="AJ542" i="1" s="1"/>
  <c r="B248" i="1"/>
  <c r="B493" i="1" s="1"/>
  <c r="P346" i="1"/>
  <c r="P542" i="1" s="1"/>
  <c r="AA268" i="1"/>
  <c r="J366" i="1"/>
  <c r="J562" i="1" s="1"/>
  <c r="AH346" i="1"/>
  <c r="AH542" i="1" s="1"/>
  <c r="O346" i="1"/>
  <c r="O542" i="1" s="1"/>
  <c r="W248" i="1"/>
  <c r="W493" i="1" s="1"/>
  <c r="AL31" i="1"/>
  <c r="L268" i="1"/>
  <c r="L513" i="1" s="1"/>
  <c r="AL346" i="1"/>
  <c r="AL542" i="1" s="1"/>
  <c r="AG268" i="1"/>
  <c r="AG513" i="1" s="1"/>
  <c r="AI346" i="1"/>
  <c r="AI542" i="1" s="1"/>
  <c r="AF248" i="1"/>
  <c r="U248" i="1"/>
  <c r="U493" i="1" s="1"/>
  <c r="AI268" i="1"/>
  <c r="AK268" i="1"/>
  <c r="AK513" i="1" s="1"/>
  <c r="Y248" i="1"/>
  <c r="Y493" i="1" s="1"/>
  <c r="AD346" i="1"/>
  <c r="AD542" i="1" s="1"/>
  <c r="N346" i="1"/>
  <c r="N542" i="1" s="1"/>
  <c r="V346" i="1"/>
  <c r="V542" i="1" s="1"/>
  <c r="AH268" i="1"/>
  <c r="AC346" i="1"/>
  <c r="AC542" i="1" s="1"/>
  <c r="AE248" i="1"/>
  <c r="AE493" i="1" s="1"/>
  <c r="AB248" i="1"/>
  <c r="AB493" i="1" s="1"/>
  <c r="R366" i="1"/>
  <c r="R562" i="1" s="1"/>
  <c r="S344" i="1"/>
  <c r="S540" i="1" s="1"/>
  <c r="G246" i="1"/>
  <c r="G491" i="1" s="1"/>
  <c r="AB269" i="1"/>
  <c r="AB514" i="1" s="1"/>
  <c r="AB346" i="1"/>
  <c r="AB542" i="1" s="1"/>
  <c r="AO346" i="1"/>
  <c r="AO542" i="1" s="1"/>
  <c r="Z248" i="1"/>
  <c r="Z493" i="1" s="1"/>
  <c r="O366" i="1"/>
  <c r="O562" i="1" s="1"/>
  <c r="Q344" i="1"/>
  <c r="Q540" i="1" s="1"/>
  <c r="AK344" i="1"/>
  <c r="AK540" i="1" s="1"/>
  <c r="R269" i="1"/>
  <c r="R514" i="1" s="1"/>
  <c r="AG346" i="1"/>
  <c r="AG542" i="1" s="1"/>
  <c r="AA346" i="1"/>
  <c r="AA542" i="1" s="1"/>
  <c r="M346" i="1"/>
  <c r="M542" i="1" s="1"/>
  <c r="S248" i="1"/>
  <c r="S493" i="1" s="1"/>
  <c r="G366" i="1"/>
  <c r="G562" i="1" s="1"/>
  <c r="AE346" i="1"/>
  <c r="AE542" i="1" s="1"/>
  <c r="Z346" i="1"/>
  <c r="Z542" i="1" s="1"/>
  <c r="AD248" i="1"/>
  <c r="R346" i="1"/>
  <c r="R542" i="1" s="1"/>
  <c r="AK366" i="1"/>
  <c r="AK562" i="1" s="1"/>
  <c r="F346" i="1"/>
  <c r="F542" i="1" s="1"/>
  <c r="AN346" i="1"/>
  <c r="AN542" i="1" s="1"/>
  <c r="Q248" i="1"/>
  <c r="AJ366" i="1"/>
  <c r="AJ562" i="1" s="1"/>
  <c r="Y346" i="1"/>
  <c r="Y542" i="1" s="1"/>
  <c r="P344" i="1"/>
  <c r="P540" i="1" s="1"/>
  <c r="E344" i="1"/>
  <c r="E540" i="1" s="1"/>
  <c r="Q269" i="1"/>
  <c r="AF346" i="1"/>
  <c r="AF542" i="1" s="1"/>
  <c r="I346" i="1"/>
  <c r="I542" i="1" s="1"/>
  <c r="L346" i="1"/>
  <c r="L542" i="1" s="1"/>
  <c r="M248" i="1"/>
  <c r="AC366" i="1"/>
  <c r="AC562" i="1" s="1"/>
  <c r="AF31" i="1"/>
  <c r="P68" i="1"/>
  <c r="C110" i="1" s="1"/>
  <c r="C113" i="1"/>
  <c r="K344" i="1"/>
  <c r="K540" i="1" s="1"/>
  <c r="AG344" i="1"/>
  <c r="AG540" i="1" s="1"/>
  <c r="M269" i="1"/>
  <c r="M514" i="1" s="1"/>
  <c r="E346" i="1"/>
  <c r="E542" i="1" s="1"/>
  <c r="H346" i="1"/>
  <c r="H542" i="1" s="1"/>
  <c r="AC248" i="1"/>
  <c r="AC493" i="1" s="1"/>
  <c r="AN248" i="1"/>
  <c r="AN493" i="1" s="1"/>
  <c r="AJ268" i="1"/>
  <c r="AJ513" i="1" s="1"/>
  <c r="G346" i="1"/>
  <c r="G542" i="1" s="1"/>
  <c r="T248" i="1"/>
  <c r="P248" i="1"/>
  <c r="P493" i="1" s="1"/>
  <c r="C368" i="1"/>
  <c r="C564" i="1" s="1"/>
  <c r="Z270" i="1"/>
  <c r="Z515" i="1" s="1"/>
  <c r="AO368" i="1"/>
  <c r="AO564" i="1" s="1"/>
  <c r="J344" i="1"/>
  <c r="J540" i="1" s="1"/>
  <c r="AJ344" i="1"/>
  <c r="AJ540" i="1" s="1"/>
  <c r="N367" i="1"/>
  <c r="N563" i="1" s="1"/>
  <c r="AO269" i="1"/>
  <c r="AO514" i="1" s="1"/>
  <c r="B346" i="1"/>
  <c r="B542" i="1" s="1"/>
  <c r="X248" i="1"/>
  <c r="X493" i="1" s="1"/>
  <c r="AK346" i="1"/>
  <c r="AK542" i="1" s="1"/>
  <c r="AL248" i="1"/>
  <c r="K268" i="1"/>
  <c r="K513" i="1" s="1"/>
  <c r="U32" i="1"/>
  <c r="E350" i="1"/>
  <c r="E546" i="1" s="1"/>
  <c r="X350" i="1"/>
  <c r="X546" i="1" s="1"/>
  <c r="Y252" i="1"/>
  <c r="Y497" i="1" s="1"/>
  <c r="B368" i="1"/>
  <c r="B564" i="1" s="1"/>
  <c r="R270" i="1"/>
  <c r="R515" i="1" s="1"/>
  <c r="Q368" i="1"/>
  <c r="Q564" i="1" s="1"/>
  <c r="Y246" i="1"/>
  <c r="Y491" i="1" s="1"/>
  <c r="I344" i="1"/>
  <c r="I540" i="1" s="1"/>
  <c r="K367" i="1"/>
  <c r="K563" i="1" s="1"/>
  <c r="AL269" i="1"/>
  <c r="V248" i="1"/>
  <c r="X346" i="1"/>
  <c r="X542" i="1" s="1"/>
  <c r="J346" i="1"/>
  <c r="J542" i="1" s="1"/>
  <c r="N248" i="1"/>
  <c r="AL32" i="1"/>
  <c r="AH350" i="1"/>
  <c r="AH546" i="1" s="1"/>
  <c r="G252" i="1"/>
  <c r="AM252" i="1"/>
  <c r="AM497" i="1" s="1"/>
  <c r="W252" i="1"/>
  <c r="W497" i="1" s="1"/>
  <c r="Q268" i="1"/>
  <c r="Q513" i="1" s="1"/>
  <c r="AM270" i="1"/>
  <c r="D368" i="1"/>
  <c r="D564" i="1" s="1"/>
  <c r="AM368" i="1"/>
  <c r="AM564" i="1" s="1"/>
  <c r="AF270" i="1"/>
  <c r="H344" i="1"/>
  <c r="H540" i="1" s="1"/>
  <c r="AE246" i="1"/>
  <c r="AL367" i="1"/>
  <c r="AL563" i="1" s="1"/>
  <c r="N269" i="1"/>
  <c r="N514" i="1" s="1"/>
  <c r="R248" i="1"/>
  <c r="R493" i="1" s="1"/>
  <c r="W346" i="1"/>
  <c r="W542" i="1" s="1"/>
  <c r="H248" i="1"/>
  <c r="H493" i="1" s="1"/>
  <c r="AJ248" i="1"/>
  <c r="AO268" i="1"/>
  <c r="AO513" i="1" s="1"/>
  <c r="U350" i="1"/>
  <c r="U546" i="1" s="1"/>
  <c r="D350" i="1"/>
  <c r="D546" i="1" s="1"/>
  <c r="W350" i="1"/>
  <c r="W546" i="1" s="1"/>
  <c r="Z350" i="1"/>
  <c r="Z546" i="1" s="1"/>
  <c r="AA248" i="1"/>
  <c r="AA493" i="1" s="1"/>
  <c r="AI270" i="1"/>
  <c r="AI515" i="1" s="1"/>
  <c r="AA270" i="1"/>
  <c r="AA515" i="1" s="1"/>
  <c r="M368" i="1"/>
  <c r="M564" i="1" s="1"/>
  <c r="C270" i="1"/>
  <c r="C515" i="1" s="1"/>
  <c r="U246" i="1"/>
  <c r="Q246" i="1"/>
  <c r="D367" i="1"/>
  <c r="D563" i="1" s="1"/>
  <c r="L269" i="1"/>
  <c r="L514" i="1" s="1"/>
  <c r="K248" i="1"/>
  <c r="U346" i="1"/>
  <c r="U542" i="1" s="1"/>
  <c r="AO248" i="1"/>
  <c r="AO493" i="1" s="1"/>
  <c r="L248" i="1"/>
  <c r="AC268" i="1"/>
  <c r="T350" i="1"/>
  <c r="T546" i="1" s="1"/>
  <c r="F252" i="1"/>
  <c r="F497" i="1" s="1"/>
  <c r="AK252" i="1"/>
  <c r="B350" i="1"/>
  <c r="B546" i="1" s="1"/>
  <c r="D346" i="1"/>
  <c r="D542" i="1" s="1"/>
  <c r="AH270" i="1"/>
  <c r="AE368" i="1"/>
  <c r="AE564" i="1" s="1"/>
  <c r="Q270" i="1"/>
  <c r="C344" i="1"/>
  <c r="C540" i="1" s="1"/>
  <c r="AI246" i="1"/>
  <c r="AC269" i="1"/>
  <c r="F248" i="1"/>
  <c r="F493" i="1" s="1"/>
  <c r="T346" i="1"/>
  <c r="T542" i="1" s="1"/>
  <c r="Z268" i="1"/>
  <c r="Z513" i="1" s="1"/>
  <c r="R350" i="1"/>
  <c r="R546" i="1" s="1"/>
  <c r="C350" i="1"/>
  <c r="C546" i="1" s="1"/>
  <c r="AL252" i="1"/>
  <c r="AL497" i="1" s="1"/>
  <c r="AE367" i="1"/>
  <c r="AE563" i="1" s="1"/>
  <c r="X269" i="1"/>
  <c r="X514" i="1" s="1"/>
  <c r="AM366" i="1"/>
  <c r="AM562" i="1" s="1"/>
  <c r="W366" i="1"/>
  <c r="W562" i="1" s="1"/>
  <c r="G269" i="1"/>
  <c r="G514" i="1" s="1"/>
  <c r="P269" i="1"/>
  <c r="AJ269" i="1"/>
  <c r="AJ514" i="1" s="1"/>
  <c r="Z367" i="1"/>
  <c r="Z563" i="1" s="1"/>
  <c r="V367" i="1"/>
  <c r="V563" i="1" s="1"/>
  <c r="F366" i="1"/>
  <c r="F562" i="1" s="1"/>
  <c r="J268" i="1"/>
  <c r="J513" i="1" s="1"/>
  <c r="Q367" i="1"/>
  <c r="Q563" i="1" s="1"/>
  <c r="AH269" i="1"/>
  <c r="AH514" i="1" s="1"/>
  <c r="N268" i="1"/>
  <c r="N513" i="1" s="1"/>
  <c r="AF268" i="1"/>
  <c r="AF513" i="1" s="1"/>
  <c r="AI366" i="1"/>
  <c r="AI562" i="1" s="1"/>
  <c r="AD268" i="1"/>
  <c r="AD513" i="1" s="1"/>
  <c r="I367" i="1"/>
  <c r="I563" i="1" s="1"/>
  <c r="AA367" i="1"/>
  <c r="AA563" i="1" s="1"/>
  <c r="AG366" i="1"/>
  <c r="AG562" i="1" s="1"/>
  <c r="G367" i="1"/>
  <c r="G563" i="1" s="1"/>
  <c r="B269" i="1"/>
  <c r="B514" i="1" s="1"/>
  <c r="D366" i="1"/>
  <c r="D562" i="1" s="1"/>
  <c r="F367" i="1"/>
  <c r="F563" i="1" s="1"/>
  <c r="Y367" i="1"/>
  <c r="Y563" i="1" s="1"/>
  <c r="P366" i="1"/>
  <c r="P562" i="1" s="1"/>
  <c r="G268" i="1"/>
  <c r="G513" i="1" s="1"/>
  <c r="P367" i="1"/>
  <c r="P563" i="1" s="1"/>
  <c r="E269" i="1"/>
  <c r="E514" i="1" s="1"/>
  <c r="N366" i="1"/>
  <c r="N562" i="1" s="1"/>
  <c r="C268" i="1"/>
  <c r="C513" i="1" s="1"/>
  <c r="L367" i="1"/>
  <c r="L563" i="1" s="1"/>
  <c r="AM32" i="1"/>
  <c r="L366" i="1"/>
  <c r="L562" i="1" s="1"/>
  <c r="AE366" i="1"/>
  <c r="AE562" i="1" s="1"/>
  <c r="P246" i="1"/>
  <c r="P491" i="1" s="1"/>
  <c r="F344" i="1"/>
  <c r="F540" i="1" s="1"/>
  <c r="N246" i="1"/>
  <c r="N491" i="1" s="1"/>
  <c r="K246" i="1"/>
  <c r="K491" i="1" s="1"/>
  <c r="AH344" i="1"/>
  <c r="AH540" i="1" s="1"/>
  <c r="Z344" i="1"/>
  <c r="Z540" i="1" s="1"/>
  <c r="B246" i="1"/>
  <c r="D344" i="1"/>
  <c r="D540" i="1" s="1"/>
  <c r="L246" i="1"/>
  <c r="AG246" i="1"/>
  <c r="AO344" i="1"/>
  <c r="AO540" i="1" s="1"/>
  <c r="AM246" i="1"/>
  <c r="AM491" i="1" s="1"/>
  <c r="AC246" i="1"/>
  <c r="AC491" i="1" s="1"/>
  <c r="X246" i="1"/>
  <c r="X491" i="1" s="1"/>
  <c r="X268" i="1"/>
  <c r="X513" i="1" s="1"/>
  <c r="AD366" i="1"/>
  <c r="AD562" i="1" s="1"/>
  <c r="AB268" i="1"/>
  <c r="AB513" i="1" s="1"/>
  <c r="AN344" i="1"/>
  <c r="AN540" i="1" s="1"/>
  <c r="X344" i="1"/>
  <c r="X540" i="1" s="1"/>
  <c r="Y344" i="1"/>
  <c r="Y540" i="1" s="1"/>
  <c r="V246" i="1"/>
  <c r="Z366" i="1"/>
  <c r="Z562" i="1" s="1"/>
  <c r="O268" i="1"/>
  <c r="O513" i="1" s="1"/>
  <c r="D268" i="1"/>
  <c r="AM344" i="1"/>
  <c r="AM540" i="1" s="1"/>
  <c r="AK246" i="1"/>
  <c r="AK491" i="1" s="1"/>
  <c r="AB246" i="1"/>
  <c r="AB491" i="1" s="1"/>
  <c r="T246" i="1"/>
  <c r="T491" i="1" s="1"/>
  <c r="R268" i="1"/>
  <c r="R513" i="1" s="1"/>
  <c r="AN366" i="1"/>
  <c r="AN562" i="1" s="1"/>
  <c r="AL344" i="1"/>
  <c r="AL540" i="1" s="1"/>
  <c r="W344" i="1"/>
  <c r="W540" i="1" s="1"/>
  <c r="O246" i="1"/>
  <c r="O491" i="1" s="1"/>
  <c r="X366" i="1"/>
  <c r="X562" i="1" s="1"/>
  <c r="M366" i="1"/>
  <c r="M562" i="1" s="1"/>
  <c r="AF344" i="1"/>
  <c r="AF540" i="1" s="1"/>
  <c r="AJ246" i="1"/>
  <c r="P32" i="1"/>
  <c r="V366" i="1"/>
  <c r="V562" i="1" s="1"/>
  <c r="AL366" i="1"/>
  <c r="AL562" i="1" s="1"/>
  <c r="AE344" i="1"/>
  <c r="AE540" i="1" s="1"/>
  <c r="V344" i="1"/>
  <c r="V540" i="1" s="1"/>
  <c r="S366" i="1"/>
  <c r="S562" i="1" s="1"/>
  <c r="K366" i="1"/>
  <c r="K562" i="1" s="1"/>
  <c r="E367" i="1"/>
  <c r="E563" i="1" s="1"/>
  <c r="X367" i="1"/>
  <c r="X563" i="1" s="1"/>
  <c r="S269" i="1"/>
  <c r="AO367" i="1"/>
  <c r="AO563" i="1" s="1"/>
  <c r="AK269" i="1"/>
  <c r="AK514" i="1" s="1"/>
  <c r="AM367" i="1"/>
  <c r="AM563" i="1" s="1"/>
  <c r="J367" i="1"/>
  <c r="J563" i="1" s="1"/>
  <c r="AI269" i="1"/>
  <c r="AI514" i="1" s="1"/>
  <c r="M367" i="1"/>
  <c r="M563" i="1" s="1"/>
  <c r="AK367" i="1"/>
  <c r="AK563" i="1" s="1"/>
  <c r="AG269" i="1"/>
  <c r="H367" i="1"/>
  <c r="H563" i="1" s="1"/>
  <c r="C367" i="1"/>
  <c r="C563" i="1" s="1"/>
  <c r="T367" i="1"/>
  <c r="T563" i="1" s="1"/>
  <c r="K269" i="1"/>
  <c r="AJ367" i="1"/>
  <c r="AJ563" i="1" s="1"/>
  <c r="AA269" i="1"/>
  <c r="AA514" i="1" s="1"/>
  <c r="I269" i="1"/>
  <c r="I514" i="1" s="1"/>
  <c r="AB367" i="1"/>
  <c r="AB563" i="1" s="1"/>
  <c r="B367" i="1"/>
  <c r="B563" i="1" s="1"/>
  <c r="V269" i="1"/>
  <c r="V514" i="1" s="1"/>
  <c r="AM31" i="1"/>
  <c r="W367" i="1"/>
  <c r="W563" i="1" s="1"/>
  <c r="W269" i="1"/>
  <c r="O269" i="1"/>
  <c r="O514" i="1" s="1"/>
  <c r="R367" i="1"/>
  <c r="R563" i="1" s="1"/>
  <c r="AN367" i="1"/>
  <c r="AN563" i="1" s="1"/>
  <c r="AI367" i="1"/>
  <c r="AI563" i="1" s="1"/>
  <c r="D269" i="1"/>
  <c r="Z269" i="1"/>
  <c r="Z514" i="1" s="1"/>
  <c r="S367" i="1"/>
  <c r="S563" i="1" s="1"/>
  <c r="AH367" i="1"/>
  <c r="AH563" i="1" s="1"/>
  <c r="C269" i="1"/>
  <c r="C514" i="1" s="1"/>
  <c r="E366" i="1"/>
  <c r="E562" i="1" s="1"/>
  <c r="M268" i="1"/>
  <c r="M513" i="1" s="1"/>
  <c r="U366" i="1"/>
  <c r="U562" i="1" s="1"/>
  <c r="AF366" i="1"/>
  <c r="AF562" i="1" s="1"/>
  <c r="W268" i="1"/>
  <c r="W513" i="1" s="1"/>
  <c r="T366" i="1"/>
  <c r="T562" i="1" s="1"/>
  <c r="C366" i="1"/>
  <c r="C562" i="1" s="1"/>
  <c r="S268" i="1"/>
  <c r="S513" i="1" s="1"/>
  <c r="Q366" i="1"/>
  <c r="Q562" i="1" s="1"/>
  <c r="B366" i="1"/>
  <c r="B562" i="1" s="1"/>
  <c r="T268" i="1"/>
  <c r="Y366" i="1"/>
  <c r="Y562" i="1" s="1"/>
  <c r="AO366" i="1"/>
  <c r="AO562" i="1" s="1"/>
  <c r="I268" i="1"/>
  <c r="AM268" i="1"/>
  <c r="H366" i="1"/>
  <c r="H562" i="1" s="1"/>
  <c r="AB366" i="1"/>
  <c r="AB562" i="1" s="1"/>
  <c r="AL268" i="1"/>
  <c r="H268" i="1"/>
  <c r="AE268" i="1"/>
  <c r="AE513" i="1" s="1"/>
  <c r="U268" i="1"/>
  <c r="U513" i="1" s="1"/>
  <c r="B268" i="1"/>
  <c r="B513" i="1" s="1"/>
  <c r="AH447" i="1"/>
  <c r="AH496" i="1"/>
  <c r="G447" i="1"/>
  <c r="G496" i="1"/>
  <c r="AG450" i="1"/>
  <c r="AG499" i="1"/>
  <c r="F456" i="1"/>
  <c r="F505" i="1"/>
  <c r="M469" i="1"/>
  <c r="M518" i="1"/>
  <c r="F500" i="1"/>
  <c r="AN514" i="1"/>
  <c r="AM523" i="1"/>
  <c r="AL474" i="1"/>
  <c r="AL523" i="1"/>
  <c r="E447" i="1"/>
  <c r="E496" i="1"/>
  <c r="AE467" i="1"/>
  <c r="AE516" i="1"/>
  <c r="AE453" i="1"/>
  <c r="AE502" i="1"/>
  <c r="M474" i="1"/>
  <c r="M523" i="1"/>
  <c r="G474" i="1"/>
  <c r="G523" i="1"/>
  <c r="AM450" i="1"/>
  <c r="AM499" i="1"/>
  <c r="AB453" i="1"/>
  <c r="AB502" i="1"/>
  <c r="AE456" i="1"/>
  <c r="AE505" i="1"/>
  <c r="T456" i="1"/>
  <c r="T505" i="1"/>
  <c r="H447" i="1"/>
  <c r="H496" i="1"/>
  <c r="AN496" i="1"/>
  <c r="AN447" i="1"/>
  <c r="AK458" i="1"/>
  <c r="AK507" i="1"/>
  <c r="L458" i="1"/>
  <c r="L507" i="1"/>
  <c r="F458" i="1"/>
  <c r="F507" i="1"/>
  <c r="F513" i="1"/>
  <c r="S450" i="1"/>
  <c r="S499" i="1"/>
  <c r="Y502" i="1"/>
  <c r="Y453" i="1"/>
  <c r="J467" i="1"/>
  <c r="J516" i="1"/>
  <c r="AI474" i="1"/>
  <c r="AI523" i="1"/>
  <c r="O499" i="1"/>
  <c r="O450" i="1"/>
  <c r="G450" i="1"/>
  <c r="G499" i="1"/>
  <c r="I479" i="1"/>
  <c r="I528" i="1"/>
  <c r="X479" i="1"/>
  <c r="X528" i="1"/>
  <c r="U502" i="1"/>
  <c r="U453" i="1"/>
  <c r="X453" i="1"/>
  <c r="X502" i="1"/>
  <c r="D447" i="1"/>
  <c r="D496" i="1"/>
  <c r="Y447" i="1"/>
  <c r="Y496" i="1"/>
  <c r="P447" i="1"/>
  <c r="P496" i="1"/>
  <c r="K458" i="1"/>
  <c r="K507" i="1"/>
  <c r="AB507" i="1"/>
  <c r="AB458" i="1"/>
  <c r="AK450" i="1"/>
  <c r="AK499" i="1"/>
  <c r="W502" i="1"/>
  <c r="W453" i="1"/>
  <c r="AN467" i="1"/>
  <c r="AN516" i="1"/>
  <c r="C458" i="1"/>
  <c r="C507" i="1"/>
  <c r="N474" i="1"/>
  <c r="N523" i="1"/>
  <c r="F518" i="1"/>
  <c r="F469" i="1"/>
  <c r="D469" i="1"/>
  <c r="D518" i="1"/>
  <c r="L467" i="1"/>
  <c r="L516" i="1"/>
  <c r="Q474" i="1"/>
  <c r="Q523" i="1"/>
  <c r="R474" i="1"/>
  <c r="R523" i="1"/>
  <c r="L474" i="1"/>
  <c r="L523" i="1"/>
  <c r="AE450" i="1"/>
  <c r="AE499" i="1"/>
  <c r="AG528" i="1"/>
  <c r="AG479" i="1"/>
  <c r="Z525" i="1"/>
  <c r="AG453" i="1"/>
  <c r="AG502" i="1"/>
  <c r="AA447" i="1"/>
  <c r="AA496" i="1"/>
  <c r="AE447" i="1"/>
  <c r="AE496" i="1"/>
  <c r="C447" i="1"/>
  <c r="C496" i="1"/>
  <c r="AC469" i="1"/>
  <c r="AC518" i="1"/>
  <c r="AN469" i="1"/>
  <c r="AN518" i="1"/>
  <c r="B518" i="1"/>
  <c r="B469" i="1"/>
  <c r="AC467" i="1"/>
  <c r="AC516" i="1"/>
  <c r="AI467" i="1"/>
  <c r="AI516" i="1"/>
  <c r="E474" i="1"/>
  <c r="E523" i="1"/>
  <c r="AM469" i="1"/>
  <c r="AM518" i="1"/>
  <c r="X469" i="1"/>
  <c r="X518" i="1"/>
  <c r="AG467" i="1"/>
  <c r="AG516" i="1"/>
  <c r="AF474" i="1"/>
  <c r="AF523" i="1"/>
  <c r="T279" i="1"/>
  <c r="V279" i="1"/>
  <c r="X279" i="1"/>
  <c r="J279" i="1"/>
  <c r="AK279" i="1"/>
  <c r="AW32" i="1"/>
  <c r="AA279" i="1"/>
  <c r="Q377" i="1"/>
  <c r="Q573" i="1" s="1"/>
  <c r="B279" i="1"/>
  <c r="AE279" i="1"/>
  <c r="D279" i="1"/>
  <c r="AG279" i="1"/>
  <c r="N377" i="1"/>
  <c r="N573" i="1" s="1"/>
  <c r="AM377" i="1"/>
  <c r="AM573" i="1" s="1"/>
  <c r="F279" i="1"/>
  <c r="AI279" i="1"/>
  <c r="S279" i="1"/>
  <c r="Y279" i="1"/>
  <c r="AF279" i="1"/>
  <c r="AJ279" i="1"/>
  <c r="I279" i="1"/>
  <c r="N279" i="1"/>
  <c r="AM279" i="1"/>
  <c r="AN279" i="1"/>
  <c r="AO279" i="1"/>
  <c r="T377" i="1"/>
  <c r="T573" i="1" s="1"/>
  <c r="G279" i="1"/>
  <c r="L279" i="1"/>
  <c r="P279" i="1"/>
  <c r="AL279" i="1"/>
  <c r="G377" i="1"/>
  <c r="G573" i="1" s="1"/>
  <c r="AH377" i="1"/>
  <c r="AH573" i="1" s="1"/>
  <c r="H377" i="1"/>
  <c r="H573" i="1" s="1"/>
  <c r="AI377" i="1"/>
  <c r="AI573" i="1" s="1"/>
  <c r="I377" i="1"/>
  <c r="I573" i="1" s="1"/>
  <c r="AJ377" i="1"/>
  <c r="AJ573" i="1" s="1"/>
  <c r="K377" i="1"/>
  <c r="K573" i="1" s="1"/>
  <c r="AL377" i="1"/>
  <c r="AL573" i="1" s="1"/>
  <c r="Q279" i="1"/>
  <c r="Y377" i="1"/>
  <c r="Y573" i="1" s="1"/>
  <c r="R279" i="1"/>
  <c r="Z377" i="1"/>
  <c r="Z573" i="1" s="1"/>
  <c r="U279" i="1"/>
  <c r="AA377" i="1"/>
  <c r="AA573" i="1" s="1"/>
  <c r="W279" i="1"/>
  <c r="AB377" i="1"/>
  <c r="AB573" i="1" s="1"/>
  <c r="Z279" i="1"/>
  <c r="AC377" i="1"/>
  <c r="AC573" i="1" s="1"/>
  <c r="AB279" i="1"/>
  <c r="AD377" i="1"/>
  <c r="AD573" i="1" s="1"/>
  <c r="AC279" i="1"/>
  <c r="AE377" i="1"/>
  <c r="AE573" i="1" s="1"/>
  <c r="AD279" i="1"/>
  <c r="AF377" i="1"/>
  <c r="AF573" i="1" s="1"/>
  <c r="AH279" i="1"/>
  <c r="B377" i="1"/>
  <c r="B573" i="1" s="1"/>
  <c r="AG377" i="1"/>
  <c r="AG573" i="1" s="1"/>
  <c r="J377" i="1"/>
  <c r="J573" i="1" s="1"/>
  <c r="AN377" i="1"/>
  <c r="AN573" i="1" s="1"/>
  <c r="AO377" i="1"/>
  <c r="AO573" i="1" s="1"/>
  <c r="C377" i="1"/>
  <c r="C573" i="1" s="1"/>
  <c r="L377" i="1"/>
  <c r="L573" i="1" s="1"/>
  <c r="M377" i="1"/>
  <c r="M573" i="1" s="1"/>
  <c r="C279" i="1"/>
  <c r="R377" i="1"/>
  <c r="R573" i="1" s="1"/>
  <c r="D377" i="1"/>
  <c r="D573" i="1" s="1"/>
  <c r="E279" i="1"/>
  <c r="E377" i="1"/>
  <c r="E573" i="1" s="1"/>
  <c r="H279" i="1"/>
  <c r="F377" i="1"/>
  <c r="F573" i="1" s="1"/>
  <c r="K279" i="1"/>
  <c r="O377" i="1"/>
  <c r="O573" i="1" s="1"/>
  <c r="M279" i="1"/>
  <c r="P377" i="1"/>
  <c r="P573" i="1" s="1"/>
  <c r="O279" i="1"/>
  <c r="S377" i="1"/>
  <c r="S573" i="1" s="1"/>
  <c r="U377" i="1"/>
  <c r="U573" i="1" s="1"/>
  <c r="V377" i="1"/>
  <c r="V573" i="1" s="1"/>
  <c r="W377" i="1"/>
  <c r="W573" i="1" s="1"/>
  <c r="X377" i="1"/>
  <c r="X573" i="1" s="1"/>
  <c r="AK377" i="1"/>
  <c r="AK573" i="1" s="1"/>
  <c r="AW31" i="1"/>
  <c r="AI450" i="1"/>
  <c r="AI499" i="1"/>
  <c r="D277" i="1"/>
  <c r="AB277" i="1"/>
  <c r="F277" i="1"/>
  <c r="AD277" i="1"/>
  <c r="H277" i="1"/>
  <c r="AF277" i="1"/>
  <c r="I277" i="1"/>
  <c r="AJ277" i="1"/>
  <c r="R277" i="1"/>
  <c r="T277" i="1"/>
  <c r="Y375" i="1"/>
  <c r="Y571" i="1" s="1"/>
  <c r="Q277" i="1"/>
  <c r="U277" i="1"/>
  <c r="S375" i="1"/>
  <c r="S571" i="1" s="1"/>
  <c r="W277" i="1"/>
  <c r="AE277" i="1"/>
  <c r="AI277" i="1"/>
  <c r="AK277" i="1"/>
  <c r="AM277" i="1"/>
  <c r="K277" i="1"/>
  <c r="O277" i="1"/>
  <c r="Y277" i="1"/>
  <c r="Z277" i="1"/>
  <c r="AA277" i="1"/>
  <c r="U375" i="1"/>
  <c r="U571" i="1" s="1"/>
  <c r="AC277" i="1"/>
  <c r="AN277" i="1"/>
  <c r="C277" i="1"/>
  <c r="F375" i="1"/>
  <c r="F571" i="1" s="1"/>
  <c r="AG375" i="1"/>
  <c r="AG571" i="1" s="1"/>
  <c r="G375" i="1"/>
  <c r="G571" i="1" s="1"/>
  <c r="AH375" i="1"/>
  <c r="AH571" i="1" s="1"/>
  <c r="H375" i="1"/>
  <c r="H571" i="1" s="1"/>
  <c r="AI375" i="1"/>
  <c r="AI571" i="1" s="1"/>
  <c r="B277" i="1"/>
  <c r="J375" i="1"/>
  <c r="J571" i="1" s="1"/>
  <c r="AK375" i="1"/>
  <c r="AK571" i="1" s="1"/>
  <c r="E277" i="1"/>
  <c r="G277" i="1"/>
  <c r="L277" i="1"/>
  <c r="E375" i="1"/>
  <c r="E571" i="1" s="1"/>
  <c r="AN375" i="1"/>
  <c r="AN571" i="1" s="1"/>
  <c r="J277" i="1"/>
  <c r="I375" i="1"/>
  <c r="I571" i="1" s="1"/>
  <c r="AO375" i="1"/>
  <c r="AO571" i="1" s="1"/>
  <c r="M277" i="1"/>
  <c r="K375" i="1"/>
  <c r="K571" i="1" s="1"/>
  <c r="N277" i="1"/>
  <c r="L375" i="1"/>
  <c r="L571" i="1" s="1"/>
  <c r="P277" i="1"/>
  <c r="M375" i="1"/>
  <c r="M571" i="1" s="1"/>
  <c r="S277" i="1"/>
  <c r="N375" i="1"/>
  <c r="N571" i="1" s="1"/>
  <c r="V277" i="1"/>
  <c r="O375" i="1"/>
  <c r="O571" i="1" s="1"/>
  <c r="X277" i="1"/>
  <c r="P375" i="1"/>
  <c r="P571" i="1" s="1"/>
  <c r="AG277" i="1"/>
  <c r="Q375" i="1"/>
  <c r="Q571" i="1" s="1"/>
  <c r="X375" i="1"/>
  <c r="X571" i="1" s="1"/>
  <c r="B375" i="1"/>
  <c r="B571" i="1" s="1"/>
  <c r="C375" i="1"/>
  <c r="C571" i="1" s="1"/>
  <c r="D375" i="1"/>
  <c r="D571" i="1" s="1"/>
  <c r="R375" i="1"/>
  <c r="R571" i="1" s="1"/>
  <c r="T375" i="1"/>
  <c r="T571" i="1" s="1"/>
  <c r="W375" i="1"/>
  <c r="W571" i="1" s="1"/>
  <c r="AH277" i="1"/>
  <c r="Z375" i="1"/>
  <c r="Z571" i="1" s="1"/>
  <c r="AD375" i="1"/>
  <c r="AD571" i="1" s="1"/>
  <c r="AE375" i="1"/>
  <c r="AE571" i="1" s="1"/>
  <c r="AL375" i="1"/>
  <c r="AL571" i="1" s="1"/>
  <c r="AA375" i="1"/>
  <c r="AA571" i="1" s="1"/>
  <c r="AL277" i="1"/>
  <c r="AO277" i="1"/>
  <c r="V375" i="1"/>
  <c r="V571" i="1" s="1"/>
  <c r="AF375" i="1"/>
  <c r="AF571" i="1" s="1"/>
  <c r="AJ375" i="1"/>
  <c r="AJ571" i="1" s="1"/>
  <c r="AM375" i="1"/>
  <c r="AM571" i="1" s="1"/>
  <c r="AB375" i="1"/>
  <c r="AB571" i="1" s="1"/>
  <c r="AC375" i="1"/>
  <c r="AC571" i="1" s="1"/>
  <c r="T261" i="1"/>
  <c r="V261" i="1"/>
  <c r="X261" i="1"/>
  <c r="N261" i="1"/>
  <c r="AO261" i="1"/>
  <c r="AE32" i="1"/>
  <c r="P261" i="1"/>
  <c r="B359" i="1"/>
  <c r="B555" i="1" s="1"/>
  <c r="Z359" i="1"/>
  <c r="Z555" i="1" s="1"/>
  <c r="B261" i="1"/>
  <c r="AE261" i="1"/>
  <c r="D261" i="1"/>
  <c r="AG261" i="1"/>
  <c r="C359" i="1"/>
  <c r="C555" i="1" s="1"/>
  <c r="AB359" i="1"/>
  <c r="AB555" i="1" s="1"/>
  <c r="G261" i="1"/>
  <c r="AL261" i="1"/>
  <c r="I261" i="1"/>
  <c r="AN261" i="1"/>
  <c r="S359" i="1"/>
  <c r="S555" i="1" s="1"/>
  <c r="K261" i="1"/>
  <c r="Z261" i="1"/>
  <c r="R261" i="1"/>
  <c r="W261" i="1"/>
  <c r="E261" i="1"/>
  <c r="F261" i="1"/>
  <c r="H261" i="1"/>
  <c r="U261" i="1"/>
  <c r="AC261" i="1"/>
  <c r="J261" i="1"/>
  <c r="Q359" i="1"/>
  <c r="Q555" i="1" s="1"/>
  <c r="L261" i="1"/>
  <c r="R359" i="1"/>
  <c r="R555" i="1" s="1"/>
  <c r="M261" i="1"/>
  <c r="T359" i="1"/>
  <c r="T555" i="1" s="1"/>
  <c r="O261" i="1"/>
  <c r="U359" i="1"/>
  <c r="U555" i="1" s="1"/>
  <c r="AA261" i="1"/>
  <c r="AF261" i="1"/>
  <c r="AJ261" i="1"/>
  <c r="Y359" i="1"/>
  <c r="Y555" i="1" s="1"/>
  <c r="AA359" i="1"/>
  <c r="AA555" i="1" s="1"/>
  <c r="AC359" i="1"/>
  <c r="AC555" i="1" s="1"/>
  <c r="AD359" i="1"/>
  <c r="AD555" i="1" s="1"/>
  <c r="AE359" i="1"/>
  <c r="AE555" i="1" s="1"/>
  <c r="AF359" i="1"/>
  <c r="AF555" i="1" s="1"/>
  <c r="AG359" i="1"/>
  <c r="AG555" i="1" s="1"/>
  <c r="I359" i="1"/>
  <c r="I555" i="1" s="1"/>
  <c r="J359" i="1"/>
  <c r="J555" i="1" s="1"/>
  <c r="C261" i="1"/>
  <c r="K359" i="1"/>
  <c r="K555" i="1" s="1"/>
  <c r="Q261" i="1"/>
  <c r="L359" i="1"/>
  <c r="L555" i="1" s="1"/>
  <c r="S261" i="1"/>
  <c r="M359" i="1"/>
  <c r="M555" i="1" s="1"/>
  <c r="Y261" i="1"/>
  <c r="N359" i="1"/>
  <c r="N555" i="1" s="1"/>
  <c r="AB261" i="1"/>
  <c r="O359" i="1"/>
  <c r="O555" i="1" s="1"/>
  <c r="AD261" i="1"/>
  <c r="P359" i="1"/>
  <c r="P555" i="1" s="1"/>
  <c r="AH261" i="1"/>
  <c r="V359" i="1"/>
  <c r="V555" i="1" s="1"/>
  <c r="AJ359" i="1"/>
  <c r="AJ555" i="1" s="1"/>
  <c r="D359" i="1"/>
  <c r="D555" i="1" s="1"/>
  <c r="E359" i="1"/>
  <c r="E555" i="1" s="1"/>
  <c r="F359" i="1"/>
  <c r="F555" i="1" s="1"/>
  <c r="G359" i="1"/>
  <c r="G555" i="1" s="1"/>
  <c r="H359" i="1"/>
  <c r="H555" i="1" s="1"/>
  <c r="X359" i="1"/>
  <c r="X555" i="1" s="1"/>
  <c r="AH359" i="1"/>
  <c r="AH555" i="1" s="1"/>
  <c r="AE31" i="1"/>
  <c r="AM359" i="1"/>
  <c r="AM555" i="1" s="1"/>
  <c r="AN359" i="1"/>
  <c r="AN555" i="1" s="1"/>
  <c r="AI261" i="1"/>
  <c r="AK261" i="1"/>
  <c r="AI359" i="1"/>
  <c r="AI555" i="1" s="1"/>
  <c r="AM261" i="1"/>
  <c r="W359" i="1"/>
  <c r="W555" i="1" s="1"/>
  <c r="AK359" i="1"/>
  <c r="AK555" i="1" s="1"/>
  <c r="AL359" i="1"/>
  <c r="AL555" i="1" s="1"/>
  <c r="AO359" i="1"/>
  <c r="AO555" i="1" s="1"/>
  <c r="M453" i="1"/>
  <c r="M502" i="1"/>
  <c r="AD456" i="1"/>
  <c r="AD505" i="1"/>
  <c r="M447" i="1"/>
  <c r="M496" i="1"/>
  <c r="AL447" i="1"/>
  <c r="AL496" i="1"/>
  <c r="AI458" i="1"/>
  <c r="AI507" i="1"/>
  <c r="J458" i="1"/>
  <c r="J507" i="1"/>
  <c r="D458" i="1"/>
  <c r="D507" i="1"/>
  <c r="K516" i="1"/>
  <c r="K467" i="1"/>
  <c r="AI479" i="1"/>
  <c r="AI528" i="1"/>
  <c r="E453" i="1"/>
  <c r="E502" i="1"/>
  <c r="W447" i="1"/>
  <c r="W496" i="1"/>
  <c r="AO458" i="1"/>
  <c r="AO507" i="1"/>
  <c r="AJ467" i="1"/>
  <c r="AJ516" i="1"/>
  <c r="AF456" i="1"/>
  <c r="AF505" i="1"/>
  <c r="AD507" i="1"/>
  <c r="AD458" i="1"/>
  <c r="N469" i="1"/>
  <c r="N518" i="1"/>
  <c r="V469" i="1"/>
  <c r="V518" i="1"/>
  <c r="T516" i="1"/>
  <c r="T467" i="1"/>
  <c r="AC474" i="1"/>
  <c r="AC523" i="1"/>
  <c r="M499" i="1"/>
  <c r="M450" i="1"/>
  <c r="Y500" i="1"/>
  <c r="AT32" i="1"/>
  <c r="T276" i="1"/>
  <c r="V276" i="1"/>
  <c r="X276" i="1"/>
  <c r="Q276" i="1"/>
  <c r="S276" i="1"/>
  <c r="AD276" i="1"/>
  <c r="C276" i="1"/>
  <c r="AF276" i="1"/>
  <c r="Q374" i="1"/>
  <c r="Q570" i="1" s="1"/>
  <c r="AO374" i="1"/>
  <c r="AO570" i="1" s="1"/>
  <c r="AA276" i="1"/>
  <c r="AC276" i="1"/>
  <c r="I374" i="1"/>
  <c r="I570" i="1" s="1"/>
  <c r="AH374" i="1"/>
  <c r="AH570" i="1" s="1"/>
  <c r="AG276" i="1"/>
  <c r="AJ276" i="1"/>
  <c r="E276" i="1"/>
  <c r="AM276" i="1"/>
  <c r="AK276" i="1"/>
  <c r="B276" i="1"/>
  <c r="AN276" i="1"/>
  <c r="K276" i="1"/>
  <c r="O276" i="1"/>
  <c r="P276" i="1"/>
  <c r="R276" i="1"/>
  <c r="U276" i="1"/>
  <c r="H374" i="1"/>
  <c r="H570" i="1" s="1"/>
  <c r="AI374" i="1"/>
  <c r="AI570" i="1" s="1"/>
  <c r="W276" i="1"/>
  <c r="AE276" i="1"/>
  <c r="AL276" i="1"/>
  <c r="AB276" i="1"/>
  <c r="S374" i="1"/>
  <c r="S570" i="1" s="1"/>
  <c r="AH276" i="1"/>
  <c r="T374" i="1"/>
  <c r="T570" i="1" s="1"/>
  <c r="AI276" i="1"/>
  <c r="U374" i="1"/>
  <c r="U570" i="1" s="1"/>
  <c r="AO276" i="1"/>
  <c r="W374" i="1"/>
  <c r="W570" i="1" s="1"/>
  <c r="Z276" i="1"/>
  <c r="M374" i="1"/>
  <c r="M570" i="1" s="1"/>
  <c r="N374" i="1"/>
  <c r="N570" i="1" s="1"/>
  <c r="O374" i="1"/>
  <c r="O570" i="1" s="1"/>
  <c r="P374" i="1"/>
  <c r="P570" i="1" s="1"/>
  <c r="R374" i="1"/>
  <c r="R570" i="1" s="1"/>
  <c r="V374" i="1"/>
  <c r="V570" i="1" s="1"/>
  <c r="X374" i="1"/>
  <c r="X570" i="1" s="1"/>
  <c r="Y374" i="1"/>
  <c r="Y570" i="1" s="1"/>
  <c r="Z374" i="1"/>
  <c r="Z570" i="1" s="1"/>
  <c r="AE374" i="1"/>
  <c r="AE570" i="1" s="1"/>
  <c r="F276" i="1"/>
  <c r="AM374" i="1"/>
  <c r="AM570" i="1" s="1"/>
  <c r="G276" i="1"/>
  <c r="AN374" i="1"/>
  <c r="AN570" i="1" s="1"/>
  <c r="H276" i="1"/>
  <c r="I276" i="1"/>
  <c r="J276" i="1"/>
  <c r="L276" i="1"/>
  <c r="M276" i="1"/>
  <c r="B374" i="1"/>
  <c r="B570" i="1" s="1"/>
  <c r="Y276" i="1"/>
  <c r="D374" i="1"/>
  <c r="D570" i="1" s="1"/>
  <c r="E374" i="1"/>
  <c r="E570" i="1" s="1"/>
  <c r="K374" i="1"/>
  <c r="K570" i="1" s="1"/>
  <c r="L374" i="1"/>
  <c r="L570" i="1" s="1"/>
  <c r="AT31" i="1"/>
  <c r="AC374" i="1"/>
  <c r="AC570" i="1" s="1"/>
  <c r="C374" i="1"/>
  <c r="C570" i="1" s="1"/>
  <c r="F374" i="1"/>
  <c r="F570" i="1" s="1"/>
  <c r="G374" i="1"/>
  <c r="G570" i="1" s="1"/>
  <c r="J374" i="1"/>
  <c r="J570" i="1" s="1"/>
  <c r="AA374" i="1"/>
  <c r="AA570" i="1" s="1"/>
  <c r="AB374" i="1"/>
  <c r="AB570" i="1" s="1"/>
  <c r="AD374" i="1"/>
  <c r="AD570" i="1" s="1"/>
  <c r="AF374" i="1"/>
  <c r="AF570" i="1" s="1"/>
  <c r="AG374" i="1"/>
  <c r="AG570" i="1" s="1"/>
  <c r="AJ374" i="1"/>
  <c r="AJ570" i="1" s="1"/>
  <c r="AK374" i="1"/>
  <c r="AK570" i="1" s="1"/>
  <c r="N276" i="1"/>
  <c r="AL374" i="1"/>
  <c r="AL570" i="1" s="1"/>
  <c r="D276" i="1"/>
  <c r="V479" i="1"/>
  <c r="V528" i="1"/>
  <c r="R502" i="1"/>
  <c r="R453" i="1"/>
  <c r="Q453" i="1"/>
  <c r="Q502" i="1"/>
  <c r="H502" i="1"/>
  <c r="H453" i="1"/>
  <c r="R456" i="1"/>
  <c r="R505" i="1"/>
  <c r="K496" i="1"/>
  <c r="K447" i="1"/>
  <c r="N447" i="1"/>
  <c r="N496" i="1"/>
  <c r="N458" i="1"/>
  <c r="N507" i="1"/>
  <c r="U458" i="1"/>
  <c r="U507" i="1"/>
  <c r="O447" i="1"/>
  <c r="O496" i="1"/>
  <c r="X458" i="1"/>
  <c r="X507" i="1"/>
  <c r="I467" i="1"/>
  <c r="I516" i="1"/>
  <c r="Z31" i="1"/>
  <c r="D256" i="1"/>
  <c r="AB256" i="1"/>
  <c r="F256" i="1"/>
  <c r="AD256" i="1"/>
  <c r="H256" i="1"/>
  <c r="AF256" i="1"/>
  <c r="V256" i="1"/>
  <c r="X256" i="1"/>
  <c r="J354" i="1"/>
  <c r="J550" i="1" s="1"/>
  <c r="AH354" i="1"/>
  <c r="AH550" i="1" s="1"/>
  <c r="Z256" i="1"/>
  <c r="R256" i="1"/>
  <c r="T256" i="1"/>
  <c r="B354" i="1"/>
  <c r="B550" i="1" s="1"/>
  <c r="AA354" i="1"/>
  <c r="AA550" i="1" s="1"/>
  <c r="I256" i="1"/>
  <c r="AO256" i="1"/>
  <c r="K256" i="1"/>
  <c r="K354" i="1"/>
  <c r="K550" i="1" s="1"/>
  <c r="AK354" i="1"/>
  <c r="AK550" i="1" s="1"/>
  <c r="M256" i="1"/>
  <c r="AC256" i="1"/>
  <c r="S256" i="1"/>
  <c r="Y256" i="1"/>
  <c r="Z32" i="1"/>
  <c r="AI256" i="1"/>
  <c r="AJ256" i="1"/>
  <c r="AK256" i="1"/>
  <c r="C256" i="1"/>
  <c r="L256" i="1"/>
  <c r="Z354" i="1"/>
  <c r="Z550" i="1" s="1"/>
  <c r="AB354" i="1"/>
  <c r="AB550" i="1" s="1"/>
  <c r="AC354" i="1"/>
  <c r="AC550" i="1" s="1"/>
  <c r="C354" i="1"/>
  <c r="C550" i="1" s="1"/>
  <c r="AD354" i="1"/>
  <c r="AD550" i="1" s="1"/>
  <c r="E256" i="1"/>
  <c r="N256" i="1"/>
  <c r="Q256" i="1"/>
  <c r="AE256" i="1"/>
  <c r="Y354" i="1"/>
  <c r="Y550" i="1" s="1"/>
  <c r="AG256" i="1"/>
  <c r="AE354" i="1"/>
  <c r="AE550" i="1" s="1"/>
  <c r="AH256" i="1"/>
  <c r="AF354" i="1"/>
  <c r="AF550" i="1" s="1"/>
  <c r="AL256" i="1"/>
  <c r="AG354" i="1"/>
  <c r="AG550" i="1" s="1"/>
  <c r="AM256" i="1"/>
  <c r="AI354" i="1"/>
  <c r="AI550" i="1" s="1"/>
  <c r="AN256" i="1"/>
  <c r="D354" i="1"/>
  <c r="D550" i="1" s="1"/>
  <c r="AJ354" i="1"/>
  <c r="AJ550" i="1" s="1"/>
  <c r="E354" i="1"/>
  <c r="E550" i="1" s="1"/>
  <c r="AL354" i="1"/>
  <c r="AL550" i="1" s="1"/>
  <c r="T354" i="1"/>
  <c r="T550" i="1" s="1"/>
  <c r="U354" i="1"/>
  <c r="U550" i="1" s="1"/>
  <c r="V354" i="1"/>
  <c r="V550" i="1" s="1"/>
  <c r="W354" i="1"/>
  <c r="W550" i="1" s="1"/>
  <c r="X354" i="1"/>
  <c r="X550" i="1" s="1"/>
  <c r="AM354" i="1"/>
  <c r="AM550" i="1" s="1"/>
  <c r="AN354" i="1"/>
  <c r="AN550" i="1" s="1"/>
  <c r="AO354" i="1"/>
  <c r="AO550" i="1" s="1"/>
  <c r="P256" i="1"/>
  <c r="G354" i="1"/>
  <c r="G550" i="1" s="1"/>
  <c r="H354" i="1"/>
  <c r="H550" i="1" s="1"/>
  <c r="I354" i="1"/>
  <c r="I550" i="1" s="1"/>
  <c r="B256" i="1"/>
  <c r="N354" i="1"/>
  <c r="N550" i="1" s="1"/>
  <c r="AA256" i="1"/>
  <c r="F354" i="1"/>
  <c r="F550" i="1" s="1"/>
  <c r="L354" i="1"/>
  <c r="L550" i="1" s="1"/>
  <c r="M354" i="1"/>
  <c r="M550" i="1" s="1"/>
  <c r="O354" i="1"/>
  <c r="O550" i="1" s="1"/>
  <c r="P354" i="1"/>
  <c r="P550" i="1" s="1"/>
  <c r="Q354" i="1"/>
  <c r="Q550" i="1" s="1"/>
  <c r="R354" i="1"/>
  <c r="R550" i="1" s="1"/>
  <c r="S354" i="1"/>
  <c r="S550" i="1" s="1"/>
  <c r="O256" i="1"/>
  <c r="U256" i="1"/>
  <c r="W256" i="1"/>
  <c r="G256" i="1"/>
  <c r="J256" i="1"/>
  <c r="E450" i="1"/>
  <c r="E499" i="1"/>
  <c r="I518" i="1"/>
  <c r="I469" i="1"/>
  <c r="T469" i="1"/>
  <c r="T518" i="1"/>
  <c r="U467" i="1"/>
  <c r="U516" i="1"/>
  <c r="AA474" i="1"/>
  <c r="Y450" i="1"/>
  <c r="Y499" i="1"/>
  <c r="G479" i="1"/>
  <c r="G528" i="1"/>
  <c r="T528" i="1"/>
  <c r="T479" i="1"/>
  <c r="L263" i="1"/>
  <c r="AJ263" i="1"/>
  <c r="N263" i="1"/>
  <c r="AL263" i="1"/>
  <c r="P263" i="1"/>
  <c r="AN263" i="1"/>
  <c r="R263" i="1"/>
  <c r="T263" i="1"/>
  <c r="R361" i="1"/>
  <c r="R557" i="1" s="1"/>
  <c r="I263" i="1"/>
  <c r="AO263" i="1"/>
  <c r="K263" i="1"/>
  <c r="W361" i="1"/>
  <c r="W557" i="1" s="1"/>
  <c r="Y263" i="1"/>
  <c r="AA263" i="1"/>
  <c r="Q361" i="1"/>
  <c r="Q557" i="1" s="1"/>
  <c r="AC263" i="1"/>
  <c r="H263" i="1"/>
  <c r="Q263" i="1"/>
  <c r="V263" i="1"/>
  <c r="G263" i="1"/>
  <c r="M263" i="1"/>
  <c r="AB263" i="1"/>
  <c r="AG263" i="1"/>
  <c r="AH263" i="1"/>
  <c r="T361" i="1"/>
  <c r="T557" i="1" s="1"/>
  <c r="AI263" i="1"/>
  <c r="U361" i="1"/>
  <c r="U557" i="1" s="1"/>
  <c r="AK263" i="1"/>
  <c r="V361" i="1"/>
  <c r="V557" i="1" s="1"/>
  <c r="AM263" i="1"/>
  <c r="X361" i="1"/>
  <c r="X557" i="1" s="1"/>
  <c r="C263" i="1"/>
  <c r="F263" i="1"/>
  <c r="I361" i="1"/>
  <c r="I557" i="1" s="1"/>
  <c r="AN361" i="1"/>
  <c r="AN557" i="1" s="1"/>
  <c r="J361" i="1"/>
  <c r="J557" i="1" s="1"/>
  <c r="AO361" i="1"/>
  <c r="AO557" i="1" s="1"/>
  <c r="K361" i="1"/>
  <c r="K557" i="1" s="1"/>
  <c r="L361" i="1"/>
  <c r="L557" i="1" s="1"/>
  <c r="M361" i="1"/>
  <c r="M557" i="1" s="1"/>
  <c r="N361" i="1"/>
  <c r="N557" i="1" s="1"/>
  <c r="O361" i="1"/>
  <c r="O557" i="1" s="1"/>
  <c r="D263" i="1"/>
  <c r="X263" i="1"/>
  <c r="Z361" i="1"/>
  <c r="Z557" i="1" s="1"/>
  <c r="Z263" i="1"/>
  <c r="AA361" i="1"/>
  <c r="AA557" i="1" s="1"/>
  <c r="AD263" i="1"/>
  <c r="AB361" i="1"/>
  <c r="AB557" i="1" s="1"/>
  <c r="AE263" i="1"/>
  <c r="AC361" i="1"/>
  <c r="AC557" i="1" s="1"/>
  <c r="AF263" i="1"/>
  <c r="AD361" i="1"/>
  <c r="AD557" i="1" s="1"/>
  <c r="AE361" i="1"/>
  <c r="AE557" i="1" s="1"/>
  <c r="AF361" i="1"/>
  <c r="AF557" i="1" s="1"/>
  <c r="AG361" i="1"/>
  <c r="AG557" i="1" s="1"/>
  <c r="AH361" i="1"/>
  <c r="AH557" i="1" s="1"/>
  <c r="AM361" i="1"/>
  <c r="AM557" i="1" s="1"/>
  <c r="B361" i="1"/>
  <c r="B557" i="1" s="1"/>
  <c r="C361" i="1"/>
  <c r="C557" i="1" s="1"/>
  <c r="D361" i="1"/>
  <c r="D557" i="1" s="1"/>
  <c r="B263" i="1"/>
  <c r="E361" i="1"/>
  <c r="E557" i="1" s="1"/>
  <c r="E263" i="1"/>
  <c r="F361" i="1"/>
  <c r="F557" i="1" s="1"/>
  <c r="J263" i="1"/>
  <c r="G361" i="1"/>
  <c r="G557" i="1" s="1"/>
  <c r="S263" i="1"/>
  <c r="P361" i="1"/>
  <c r="P557" i="1" s="1"/>
  <c r="U263" i="1"/>
  <c r="S361" i="1"/>
  <c r="S557" i="1" s="1"/>
  <c r="AK361" i="1"/>
  <c r="AK557" i="1" s="1"/>
  <c r="AL361" i="1"/>
  <c r="AL557" i="1" s="1"/>
  <c r="H361" i="1"/>
  <c r="H557" i="1" s="1"/>
  <c r="Y361" i="1"/>
  <c r="Y557" i="1" s="1"/>
  <c r="AI361" i="1"/>
  <c r="AI557" i="1" s="1"/>
  <c r="AJ361" i="1"/>
  <c r="AJ557" i="1" s="1"/>
  <c r="W263" i="1"/>
  <c r="O263" i="1"/>
  <c r="T267" i="1"/>
  <c r="V267" i="1"/>
  <c r="X267" i="1"/>
  <c r="AK32" i="1"/>
  <c r="U267" i="1"/>
  <c r="AK31" i="1"/>
  <c r="Y267" i="1"/>
  <c r="B365" i="1"/>
  <c r="B561" i="1" s="1"/>
  <c r="Z365" i="1"/>
  <c r="Z561" i="1" s="1"/>
  <c r="B267" i="1"/>
  <c r="AE267" i="1"/>
  <c r="D267" i="1"/>
  <c r="AG267" i="1"/>
  <c r="M365" i="1"/>
  <c r="M561" i="1" s="1"/>
  <c r="AL365" i="1"/>
  <c r="AL561" i="1" s="1"/>
  <c r="AB267" i="1"/>
  <c r="AD267" i="1"/>
  <c r="O365" i="1"/>
  <c r="O561" i="1" s="1"/>
  <c r="AO365" i="1"/>
  <c r="AO561" i="1" s="1"/>
  <c r="AH267" i="1"/>
  <c r="M267" i="1"/>
  <c r="L267" i="1"/>
  <c r="P267" i="1"/>
  <c r="S267" i="1"/>
  <c r="Z267" i="1"/>
  <c r="AL267" i="1"/>
  <c r="E267" i="1"/>
  <c r="AC267" i="1"/>
  <c r="W365" i="1"/>
  <c r="W561" i="1" s="1"/>
  <c r="AF267" i="1"/>
  <c r="X365" i="1"/>
  <c r="X561" i="1" s="1"/>
  <c r="AI267" i="1"/>
  <c r="Y365" i="1"/>
  <c r="Y561" i="1" s="1"/>
  <c r="AJ267" i="1"/>
  <c r="AO267" i="1"/>
  <c r="G267" i="1"/>
  <c r="AM267" i="1"/>
  <c r="I365" i="1"/>
  <c r="I561" i="1" s="1"/>
  <c r="AN365" i="1"/>
  <c r="AN561" i="1" s="1"/>
  <c r="AN267" i="1"/>
  <c r="J365" i="1"/>
  <c r="J561" i="1" s="1"/>
  <c r="K365" i="1"/>
  <c r="K561" i="1" s="1"/>
  <c r="L365" i="1"/>
  <c r="L561" i="1" s="1"/>
  <c r="N365" i="1"/>
  <c r="N561" i="1" s="1"/>
  <c r="P365" i="1"/>
  <c r="P561" i="1" s="1"/>
  <c r="AE365" i="1"/>
  <c r="AE561" i="1" s="1"/>
  <c r="AF365" i="1"/>
  <c r="AF561" i="1" s="1"/>
  <c r="AG365" i="1"/>
  <c r="AG561" i="1" s="1"/>
  <c r="AH365" i="1"/>
  <c r="AH561" i="1" s="1"/>
  <c r="C267" i="1"/>
  <c r="AI365" i="1"/>
  <c r="AI561" i="1" s="1"/>
  <c r="F267" i="1"/>
  <c r="AJ365" i="1"/>
  <c r="AJ561" i="1" s="1"/>
  <c r="H267" i="1"/>
  <c r="AK365" i="1"/>
  <c r="AK561" i="1" s="1"/>
  <c r="I267" i="1"/>
  <c r="AM365" i="1"/>
  <c r="AM561" i="1" s="1"/>
  <c r="J267" i="1"/>
  <c r="C365" i="1"/>
  <c r="C561" i="1" s="1"/>
  <c r="R267" i="1"/>
  <c r="H365" i="1"/>
  <c r="H561" i="1" s="1"/>
  <c r="K267" i="1"/>
  <c r="N267" i="1"/>
  <c r="O267" i="1"/>
  <c r="Q267" i="1"/>
  <c r="W267" i="1"/>
  <c r="D365" i="1"/>
  <c r="D561" i="1" s="1"/>
  <c r="AA267" i="1"/>
  <c r="E365" i="1"/>
  <c r="E561" i="1" s="1"/>
  <c r="G365" i="1"/>
  <c r="G561" i="1" s="1"/>
  <c r="Q365" i="1"/>
  <c r="Q561" i="1" s="1"/>
  <c r="U365" i="1"/>
  <c r="U561" i="1" s="1"/>
  <c r="V365" i="1"/>
  <c r="V561" i="1" s="1"/>
  <c r="AC365" i="1"/>
  <c r="AC561" i="1" s="1"/>
  <c r="F365" i="1"/>
  <c r="F561" i="1" s="1"/>
  <c r="R365" i="1"/>
  <c r="R561" i="1" s="1"/>
  <c r="S365" i="1"/>
  <c r="S561" i="1" s="1"/>
  <c r="T365" i="1"/>
  <c r="T561" i="1" s="1"/>
  <c r="AA365" i="1"/>
  <c r="AA561" i="1" s="1"/>
  <c r="AB365" i="1"/>
  <c r="AB561" i="1" s="1"/>
  <c r="AD365" i="1"/>
  <c r="AD561" i="1" s="1"/>
  <c r="AK267" i="1"/>
  <c r="O453" i="1"/>
  <c r="O502" i="1"/>
  <c r="AB456" i="1"/>
  <c r="AB505" i="1"/>
  <c r="O456" i="1"/>
  <c r="O505" i="1"/>
  <c r="K493" i="1"/>
  <c r="J496" i="1"/>
  <c r="J447" i="1"/>
  <c r="AJ496" i="1"/>
  <c r="AJ447" i="1"/>
  <c r="M458" i="1"/>
  <c r="M507" i="1"/>
  <c r="S458" i="1"/>
  <c r="S507" i="1"/>
  <c r="P458" i="1"/>
  <c r="P507" i="1"/>
  <c r="Q516" i="1"/>
  <c r="Q467" i="1"/>
  <c r="AI505" i="1"/>
  <c r="AI456" i="1"/>
  <c r="P516" i="1"/>
  <c r="P467" i="1"/>
  <c r="AF447" i="1"/>
  <c r="AF496" i="1"/>
  <c r="AF450" i="1"/>
  <c r="AF499" i="1"/>
  <c r="U447" i="1"/>
  <c r="U496" i="1"/>
  <c r="Z516" i="1"/>
  <c r="Z467" i="1"/>
  <c r="F502" i="1"/>
  <c r="F453" i="1"/>
  <c r="K502" i="1"/>
  <c r="K453" i="1"/>
  <c r="H505" i="1"/>
  <c r="H456" i="1"/>
  <c r="J505" i="1"/>
  <c r="J456" i="1"/>
  <c r="D253" i="1"/>
  <c r="AB253" i="1"/>
  <c r="W32" i="1"/>
  <c r="F253" i="1"/>
  <c r="AD253" i="1"/>
  <c r="H253" i="1"/>
  <c r="AF253" i="1"/>
  <c r="E253" i="1"/>
  <c r="AH253" i="1"/>
  <c r="I253" i="1"/>
  <c r="AJ253" i="1"/>
  <c r="J351" i="1"/>
  <c r="J547" i="1" s="1"/>
  <c r="AH351" i="1"/>
  <c r="AH547" i="1" s="1"/>
  <c r="K253" i="1"/>
  <c r="AL253" i="1"/>
  <c r="O253" i="1"/>
  <c r="Q253" i="1"/>
  <c r="V351" i="1"/>
  <c r="V547" i="1" s="1"/>
  <c r="X253" i="1"/>
  <c r="Z253" i="1"/>
  <c r="Z351" i="1"/>
  <c r="Z547" i="1" s="1"/>
  <c r="AC253" i="1"/>
  <c r="L253" i="1"/>
  <c r="R253" i="1"/>
  <c r="U253" i="1"/>
  <c r="S253" i="1"/>
  <c r="T253" i="1"/>
  <c r="V253" i="1"/>
  <c r="AK253" i="1"/>
  <c r="K351" i="1"/>
  <c r="K547" i="1" s="1"/>
  <c r="AL351" i="1"/>
  <c r="AL547" i="1" s="1"/>
  <c r="L351" i="1"/>
  <c r="L547" i="1" s="1"/>
  <c r="AM351" i="1"/>
  <c r="AM547" i="1" s="1"/>
  <c r="M351" i="1"/>
  <c r="M547" i="1" s="1"/>
  <c r="AN351" i="1"/>
  <c r="AN547" i="1" s="1"/>
  <c r="N351" i="1"/>
  <c r="N547" i="1" s="1"/>
  <c r="AO351" i="1"/>
  <c r="AO547" i="1" s="1"/>
  <c r="J253" i="1"/>
  <c r="P253" i="1"/>
  <c r="AA253" i="1"/>
  <c r="R351" i="1"/>
  <c r="R547" i="1" s="1"/>
  <c r="S351" i="1"/>
  <c r="S547" i="1" s="1"/>
  <c r="T351" i="1"/>
  <c r="T547" i="1" s="1"/>
  <c r="U351" i="1"/>
  <c r="U547" i="1" s="1"/>
  <c r="B253" i="1"/>
  <c r="W351" i="1"/>
  <c r="W547" i="1" s="1"/>
  <c r="C253" i="1"/>
  <c r="X351" i="1"/>
  <c r="X547" i="1" s="1"/>
  <c r="G253" i="1"/>
  <c r="Y351" i="1"/>
  <c r="Y547" i="1" s="1"/>
  <c r="N253" i="1"/>
  <c r="D351" i="1"/>
  <c r="D547" i="1" s="1"/>
  <c r="E351" i="1"/>
  <c r="E547" i="1" s="1"/>
  <c r="F351" i="1"/>
  <c r="F547" i="1" s="1"/>
  <c r="G351" i="1"/>
  <c r="G547" i="1" s="1"/>
  <c r="H351" i="1"/>
  <c r="H547" i="1" s="1"/>
  <c r="I351" i="1"/>
  <c r="I547" i="1" s="1"/>
  <c r="O351" i="1"/>
  <c r="O547" i="1" s="1"/>
  <c r="P351" i="1"/>
  <c r="P547" i="1" s="1"/>
  <c r="Q351" i="1"/>
  <c r="Q547" i="1" s="1"/>
  <c r="W31" i="1"/>
  <c r="AG253" i="1"/>
  <c r="AE351" i="1"/>
  <c r="AE547" i="1" s="1"/>
  <c r="M253" i="1"/>
  <c r="B351" i="1"/>
  <c r="B547" i="1" s="1"/>
  <c r="W253" i="1"/>
  <c r="C351" i="1"/>
  <c r="C547" i="1" s="1"/>
  <c r="Y253" i="1"/>
  <c r="AA351" i="1"/>
  <c r="AA547" i="1" s="1"/>
  <c r="AE253" i="1"/>
  <c r="AB351" i="1"/>
  <c r="AB547" i="1" s="1"/>
  <c r="AM253" i="1"/>
  <c r="AD351" i="1"/>
  <c r="AD547" i="1" s="1"/>
  <c r="AN253" i="1"/>
  <c r="AF351" i="1"/>
  <c r="AF547" i="1" s="1"/>
  <c r="AK351" i="1"/>
  <c r="AK547" i="1" s="1"/>
  <c r="AC351" i="1"/>
  <c r="AC547" i="1" s="1"/>
  <c r="AG351" i="1"/>
  <c r="AG547" i="1" s="1"/>
  <c r="AI351" i="1"/>
  <c r="AI547" i="1" s="1"/>
  <c r="AJ351" i="1"/>
  <c r="AJ547" i="1" s="1"/>
  <c r="AI253" i="1"/>
  <c r="AO253" i="1"/>
  <c r="V447" i="1"/>
  <c r="V496" i="1"/>
  <c r="B507" i="1"/>
  <c r="B458" i="1"/>
  <c r="E458" i="1"/>
  <c r="E507" i="1"/>
  <c r="AB447" i="1"/>
  <c r="AB496" i="1"/>
  <c r="I499" i="1"/>
  <c r="I450" i="1"/>
  <c r="D456" i="1"/>
  <c r="D505" i="1"/>
  <c r="AB523" i="1"/>
  <c r="AB474" i="1"/>
  <c r="S447" i="1"/>
  <c r="S496" i="1"/>
  <c r="AJ479" i="1"/>
  <c r="AJ528" i="1"/>
  <c r="R516" i="1"/>
  <c r="R467" i="1"/>
  <c r="AM516" i="1"/>
  <c r="AM467" i="1"/>
  <c r="AO476" i="1"/>
  <c r="AO525" i="1"/>
  <c r="AK453" i="1"/>
  <c r="AK502" i="1"/>
  <c r="D265" i="1"/>
  <c r="AB265" i="1"/>
  <c r="F265" i="1"/>
  <c r="AD265" i="1"/>
  <c r="H265" i="1"/>
  <c r="AF265" i="1"/>
  <c r="S265" i="1"/>
  <c r="U265" i="1"/>
  <c r="J363" i="1"/>
  <c r="J559" i="1" s="1"/>
  <c r="AH363" i="1"/>
  <c r="AH559" i="1" s="1"/>
  <c r="AI32" i="1"/>
  <c r="T265" i="1"/>
  <c r="W265" i="1"/>
  <c r="R363" i="1"/>
  <c r="R559" i="1" s="1"/>
  <c r="J265" i="1"/>
  <c r="AO265" i="1"/>
  <c r="L265" i="1"/>
  <c r="P363" i="1"/>
  <c r="P559" i="1" s="1"/>
  <c r="N265" i="1"/>
  <c r="AC265" i="1"/>
  <c r="O265" i="1"/>
  <c r="R265" i="1"/>
  <c r="P265" i="1"/>
  <c r="V265" i="1"/>
  <c r="AH265" i="1"/>
  <c r="AL265" i="1"/>
  <c r="C265" i="1"/>
  <c r="V363" i="1"/>
  <c r="V559" i="1" s="1"/>
  <c r="E265" i="1"/>
  <c r="W363" i="1"/>
  <c r="W559" i="1" s="1"/>
  <c r="G265" i="1"/>
  <c r="X363" i="1"/>
  <c r="X559" i="1" s="1"/>
  <c r="I265" i="1"/>
  <c r="X265" i="1"/>
  <c r="AA265" i="1"/>
  <c r="AI265" i="1"/>
  <c r="AB363" i="1"/>
  <c r="AB559" i="1" s="1"/>
  <c r="AC363" i="1"/>
  <c r="AC559" i="1" s="1"/>
  <c r="AD363" i="1"/>
  <c r="AD559" i="1" s="1"/>
  <c r="AE363" i="1"/>
  <c r="AE559" i="1" s="1"/>
  <c r="B363" i="1"/>
  <c r="B559" i="1" s="1"/>
  <c r="AF363" i="1"/>
  <c r="AF559" i="1" s="1"/>
  <c r="C363" i="1"/>
  <c r="C559" i="1" s="1"/>
  <c r="AG363" i="1"/>
  <c r="AG559" i="1" s="1"/>
  <c r="AN265" i="1"/>
  <c r="Z363" i="1"/>
  <c r="Z559" i="1" s="1"/>
  <c r="AA363" i="1"/>
  <c r="AA559" i="1" s="1"/>
  <c r="AI363" i="1"/>
  <c r="AI559" i="1" s="1"/>
  <c r="AJ363" i="1"/>
  <c r="AJ559" i="1" s="1"/>
  <c r="AK363" i="1"/>
  <c r="AK559" i="1" s="1"/>
  <c r="AL363" i="1"/>
  <c r="AL559" i="1" s="1"/>
  <c r="AM363" i="1"/>
  <c r="AM559" i="1" s="1"/>
  <c r="AN363" i="1"/>
  <c r="AN559" i="1" s="1"/>
  <c r="D363" i="1"/>
  <c r="D559" i="1" s="1"/>
  <c r="AO363" i="1"/>
  <c r="AO559" i="1" s="1"/>
  <c r="B265" i="1"/>
  <c r="I363" i="1"/>
  <c r="I559" i="1" s="1"/>
  <c r="AM265" i="1"/>
  <c r="E363" i="1"/>
  <c r="E559" i="1" s="1"/>
  <c r="F363" i="1"/>
  <c r="F559" i="1" s="1"/>
  <c r="G363" i="1"/>
  <c r="G559" i="1" s="1"/>
  <c r="H363" i="1"/>
  <c r="H559" i="1" s="1"/>
  <c r="K363" i="1"/>
  <c r="K559" i="1" s="1"/>
  <c r="L363" i="1"/>
  <c r="L559" i="1" s="1"/>
  <c r="N363" i="1"/>
  <c r="N559" i="1" s="1"/>
  <c r="O363" i="1"/>
  <c r="O559" i="1" s="1"/>
  <c r="U363" i="1"/>
  <c r="U559" i="1" s="1"/>
  <c r="Y363" i="1"/>
  <c r="Y559" i="1" s="1"/>
  <c r="K265" i="1"/>
  <c r="Q265" i="1"/>
  <c r="Q363" i="1"/>
  <c r="Q559" i="1" s="1"/>
  <c r="M265" i="1"/>
  <c r="Y265" i="1"/>
  <c r="Z265" i="1"/>
  <c r="AG265" i="1"/>
  <c r="AK265" i="1"/>
  <c r="AE265" i="1"/>
  <c r="AJ265" i="1"/>
  <c r="M363" i="1"/>
  <c r="M559" i="1" s="1"/>
  <c r="S363" i="1"/>
  <c r="S559" i="1" s="1"/>
  <c r="T363" i="1"/>
  <c r="T559" i="1" s="1"/>
  <c r="I447" i="1"/>
  <c r="I496" i="1"/>
  <c r="S32" i="1"/>
  <c r="T249" i="1"/>
  <c r="V249" i="1"/>
  <c r="X249" i="1"/>
  <c r="B249" i="1"/>
  <c r="AC249" i="1"/>
  <c r="D249" i="1"/>
  <c r="AE249" i="1"/>
  <c r="B347" i="1"/>
  <c r="B543" i="1" s="1"/>
  <c r="Z347" i="1"/>
  <c r="Z543" i="1" s="1"/>
  <c r="F249" i="1"/>
  <c r="AG249" i="1"/>
  <c r="P249" i="1"/>
  <c r="R249" i="1"/>
  <c r="G347" i="1"/>
  <c r="G543" i="1" s="1"/>
  <c r="AF347" i="1"/>
  <c r="AF543" i="1" s="1"/>
  <c r="M249" i="1"/>
  <c r="O249" i="1"/>
  <c r="C347" i="1"/>
  <c r="C543" i="1" s="1"/>
  <c r="AC347" i="1"/>
  <c r="AC543" i="1" s="1"/>
  <c r="S249" i="1"/>
  <c r="AI249" i="1"/>
  <c r="K249" i="1"/>
  <c r="Q249" i="1"/>
  <c r="AO249" i="1"/>
  <c r="C249" i="1"/>
  <c r="N249" i="1"/>
  <c r="X347" i="1"/>
  <c r="X543" i="1" s="1"/>
  <c r="S31" i="1"/>
  <c r="Z249" i="1"/>
  <c r="AM249" i="1"/>
  <c r="AD347" i="1"/>
  <c r="AD543" i="1" s="1"/>
  <c r="AN249" i="1"/>
  <c r="AE347" i="1"/>
  <c r="AE543" i="1" s="1"/>
  <c r="D347" i="1"/>
  <c r="D543" i="1" s="1"/>
  <c r="AG347" i="1"/>
  <c r="AG543" i="1" s="1"/>
  <c r="E347" i="1"/>
  <c r="E543" i="1" s="1"/>
  <c r="AH347" i="1"/>
  <c r="AH543" i="1" s="1"/>
  <c r="E249" i="1"/>
  <c r="I249" i="1"/>
  <c r="U249" i="1"/>
  <c r="J347" i="1"/>
  <c r="J543" i="1" s="1"/>
  <c r="K347" i="1"/>
  <c r="K543" i="1" s="1"/>
  <c r="L347" i="1"/>
  <c r="L543" i="1" s="1"/>
  <c r="M347" i="1"/>
  <c r="M543" i="1" s="1"/>
  <c r="G249" i="1"/>
  <c r="N347" i="1"/>
  <c r="N543" i="1" s="1"/>
  <c r="H249" i="1"/>
  <c r="O347" i="1"/>
  <c r="O543" i="1" s="1"/>
  <c r="J249" i="1"/>
  <c r="P347" i="1"/>
  <c r="P543" i="1" s="1"/>
  <c r="W249" i="1"/>
  <c r="U347" i="1"/>
  <c r="U543" i="1" s="1"/>
  <c r="L249" i="1"/>
  <c r="V347" i="1"/>
  <c r="V543" i="1" s="1"/>
  <c r="Y249" i="1"/>
  <c r="W347" i="1"/>
  <c r="W543" i="1" s="1"/>
  <c r="AA249" i="1"/>
  <c r="Y347" i="1"/>
  <c r="Y543" i="1" s="1"/>
  <c r="AB249" i="1"/>
  <c r="AA347" i="1"/>
  <c r="AA543" i="1" s="1"/>
  <c r="AD249" i="1"/>
  <c r="AB347" i="1"/>
  <c r="AB543" i="1" s="1"/>
  <c r="AF249" i="1"/>
  <c r="AI347" i="1"/>
  <c r="AI543" i="1" s="1"/>
  <c r="AH249" i="1"/>
  <c r="AJ347" i="1"/>
  <c r="AJ543" i="1" s="1"/>
  <c r="AJ249" i="1"/>
  <c r="AK347" i="1"/>
  <c r="AK543" i="1" s="1"/>
  <c r="F347" i="1"/>
  <c r="F543" i="1" s="1"/>
  <c r="H347" i="1"/>
  <c r="H543" i="1" s="1"/>
  <c r="I347" i="1"/>
  <c r="I543" i="1" s="1"/>
  <c r="R347" i="1"/>
  <c r="R543" i="1" s="1"/>
  <c r="S347" i="1"/>
  <c r="S543" i="1" s="1"/>
  <c r="AK249" i="1"/>
  <c r="AN347" i="1"/>
  <c r="AN543" i="1" s="1"/>
  <c r="AL249" i="1"/>
  <c r="AO347" i="1"/>
  <c r="AO543" i="1" s="1"/>
  <c r="T347" i="1"/>
  <c r="T543" i="1" s="1"/>
  <c r="AL347" i="1"/>
  <c r="AL543" i="1" s="1"/>
  <c r="AM347" i="1"/>
  <c r="AM543" i="1" s="1"/>
  <c r="Q347" i="1"/>
  <c r="Q543" i="1" s="1"/>
  <c r="O507" i="1"/>
  <c r="O458" i="1"/>
  <c r="AN474" i="1"/>
  <c r="AN523" i="1"/>
  <c r="C518" i="1"/>
  <c r="C469" i="1"/>
  <c r="K479" i="1"/>
  <c r="K528" i="1"/>
  <c r="R447" i="1"/>
  <c r="R496" i="1"/>
  <c r="AA469" i="1"/>
  <c r="AA518" i="1"/>
  <c r="R458" i="1"/>
  <c r="R507" i="1"/>
  <c r="I491" i="1"/>
  <c r="AM505" i="1"/>
  <c r="AM456" i="1"/>
  <c r="AC456" i="1"/>
  <c r="AC505" i="1"/>
  <c r="G458" i="1"/>
  <c r="G507" i="1"/>
  <c r="AN458" i="1"/>
  <c r="AN507" i="1"/>
  <c r="AH467" i="1"/>
  <c r="AH516" i="1"/>
  <c r="R450" i="1"/>
  <c r="R499" i="1"/>
  <c r="Z450" i="1"/>
  <c r="Z499" i="1"/>
  <c r="B479" i="1"/>
  <c r="B528" i="1"/>
  <c r="AD453" i="1"/>
  <c r="AD502" i="1"/>
  <c r="S456" i="1"/>
  <c r="S505" i="1"/>
  <c r="I456" i="1"/>
  <c r="I505" i="1"/>
  <c r="X525" i="1"/>
  <c r="H518" i="1"/>
  <c r="H469" i="1"/>
  <c r="AC458" i="1"/>
  <c r="AC507" i="1"/>
  <c r="R469" i="1"/>
  <c r="R518" i="1"/>
  <c r="AA453" i="1"/>
  <c r="AA502" i="1"/>
  <c r="AE458" i="1"/>
  <c r="AE507" i="1"/>
  <c r="Y523" i="1"/>
  <c r="AK493" i="1"/>
  <c r="L447" i="1"/>
  <c r="L496" i="1"/>
  <c r="AL469" i="1"/>
  <c r="AL518" i="1"/>
  <c r="B450" i="1"/>
  <c r="B499" i="1"/>
  <c r="AK479" i="1"/>
  <c r="AK528" i="1"/>
  <c r="AC528" i="1"/>
  <c r="AC479" i="1"/>
  <c r="AJ469" i="1"/>
  <c r="AJ518" i="1"/>
  <c r="Y469" i="1"/>
  <c r="Y518" i="1"/>
  <c r="G469" i="1"/>
  <c r="G518" i="1"/>
  <c r="H467" i="1"/>
  <c r="H516" i="1"/>
  <c r="U474" i="1"/>
  <c r="U523" i="1"/>
  <c r="AL450" i="1"/>
  <c r="AL499" i="1"/>
  <c r="Y528" i="1"/>
  <c r="Y479" i="1"/>
  <c r="AD528" i="1"/>
  <c r="AD479" i="1"/>
  <c r="D502" i="1"/>
  <c r="D453" i="1"/>
  <c r="AN453" i="1"/>
  <c r="AN502" i="1"/>
  <c r="W505" i="1"/>
  <c r="W456" i="1"/>
  <c r="B456" i="1"/>
  <c r="B505" i="1"/>
  <c r="L275" i="1"/>
  <c r="AJ275" i="1"/>
  <c r="N275" i="1"/>
  <c r="AL275" i="1"/>
  <c r="P275" i="1"/>
  <c r="AN275" i="1"/>
  <c r="C275" i="1"/>
  <c r="AD275" i="1"/>
  <c r="E275" i="1"/>
  <c r="AF275" i="1"/>
  <c r="AS32" i="1"/>
  <c r="I275" i="1"/>
  <c r="AO275" i="1"/>
  <c r="K275" i="1"/>
  <c r="I373" i="1"/>
  <c r="I569" i="1" s="1"/>
  <c r="AG373" i="1"/>
  <c r="AG569" i="1" s="1"/>
  <c r="AG275" i="1"/>
  <c r="AS31" i="1"/>
  <c r="B275" i="1"/>
  <c r="AI275" i="1"/>
  <c r="X373" i="1"/>
  <c r="X569" i="1" s="1"/>
  <c r="F275" i="1"/>
  <c r="AM275" i="1"/>
  <c r="AK275" i="1"/>
  <c r="D275" i="1"/>
  <c r="AE275" i="1"/>
  <c r="M275" i="1"/>
  <c r="S275" i="1"/>
  <c r="J275" i="1"/>
  <c r="O275" i="1"/>
  <c r="Q275" i="1"/>
  <c r="V373" i="1"/>
  <c r="V569" i="1" s="1"/>
  <c r="R275" i="1"/>
  <c r="W275" i="1"/>
  <c r="Z275" i="1"/>
  <c r="AC275" i="1"/>
  <c r="D373" i="1"/>
  <c r="D569" i="1" s="1"/>
  <c r="AE373" i="1"/>
  <c r="AE569" i="1" s="1"/>
  <c r="E373" i="1"/>
  <c r="E569" i="1" s="1"/>
  <c r="AF373" i="1"/>
  <c r="AF569" i="1" s="1"/>
  <c r="F373" i="1"/>
  <c r="F569" i="1" s="1"/>
  <c r="AH373" i="1"/>
  <c r="AH569" i="1" s="1"/>
  <c r="G275" i="1"/>
  <c r="H275" i="1"/>
  <c r="H373" i="1"/>
  <c r="H569" i="1" s="1"/>
  <c r="AJ373" i="1"/>
  <c r="AJ569" i="1" s="1"/>
  <c r="T275" i="1"/>
  <c r="U275" i="1"/>
  <c r="X275" i="1"/>
  <c r="T373" i="1"/>
  <c r="T569" i="1" s="1"/>
  <c r="U373" i="1"/>
  <c r="U569" i="1" s="1"/>
  <c r="W373" i="1"/>
  <c r="W569" i="1" s="1"/>
  <c r="Y373" i="1"/>
  <c r="Y569" i="1" s="1"/>
  <c r="Z373" i="1"/>
  <c r="Z569" i="1" s="1"/>
  <c r="AA373" i="1"/>
  <c r="AA569" i="1" s="1"/>
  <c r="AB373" i="1"/>
  <c r="AB569" i="1" s="1"/>
  <c r="AC373" i="1"/>
  <c r="AC569" i="1" s="1"/>
  <c r="AD373" i="1"/>
  <c r="AD569" i="1" s="1"/>
  <c r="AH275" i="1"/>
  <c r="G373" i="1"/>
  <c r="G569" i="1" s="1"/>
  <c r="AN373" i="1"/>
  <c r="AN569" i="1" s="1"/>
  <c r="S373" i="1"/>
  <c r="S569" i="1" s="1"/>
  <c r="AI373" i="1"/>
  <c r="AI569" i="1" s="1"/>
  <c r="AK373" i="1"/>
  <c r="AK569" i="1" s="1"/>
  <c r="AL373" i="1"/>
  <c r="AL569" i="1" s="1"/>
  <c r="AM373" i="1"/>
  <c r="AM569" i="1" s="1"/>
  <c r="AO373" i="1"/>
  <c r="AO569" i="1" s="1"/>
  <c r="B373" i="1"/>
  <c r="B569" i="1" s="1"/>
  <c r="C373" i="1"/>
  <c r="C569" i="1" s="1"/>
  <c r="L373" i="1"/>
  <c r="L569" i="1" s="1"/>
  <c r="J373" i="1"/>
  <c r="J569" i="1" s="1"/>
  <c r="K373" i="1"/>
  <c r="K569" i="1" s="1"/>
  <c r="M373" i="1"/>
  <c r="M569" i="1" s="1"/>
  <c r="N373" i="1"/>
  <c r="N569" i="1" s="1"/>
  <c r="P373" i="1"/>
  <c r="P569" i="1" s="1"/>
  <c r="R373" i="1"/>
  <c r="R569" i="1" s="1"/>
  <c r="O373" i="1"/>
  <c r="O569" i="1" s="1"/>
  <c r="Q373" i="1"/>
  <c r="Q569" i="1" s="1"/>
  <c r="V275" i="1"/>
  <c r="AB275" i="1"/>
  <c r="Y275" i="1"/>
  <c r="AA275" i="1"/>
  <c r="AK496" i="1"/>
  <c r="AK447" i="1"/>
  <c r="F496" i="1"/>
  <c r="F447" i="1"/>
  <c r="AJ458" i="1"/>
  <c r="AJ507" i="1"/>
  <c r="S497" i="1"/>
  <c r="N467" i="1"/>
  <c r="N516" i="1"/>
  <c r="C479" i="1"/>
  <c r="C528" i="1"/>
  <c r="Y458" i="1"/>
  <c r="Y507" i="1"/>
  <c r="O467" i="1"/>
  <c r="O516" i="1"/>
  <c r="AC525" i="1"/>
  <c r="G505" i="1"/>
  <c r="G456" i="1"/>
  <c r="X456" i="1"/>
  <c r="X505" i="1"/>
  <c r="U514" i="1"/>
  <c r="F499" i="1"/>
  <c r="F450" i="1"/>
  <c r="AN479" i="1"/>
  <c r="AN528" i="1"/>
  <c r="J502" i="1"/>
  <c r="J453" i="1"/>
  <c r="I458" i="1"/>
  <c r="I507" i="1"/>
  <c r="J450" i="1"/>
  <c r="J499" i="1"/>
  <c r="E479" i="1"/>
  <c r="E528" i="1"/>
  <c r="AF467" i="1"/>
  <c r="AF516" i="1"/>
  <c r="T499" i="1"/>
  <c r="T450" i="1"/>
  <c r="AC450" i="1"/>
  <c r="AC499" i="1"/>
  <c r="N500" i="1"/>
  <c r="I453" i="1"/>
  <c r="I502" i="1"/>
  <c r="W469" i="1"/>
  <c r="W518" i="1"/>
  <c r="S469" i="1"/>
  <c r="S518" i="1"/>
  <c r="B467" i="1"/>
  <c r="B516" i="1"/>
  <c r="W467" i="1"/>
  <c r="W516" i="1"/>
  <c r="AD467" i="1"/>
  <c r="AD516" i="1"/>
  <c r="D523" i="1"/>
  <c r="D474" i="1"/>
  <c r="AD499" i="1"/>
  <c r="AD450" i="1"/>
  <c r="AB450" i="1"/>
  <c r="AB499" i="1"/>
  <c r="N499" i="1"/>
  <c r="N450" i="1"/>
  <c r="AL500" i="1"/>
  <c r="P528" i="1"/>
  <c r="P479" i="1"/>
  <c r="F479" i="1"/>
  <c r="F528" i="1"/>
  <c r="S502" i="1"/>
  <c r="S453" i="1"/>
  <c r="P453" i="1"/>
  <c r="P502" i="1"/>
  <c r="AO456" i="1"/>
  <c r="AO505" i="1"/>
  <c r="AA456" i="1"/>
  <c r="AA505" i="1"/>
  <c r="AM496" i="1"/>
  <c r="AM447" i="1"/>
  <c r="AH458" i="1"/>
  <c r="AH507" i="1"/>
  <c r="P469" i="1"/>
  <c r="P518" i="1"/>
  <c r="AO528" i="1"/>
  <c r="AO479" i="1"/>
  <c r="Y514" i="1"/>
  <c r="AI497" i="1"/>
  <c r="AO516" i="1"/>
  <c r="AO467" i="1"/>
  <c r="AC453" i="1"/>
  <c r="AC502" i="1"/>
  <c r="AE474" i="1"/>
  <c r="AE523" i="1"/>
  <c r="Q528" i="1"/>
  <c r="Q479" i="1"/>
  <c r="AI453" i="1"/>
  <c r="AI502" i="1"/>
  <c r="AG456" i="1"/>
  <c r="AG505" i="1"/>
  <c r="H458" i="1"/>
  <c r="H507" i="1"/>
  <c r="S467" i="1"/>
  <c r="S516" i="1"/>
  <c r="AJ32" i="1"/>
  <c r="L266" i="1"/>
  <c r="AJ266" i="1"/>
  <c r="N266" i="1"/>
  <c r="AL266" i="1"/>
  <c r="P266" i="1"/>
  <c r="AN266" i="1"/>
  <c r="F266" i="1"/>
  <c r="AG266" i="1"/>
  <c r="H266" i="1"/>
  <c r="AI266" i="1"/>
  <c r="R364" i="1"/>
  <c r="R560" i="1" s="1"/>
  <c r="J266" i="1"/>
  <c r="M266" i="1"/>
  <c r="C364" i="1"/>
  <c r="C560" i="1" s="1"/>
  <c r="AB364" i="1"/>
  <c r="AB560" i="1" s="1"/>
  <c r="AF266" i="1"/>
  <c r="C266" i="1"/>
  <c r="AK266" i="1"/>
  <c r="B364" i="1"/>
  <c r="B560" i="1" s="1"/>
  <c r="AC364" i="1"/>
  <c r="AC560" i="1" s="1"/>
  <c r="E266" i="1"/>
  <c r="AO266" i="1"/>
  <c r="V266" i="1"/>
  <c r="Q266" i="1"/>
  <c r="T266" i="1"/>
  <c r="U266" i="1"/>
  <c r="X266" i="1"/>
  <c r="AE266" i="1"/>
  <c r="R266" i="1"/>
  <c r="I364" i="1"/>
  <c r="I560" i="1" s="1"/>
  <c r="AJ364" i="1"/>
  <c r="AJ560" i="1" s="1"/>
  <c r="S266" i="1"/>
  <c r="J364" i="1"/>
  <c r="J560" i="1" s="1"/>
  <c r="AK364" i="1"/>
  <c r="AK560" i="1" s="1"/>
  <c r="W266" i="1"/>
  <c r="K364" i="1"/>
  <c r="K560" i="1" s="1"/>
  <c r="AL364" i="1"/>
  <c r="AL560" i="1" s="1"/>
  <c r="Y266" i="1"/>
  <c r="AC266" i="1"/>
  <c r="AM266" i="1"/>
  <c r="B266" i="1"/>
  <c r="S364" i="1"/>
  <c r="S560" i="1" s="1"/>
  <c r="D266" i="1"/>
  <c r="T364" i="1"/>
  <c r="T560" i="1" s="1"/>
  <c r="G266" i="1"/>
  <c r="U364" i="1"/>
  <c r="U560" i="1" s="1"/>
  <c r="I266" i="1"/>
  <c r="V364" i="1"/>
  <c r="V560" i="1" s="1"/>
  <c r="K266" i="1"/>
  <c r="W364" i="1"/>
  <c r="W560" i="1" s="1"/>
  <c r="O266" i="1"/>
  <c r="X364" i="1"/>
  <c r="X560" i="1" s="1"/>
  <c r="Z266" i="1"/>
  <c r="AB266" i="1"/>
  <c r="AE364" i="1"/>
  <c r="AE560" i="1" s="1"/>
  <c r="AA266" i="1"/>
  <c r="AF364" i="1"/>
  <c r="AF560" i="1" s="1"/>
  <c r="AD266" i="1"/>
  <c r="AG364" i="1"/>
  <c r="AG560" i="1" s="1"/>
  <c r="AH266" i="1"/>
  <c r="AH364" i="1"/>
  <c r="AH560" i="1" s="1"/>
  <c r="AI364" i="1"/>
  <c r="AI560" i="1" s="1"/>
  <c r="AM364" i="1"/>
  <c r="AM560" i="1" s="1"/>
  <c r="AN364" i="1"/>
  <c r="AN560" i="1" s="1"/>
  <c r="AO364" i="1"/>
  <c r="AO560" i="1" s="1"/>
  <c r="H364" i="1"/>
  <c r="H560" i="1" s="1"/>
  <c r="Q364" i="1"/>
  <c r="Q560" i="1" s="1"/>
  <c r="Y364" i="1"/>
  <c r="Y560" i="1" s="1"/>
  <c r="Z364" i="1"/>
  <c r="Z560" i="1" s="1"/>
  <c r="AA364" i="1"/>
  <c r="AA560" i="1" s="1"/>
  <c r="AD364" i="1"/>
  <c r="AD560" i="1" s="1"/>
  <c r="AJ31" i="1"/>
  <c r="F364" i="1"/>
  <c r="F560" i="1" s="1"/>
  <c r="O364" i="1"/>
  <c r="O560" i="1" s="1"/>
  <c r="P364" i="1"/>
  <c r="P560" i="1" s="1"/>
  <c r="D364" i="1"/>
  <c r="D560" i="1" s="1"/>
  <c r="E364" i="1"/>
  <c r="E560" i="1" s="1"/>
  <c r="G364" i="1"/>
  <c r="G560" i="1" s="1"/>
  <c r="M364" i="1"/>
  <c r="M560" i="1" s="1"/>
  <c r="N364" i="1"/>
  <c r="N560" i="1" s="1"/>
  <c r="L364" i="1"/>
  <c r="L560" i="1" s="1"/>
  <c r="T447" i="1"/>
  <c r="T496" i="1"/>
  <c r="Q458" i="1"/>
  <c r="Q507" i="1"/>
  <c r="AI469" i="1"/>
  <c r="AI518" i="1"/>
  <c r="W450" i="1"/>
  <c r="W499" i="1"/>
  <c r="J479" i="1"/>
  <c r="J528" i="1"/>
  <c r="AO453" i="1"/>
  <c r="AO502" i="1"/>
  <c r="AL491" i="1"/>
  <c r="M505" i="1"/>
  <c r="M456" i="1"/>
  <c r="Z469" i="1"/>
  <c r="Z518" i="1"/>
  <c r="U450" i="1"/>
  <c r="U499" i="1"/>
  <c r="V474" i="1"/>
  <c r="V523" i="1"/>
  <c r="U500" i="1"/>
  <c r="AO469" i="1"/>
  <c r="AO518" i="1"/>
  <c r="P499" i="1"/>
  <c r="P450" i="1"/>
  <c r="F467" i="1"/>
  <c r="F516" i="1"/>
  <c r="AK474" i="1"/>
  <c r="AK523" i="1"/>
  <c r="AA450" i="1"/>
  <c r="AA499" i="1"/>
  <c r="AJ450" i="1"/>
  <c r="AJ499" i="1"/>
  <c r="O451" i="1"/>
  <c r="O500" i="1"/>
  <c r="G453" i="1"/>
  <c r="G502" i="1"/>
  <c r="AL453" i="1"/>
  <c r="AL502" i="1"/>
  <c r="AN456" i="1"/>
  <c r="AN505" i="1"/>
  <c r="B447" i="1"/>
  <c r="B496" i="1"/>
  <c r="AA507" i="1"/>
  <c r="AA458" i="1"/>
  <c r="X497" i="1"/>
  <c r="H450" i="1"/>
  <c r="H499" i="1"/>
  <c r="H500" i="1"/>
  <c r="W479" i="1"/>
  <c r="W528" i="1"/>
  <c r="AH456" i="1"/>
  <c r="AH505" i="1"/>
  <c r="W458" i="1"/>
  <c r="W507" i="1"/>
  <c r="AJ474" i="1"/>
  <c r="AJ523" i="1"/>
  <c r="AM507" i="1"/>
  <c r="AM458" i="1"/>
  <c r="Q456" i="1"/>
  <c r="Q505" i="1"/>
  <c r="O479" i="1"/>
  <c r="O528" i="1"/>
  <c r="AN450" i="1"/>
  <c r="AN499" i="1"/>
  <c r="AF528" i="1"/>
  <c r="AF479" i="1"/>
  <c r="X516" i="1"/>
  <c r="X467" i="1"/>
  <c r="H479" i="1"/>
  <c r="H528" i="1"/>
  <c r="V467" i="1"/>
  <c r="V516" i="1"/>
  <c r="AB516" i="1"/>
  <c r="AB467" i="1"/>
  <c r="H474" i="1"/>
  <c r="H523" i="1"/>
  <c r="X450" i="1"/>
  <c r="X499" i="1"/>
  <c r="L450" i="1"/>
  <c r="L499" i="1"/>
  <c r="AM479" i="1"/>
  <c r="AM528" i="1"/>
  <c r="AB528" i="1"/>
  <c r="AB479" i="1"/>
  <c r="AM453" i="1"/>
  <c r="AM502" i="1"/>
  <c r="N453" i="1"/>
  <c r="N502" i="1"/>
  <c r="P456" i="1"/>
  <c r="P505" i="1"/>
  <c r="Z447" i="1"/>
  <c r="Z496" i="1"/>
  <c r="V497" i="1"/>
  <c r="U479" i="1"/>
  <c r="U528" i="1"/>
  <c r="L505" i="1"/>
  <c r="L456" i="1"/>
  <c r="AG518" i="1"/>
  <c r="AG469" i="1"/>
  <c r="R528" i="1"/>
  <c r="R479" i="1"/>
  <c r="AG458" i="1"/>
  <c r="AG507" i="1"/>
  <c r="K469" i="1"/>
  <c r="K518" i="1"/>
  <c r="AB518" i="1"/>
  <c r="AB469" i="1"/>
  <c r="X500" i="1"/>
  <c r="L469" i="1"/>
  <c r="L518" i="1"/>
  <c r="AE469" i="1"/>
  <c r="AE518" i="1"/>
  <c r="C467" i="1"/>
  <c r="C516" i="1"/>
  <c r="B523" i="1"/>
  <c r="B474" i="1"/>
  <c r="C453" i="1"/>
  <c r="C502" i="1"/>
  <c r="U456" i="1"/>
  <c r="U505" i="1"/>
  <c r="AD496" i="1"/>
  <c r="AD447" i="1"/>
  <c r="E467" i="1"/>
  <c r="E516" i="1"/>
  <c r="K499" i="1"/>
  <c r="K450" i="1"/>
  <c r="AL479" i="1"/>
  <c r="AL528" i="1"/>
  <c r="Y505" i="1"/>
  <c r="Y456" i="1"/>
  <c r="Q32" i="1"/>
  <c r="D247" i="1"/>
  <c r="AB247" i="1"/>
  <c r="F247" i="1"/>
  <c r="AD247" i="1"/>
  <c r="H247" i="1"/>
  <c r="AF247" i="1"/>
  <c r="Y247" i="1"/>
  <c r="AA247" i="1"/>
  <c r="J345" i="1"/>
  <c r="J541" i="1" s="1"/>
  <c r="AH345" i="1"/>
  <c r="AH541" i="1" s="1"/>
  <c r="B247" i="1"/>
  <c r="AE247" i="1"/>
  <c r="C247" i="1"/>
  <c r="AJ247" i="1"/>
  <c r="G247" i="1"/>
  <c r="AL247" i="1"/>
  <c r="L345" i="1"/>
  <c r="L541" i="1" s="1"/>
  <c r="AK345" i="1"/>
  <c r="AK541" i="1" s="1"/>
  <c r="W247" i="1"/>
  <c r="Z247" i="1"/>
  <c r="D345" i="1"/>
  <c r="D541" i="1" s="1"/>
  <c r="AD345" i="1"/>
  <c r="AD541" i="1" s="1"/>
  <c r="AG247" i="1"/>
  <c r="Q31" i="1"/>
  <c r="M247" i="1"/>
  <c r="L247" i="1"/>
  <c r="P247" i="1"/>
  <c r="AK247" i="1"/>
  <c r="N345" i="1"/>
  <c r="N541" i="1" s="1"/>
  <c r="AO345" i="1"/>
  <c r="AO541" i="1" s="1"/>
  <c r="AM247" i="1"/>
  <c r="AN247" i="1"/>
  <c r="I247" i="1"/>
  <c r="W345" i="1"/>
  <c r="W541" i="1" s="1"/>
  <c r="O247" i="1"/>
  <c r="K247" i="1"/>
  <c r="V345" i="1"/>
  <c r="V541" i="1" s="1"/>
  <c r="N247" i="1"/>
  <c r="X345" i="1"/>
  <c r="X541" i="1" s="1"/>
  <c r="Q247" i="1"/>
  <c r="Y345" i="1"/>
  <c r="Y541" i="1" s="1"/>
  <c r="R247" i="1"/>
  <c r="Z345" i="1"/>
  <c r="Z541" i="1" s="1"/>
  <c r="V247" i="1"/>
  <c r="AH247" i="1"/>
  <c r="Q345" i="1"/>
  <c r="Q541" i="1" s="1"/>
  <c r="R345" i="1"/>
  <c r="R541" i="1" s="1"/>
  <c r="S345" i="1"/>
  <c r="S541" i="1" s="1"/>
  <c r="T345" i="1"/>
  <c r="T541" i="1" s="1"/>
  <c r="U345" i="1"/>
  <c r="U541" i="1" s="1"/>
  <c r="AA345" i="1"/>
  <c r="AA541" i="1" s="1"/>
  <c r="E247" i="1"/>
  <c r="AB345" i="1"/>
  <c r="AB541" i="1" s="1"/>
  <c r="S247" i="1"/>
  <c r="C345" i="1"/>
  <c r="C541" i="1" s="1"/>
  <c r="E345" i="1"/>
  <c r="E541" i="1" s="1"/>
  <c r="F345" i="1"/>
  <c r="F541" i="1" s="1"/>
  <c r="G345" i="1"/>
  <c r="G541" i="1" s="1"/>
  <c r="H345" i="1"/>
  <c r="H541" i="1" s="1"/>
  <c r="I345" i="1"/>
  <c r="I541" i="1" s="1"/>
  <c r="K345" i="1"/>
  <c r="K541" i="1" s="1"/>
  <c r="M345" i="1"/>
  <c r="M541" i="1" s="1"/>
  <c r="O345" i="1"/>
  <c r="O541" i="1" s="1"/>
  <c r="AC247" i="1"/>
  <c r="AG345" i="1"/>
  <c r="AG541" i="1" s="1"/>
  <c r="T247" i="1"/>
  <c r="U247" i="1"/>
  <c r="X247" i="1"/>
  <c r="AI247" i="1"/>
  <c r="AO247" i="1"/>
  <c r="B345" i="1"/>
  <c r="B541" i="1" s="1"/>
  <c r="AC345" i="1"/>
  <c r="AC541" i="1" s="1"/>
  <c r="AE345" i="1"/>
  <c r="AE541" i="1" s="1"/>
  <c r="AL345" i="1"/>
  <c r="AL541" i="1" s="1"/>
  <c r="AM345" i="1"/>
  <c r="AM541" i="1" s="1"/>
  <c r="AN345" i="1"/>
  <c r="AN541" i="1" s="1"/>
  <c r="J247" i="1"/>
  <c r="P345" i="1"/>
  <c r="P541" i="1" s="1"/>
  <c r="AF345" i="1"/>
  <c r="AF541" i="1" s="1"/>
  <c r="AI345" i="1"/>
  <c r="AI541" i="1" s="1"/>
  <c r="AJ345" i="1"/>
  <c r="AJ541" i="1" s="1"/>
  <c r="AL507" i="1"/>
  <c r="AL458" i="1"/>
  <c r="AA467" i="1"/>
  <c r="AA516" i="1"/>
  <c r="Y516" i="1"/>
  <c r="Y467" i="1"/>
  <c r="I474" i="1"/>
  <c r="I523" i="1"/>
  <c r="AH518" i="1"/>
  <c r="AH469" i="1"/>
  <c r="E469" i="1"/>
  <c r="E518" i="1"/>
  <c r="U469" i="1"/>
  <c r="U518" i="1"/>
  <c r="Q469" i="1"/>
  <c r="Q518" i="1"/>
  <c r="M467" i="1"/>
  <c r="M516" i="1"/>
  <c r="D467" i="1"/>
  <c r="D516" i="1"/>
  <c r="S474" i="1"/>
  <c r="S523" i="1"/>
  <c r="Q450" i="1"/>
  <c r="Q499" i="1"/>
  <c r="AJ500" i="1"/>
  <c r="AH479" i="1"/>
  <c r="AH528" i="1"/>
  <c r="N479" i="1"/>
  <c r="N528" i="1"/>
  <c r="D479" i="1"/>
  <c r="D528" i="1"/>
  <c r="T502" i="1"/>
  <c r="T453" i="1"/>
  <c r="AH502" i="1"/>
  <c r="AH453" i="1"/>
  <c r="AJ453" i="1"/>
  <c r="AJ502" i="1"/>
  <c r="AZ31" i="1"/>
  <c r="T282" i="1"/>
  <c r="V282" i="1"/>
  <c r="X282" i="1"/>
  <c r="AB282" i="1"/>
  <c r="S282" i="1"/>
  <c r="AZ32" i="1"/>
  <c r="B282" i="1"/>
  <c r="AE282" i="1"/>
  <c r="D282" i="1"/>
  <c r="AG282" i="1"/>
  <c r="O380" i="1"/>
  <c r="O576" i="1" s="1"/>
  <c r="AM380" i="1"/>
  <c r="AM576" i="1" s="1"/>
  <c r="F282" i="1"/>
  <c r="AI282" i="1"/>
  <c r="E282" i="1"/>
  <c r="AL282" i="1"/>
  <c r="I282" i="1"/>
  <c r="AO282" i="1"/>
  <c r="W282" i="1"/>
  <c r="Z282" i="1"/>
  <c r="AK282" i="1"/>
  <c r="H282" i="1"/>
  <c r="J282" i="1"/>
  <c r="K282" i="1"/>
  <c r="L282" i="1"/>
  <c r="Y380" i="1"/>
  <c r="Y576" i="1" s="1"/>
  <c r="M282" i="1"/>
  <c r="Q282" i="1"/>
  <c r="Y282" i="1"/>
  <c r="AD282" i="1"/>
  <c r="S380" i="1"/>
  <c r="S576" i="1" s="1"/>
  <c r="T380" i="1"/>
  <c r="T576" i="1" s="1"/>
  <c r="U380" i="1"/>
  <c r="U576" i="1" s="1"/>
  <c r="W380" i="1"/>
  <c r="W576" i="1" s="1"/>
  <c r="AE380" i="1"/>
  <c r="AE576" i="1" s="1"/>
  <c r="B380" i="1"/>
  <c r="B576" i="1" s="1"/>
  <c r="AF380" i="1"/>
  <c r="AF576" i="1" s="1"/>
  <c r="C282" i="1"/>
  <c r="C380" i="1"/>
  <c r="C576" i="1" s="1"/>
  <c r="AG380" i="1"/>
  <c r="AG576" i="1" s="1"/>
  <c r="G282" i="1"/>
  <c r="D380" i="1"/>
  <c r="D576" i="1" s="1"/>
  <c r="AH380" i="1"/>
  <c r="AH576" i="1" s="1"/>
  <c r="N282" i="1"/>
  <c r="E380" i="1"/>
  <c r="E576" i="1" s="1"/>
  <c r="AI380" i="1"/>
  <c r="AI576" i="1" s="1"/>
  <c r="O282" i="1"/>
  <c r="F380" i="1"/>
  <c r="F576" i="1" s="1"/>
  <c r="AJ380" i="1"/>
  <c r="AJ576" i="1" s="1"/>
  <c r="P282" i="1"/>
  <c r="G380" i="1"/>
  <c r="G576" i="1" s="1"/>
  <c r="AK380" i="1"/>
  <c r="AK576" i="1" s="1"/>
  <c r="R282" i="1"/>
  <c r="H380" i="1"/>
  <c r="H576" i="1" s="1"/>
  <c r="AL380" i="1"/>
  <c r="AL576" i="1" s="1"/>
  <c r="U282" i="1"/>
  <c r="I380" i="1"/>
  <c r="I576" i="1" s="1"/>
  <c r="AN380" i="1"/>
  <c r="AN576" i="1" s="1"/>
  <c r="AJ282" i="1"/>
  <c r="N380" i="1"/>
  <c r="N576" i="1" s="1"/>
  <c r="V380" i="1"/>
  <c r="V576" i="1" s="1"/>
  <c r="X380" i="1"/>
  <c r="X576" i="1" s="1"/>
  <c r="Z380" i="1"/>
  <c r="Z576" i="1" s="1"/>
  <c r="AA380" i="1"/>
  <c r="AA576" i="1" s="1"/>
  <c r="AB380" i="1"/>
  <c r="AB576" i="1" s="1"/>
  <c r="AC380" i="1"/>
  <c r="AC576" i="1" s="1"/>
  <c r="AD380" i="1"/>
  <c r="AD576" i="1" s="1"/>
  <c r="AA282" i="1"/>
  <c r="AC282" i="1"/>
  <c r="AF282" i="1"/>
  <c r="AM282" i="1"/>
  <c r="J380" i="1"/>
  <c r="J576" i="1" s="1"/>
  <c r="K380" i="1"/>
  <c r="K576" i="1" s="1"/>
  <c r="L380" i="1"/>
  <c r="L576" i="1" s="1"/>
  <c r="M380" i="1"/>
  <c r="M576" i="1" s="1"/>
  <c r="P380" i="1"/>
  <c r="P576" i="1" s="1"/>
  <c r="Q380" i="1"/>
  <c r="Q576" i="1" s="1"/>
  <c r="AN282" i="1"/>
  <c r="AH282" i="1"/>
  <c r="R380" i="1"/>
  <c r="R576" i="1" s="1"/>
  <c r="AO380" i="1"/>
  <c r="AO576" i="1" s="1"/>
  <c r="V456" i="1"/>
  <c r="V505" i="1"/>
  <c r="AK505" i="1"/>
  <c r="AK456" i="1"/>
  <c r="AL456" i="1"/>
  <c r="AL505" i="1"/>
  <c r="AO496" i="1"/>
  <c r="AO447" i="1"/>
  <c r="V458" i="1"/>
  <c r="V507" i="1"/>
  <c r="W474" i="1"/>
  <c r="W523" i="1"/>
  <c r="AD515" i="1"/>
  <c r="AC31" i="1"/>
  <c r="D259" i="1"/>
  <c r="AB259" i="1"/>
  <c r="F259" i="1"/>
  <c r="AD259" i="1"/>
  <c r="H259" i="1"/>
  <c r="AF259" i="1"/>
  <c r="AC32" i="1"/>
  <c r="M259" i="1"/>
  <c r="AN259" i="1"/>
  <c r="O259" i="1"/>
  <c r="J357" i="1"/>
  <c r="J553" i="1" s="1"/>
  <c r="AH357" i="1"/>
  <c r="AH553" i="1" s="1"/>
  <c r="U259" i="1"/>
  <c r="W259" i="1"/>
  <c r="G357" i="1"/>
  <c r="G553" i="1" s="1"/>
  <c r="AF357" i="1"/>
  <c r="AF553" i="1" s="1"/>
  <c r="T259" i="1"/>
  <c r="X259" i="1"/>
  <c r="U357" i="1"/>
  <c r="U553" i="1" s="1"/>
  <c r="Z259" i="1"/>
  <c r="G259" i="1"/>
  <c r="AM259" i="1"/>
  <c r="R259" i="1"/>
  <c r="Y259" i="1"/>
  <c r="B259" i="1"/>
  <c r="N259" i="1"/>
  <c r="V259" i="1"/>
  <c r="AI259" i="1"/>
  <c r="P357" i="1"/>
  <c r="P553" i="1" s="1"/>
  <c r="AJ259" i="1"/>
  <c r="Q357" i="1"/>
  <c r="Q553" i="1" s="1"/>
  <c r="AK259" i="1"/>
  <c r="R357" i="1"/>
  <c r="R553" i="1" s="1"/>
  <c r="AL259" i="1"/>
  <c r="S357" i="1"/>
  <c r="S553" i="1" s="1"/>
  <c r="C259" i="1"/>
  <c r="J259" i="1"/>
  <c r="E357" i="1"/>
  <c r="E553" i="1" s="1"/>
  <c r="AL357" i="1"/>
  <c r="AL553" i="1" s="1"/>
  <c r="F357" i="1"/>
  <c r="F553" i="1" s="1"/>
  <c r="AM357" i="1"/>
  <c r="AM553" i="1" s="1"/>
  <c r="H357" i="1"/>
  <c r="H553" i="1" s="1"/>
  <c r="AN357" i="1"/>
  <c r="AN553" i="1" s="1"/>
  <c r="I357" i="1"/>
  <c r="I553" i="1" s="1"/>
  <c r="AO357" i="1"/>
  <c r="AO553" i="1" s="1"/>
  <c r="K357" i="1"/>
  <c r="K553" i="1" s="1"/>
  <c r="E259" i="1"/>
  <c r="L357" i="1"/>
  <c r="L553" i="1" s="1"/>
  <c r="I259" i="1"/>
  <c r="M357" i="1"/>
  <c r="M553" i="1" s="1"/>
  <c r="L259" i="1"/>
  <c r="AK357" i="1"/>
  <c r="AK553" i="1" s="1"/>
  <c r="B357" i="1"/>
  <c r="B553" i="1" s="1"/>
  <c r="C357" i="1"/>
  <c r="C553" i="1" s="1"/>
  <c r="D357" i="1"/>
  <c r="D553" i="1" s="1"/>
  <c r="N357" i="1"/>
  <c r="N553" i="1" s="1"/>
  <c r="AA259" i="1"/>
  <c r="X357" i="1"/>
  <c r="X553" i="1" s="1"/>
  <c r="O357" i="1"/>
  <c r="O553" i="1" s="1"/>
  <c r="T357" i="1"/>
  <c r="T553" i="1" s="1"/>
  <c r="V357" i="1"/>
  <c r="V553" i="1" s="1"/>
  <c r="W357" i="1"/>
  <c r="W553" i="1" s="1"/>
  <c r="P259" i="1"/>
  <c r="Z357" i="1"/>
  <c r="Z553" i="1" s="1"/>
  <c r="Q259" i="1"/>
  <c r="AA357" i="1"/>
  <c r="AA553" i="1" s="1"/>
  <c r="AG259" i="1"/>
  <c r="AE357" i="1"/>
  <c r="AE553" i="1" s="1"/>
  <c r="AH259" i="1"/>
  <c r="AG357" i="1"/>
  <c r="AG553" i="1" s="1"/>
  <c r="AO259" i="1"/>
  <c r="Y357" i="1"/>
  <c r="Y553" i="1" s="1"/>
  <c r="K259" i="1"/>
  <c r="AB357" i="1"/>
  <c r="AB553" i="1" s="1"/>
  <c r="S259" i="1"/>
  <c r="AC357" i="1"/>
  <c r="AC553" i="1" s="1"/>
  <c r="AC259" i="1"/>
  <c r="AD357" i="1"/>
  <c r="AD553" i="1" s="1"/>
  <c r="AE259" i="1"/>
  <c r="AI357" i="1"/>
  <c r="AI553" i="1" s="1"/>
  <c r="AJ357" i="1"/>
  <c r="AJ553" i="1" s="1"/>
  <c r="AG474" i="1"/>
  <c r="AG523" i="1"/>
  <c r="C456" i="1"/>
  <c r="C505" i="1"/>
  <c r="AD469" i="1"/>
  <c r="AD518" i="1"/>
  <c r="S528" i="1"/>
  <c r="S479" i="1"/>
  <c r="AF458" i="1"/>
  <c r="AF507" i="1"/>
  <c r="AD474" i="1"/>
  <c r="AD523" i="1"/>
  <c r="AF518" i="1"/>
  <c r="AF469" i="1"/>
  <c r="C450" i="1"/>
  <c r="C499" i="1"/>
  <c r="AI493" i="1"/>
  <c r="J469" i="1"/>
  <c r="J518" i="1"/>
  <c r="AE491" i="1"/>
  <c r="AH523" i="1"/>
  <c r="AH474" i="1"/>
  <c r="AO450" i="1"/>
  <c r="AO499" i="1"/>
  <c r="AE528" i="1"/>
  <c r="AE479" i="1"/>
  <c r="M528" i="1"/>
  <c r="M479" i="1"/>
  <c r="D250" i="1"/>
  <c r="AB250" i="1"/>
  <c r="F250" i="1"/>
  <c r="AD250" i="1"/>
  <c r="H250" i="1"/>
  <c r="AF250" i="1"/>
  <c r="P250" i="1"/>
  <c r="R250" i="1"/>
  <c r="J348" i="1"/>
  <c r="J544" i="1" s="1"/>
  <c r="AH348" i="1"/>
  <c r="AH544" i="1" s="1"/>
  <c r="T250" i="1"/>
  <c r="I250" i="1"/>
  <c r="AM250" i="1"/>
  <c r="K250" i="1"/>
  <c r="AO250" i="1"/>
  <c r="Q348" i="1"/>
  <c r="Q544" i="1" s="1"/>
  <c r="T32" i="1"/>
  <c r="G250" i="1"/>
  <c r="L250" i="1"/>
  <c r="O348" i="1"/>
  <c r="O544" i="1" s="1"/>
  <c r="AO348" i="1"/>
  <c r="AO544" i="1" s="1"/>
  <c r="N250" i="1"/>
  <c r="AA250" i="1"/>
  <c r="O250" i="1"/>
  <c r="U250" i="1"/>
  <c r="T31" i="1"/>
  <c r="B250" i="1"/>
  <c r="C250" i="1"/>
  <c r="W250" i="1"/>
  <c r="L348" i="1"/>
  <c r="L544" i="1" s="1"/>
  <c r="AM348" i="1"/>
  <c r="AM544" i="1" s="1"/>
  <c r="AC250" i="1"/>
  <c r="S348" i="1"/>
  <c r="S544" i="1" s="1"/>
  <c r="T348" i="1"/>
  <c r="T544" i="1" s="1"/>
  <c r="E250" i="1"/>
  <c r="U348" i="1"/>
  <c r="U544" i="1" s="1"/>
  <c r="J250" i="1"/>
  <c r="V348" i="1"/>
  <c r="V544" i="1" s="1"/>
  <c r="V250" i="1"/>
  <c r="Z250" i="1"/>
  <c r="AH250" i="1"/>
  <c r="AG250" i="1"/>
  <c r="B348" i="1"/>
  <c r="B544" i="1" s="1"/>
  <c r="AI348" i="1"/>
  <c r="AI544" i="1" s="1"/>
  <c r="AI250" i="1"/>
  <c r="C348" i="1"/>
  <c r="C544" i="1" s="1"/>
  <c r="AJ348" i="1"/>
  <c r="AJ544" i="1" s="1"/>
  <c r="AJ250" i="1"/>
  <c r="D348" i="1"/>
  <c r="D544" i="1" s="1"/>
  <c r="AK348" i="1"/>
  <c r="AK544" i="1" s="1"/>
  <c r="AK250" i="1"/>
  <c r="E348" i="1"/>
  <c r="E544" i="1" s="1"/>
  <c r="AL348" i="1"/>
  <c r="AL544" i="1" s="1"/>
  <c r="AL250" i="1"/>
  <c r="F348" i="1"/>
  <c r="F544" i="1" s="1"/>
  <c r="AN348" i="1"/>
  <c r="AN544" i="1" s="1"/>
  <c r="AN250" i="1"/>
  <c r="G348" i="1"/>
  <c r="G544" i="1" s="1"/>
  <c r="H348" i="1"/>
  <c r="H544" i="1" s="1"/>
  <c r="AB348" i="1"/>
  <c r="AB544" i="1" s="1"/>
  <c r="AC348" i="1"/>
  <c r="AC544" i="1" s="1"/>
  <c r="AD348" i="1"/>
  <c r="AD544" i="1" s="1"/>
  <c r="AE348" i="1"/>
  <c r="AE544" i="1" s="1"/>
  <c r="AF348" i="1"/>
  <c r="AF544" i="1" s="1"/>
  <c r="AG348" i="1"/>
  <c r="AG544" i="1" s="1"/>
  <c r="S250" i="1"/>
  <c r="I348" i="1"/>
  <c r="I544" i="1" s="1"/>
  <c r="AA348" i="1"/>
  <c r="AA544" i="1" s="1"/>
  <c r="M250" i="1"/>
  <c r="K348" i="1"/>
  <c r="K544" i="1" s="1"/>
  <c r="X250" i="1"/>
  <c r="N348" i="1"/>
  <c r="N544" i="1" s="1"/>
  <c r="Y348" i="1"/>
  <c r="Y544" i="1" s="1"/>
  <c r="Z348" i="1"/>
  <c r="Z544" i="1" s="1"/>
  <c r="Q250" i="1"/>
  <c r="Y250" i="1"/>
  <c r="AE250" i="1"/>
  <c r="W348" i="1"/>
  <c r="W544" i="1" s="1"/>
  <c r="X348" i="1"/>
  <c r="X544" i="1" s="1"/>
  <c r="P348" i="1"/>
  <c r="P544" i="1" s="1"/>
  <c r="R348" i="1"/>
  <c r="R544" i="1" s="1"/>
  <c r="M348" i="1"/>
  <c r="M544" i="1" s="1"/>
  <c r="AK476" i="1"/>
  <c r="AK525" i="1"/>
  <c r="AF453" i="1"/>
  <c r="AF502" i="1"/>
  <c r="Z502" i="1"/>
  <c r="Z453" i="1"/>
  <c r="L453" i="1"/>
  <c r="L502" i="1"/>
  <c r="F491" i="1"/>
  <c r="AB31" i="1"/>
  <c r="T258" i="1"/>
  <c r="V258" i="1"/>
  <c r="X258" i="1"/>
  <c r="Z258" i="1"/>
  <c r="AB258" i="1"/>
  <c r="B356" i="1"/>
  <c r="B552" i="1" s="1"/>
  <c r="Z356" i="1"/>
  <c r="Z552" i="1" s="1"/>
  <c r="C258" i="1"/>
  <c r="AF258" i="1"/>
  <c r="E258" i="1"/>
  <c r="AH258" i="1"/>
  <c r="V356" i="1"/>
  <c r="V552" i="1" s="1"/>
  <c r="AC258" i="1"/>
  <c r="AE258" i="1"/>
  <c r="I356" i="1"/>
  <c r="I552" i="1" s="1"/>
  <c r="AI356" i="1"/>
  <c r="AI552" i="1" s="1"/>
  <c r="B258" i="1"/>
  <c r="AI258" i="1"/>
  <c r="AB32" i="1"/>
  <c r="N258" i="1"/>
  <c r="R258" i="1"/>
  <c r="W258" i="1"/>
  <c r="AN258" i="1"/>
  <c r="AO258" i="1"/>
  <c r="D258" i="1"/>
  <c r="L258" i="1"/>
  <c r="Q258" i="1"/>
  <c r="S258" i="1"/>
  <c r="AC356" i="1"/>
  <c r="AC552" i="1" s="1"/>
  <c r="U258" i="1"/>
  <c r="C356" i="1"/>
  <c r="C552" i="1" s="1"/>
  <c r="AD356" i="1"/>
  <c r="AD552" i="1" s="1"/>
  <c r="Y258" i="1"/>
  <c r="D356" i="1"/>
  <c r="D552" i="1" s="1"/>
  <c r="AE356" i="1"/>
  <c r="AE552" i="1" s="1"/>
  <c r="AA258" i="1"/>
  <c r="E356" i="1"/>
  <c r="E552" i="1" s="1"/>
  <c r="AF356" i="1"/>
  <c r="AF552" i="1" s="1"/>
  <c r="AK258" i="1"/>
  <c r="AD258" i="1"/>
  <c r="N356" i="1"/>
  <c r="N552" i="1" s="1"/>
  <c r="AG258" i="1"/>
  <c r="O356" i="1"/>
  <c r="O552" i="1" s="1"/>
  <c r="AJ258" i="1"/>
  <c r="P356" i="1"/>
  <c r="P552" i="1" s="1"/>
  <c r="AL258" i="1"/>
  <c r="Q356" i="1"/>
  <c r="Q552" i="1" s="1"/>
  <c r="AM258" i="1"/>
  <c r="R356" i="1"/>
  <c r="R552" i="1" s="1"/>
  <c r="S356" i="1"/>
  <c r="S552" i="1" s="1"/>
  <c r="T356" i="1"/>
  <c r="T552" i="1" s="1"/>
  <c r="F258" i="1"/>
  <c r="AK356" i="1"/>
  <c r="AK552" i="1" s="1"/>
  <c r="G258" i="1"/>
  <c r="AL356" i="1"/>
  <c r="AL552" i="1" s="1"/>
  <c r="H258" i="1"/>
  <c r="AM356" i="1"/>
  <c r="AM552" i="1" s="1"/>
  <c r="I258" i="1"/>
  <c r="AN356" i="1"/>
  <c r="AN552" i="1" s="1"/>
  <c r="J258" i="1"/>
  <c r="AO356" i="1"/>
  <c r="AO552" i="1" s="1"/>
  <c r="K258" i="1"/>
  <c r="M258" i="1"/>
  <c r="O258" i="1"/>
  <c r="P258" i="1"/>
  <c r="F356" i="1"/>
  <c r="F552" i="1" s="1"/>
  <c r="L356" i="1"/>
  <c r="L552" i="1" s="1"/>
  <c r="AG356" i="1"/>
  <c r="AG552" i="1" s="1"/>
  <c r="AH356" i="1"/>
  <c r="AH552" i="1" s="1"/>
  <c r="AJ356" i="1"/>
  <c r="AJ552" i="1" s="1"/>
  <c r="G356" i="1"/>
  <c r="G552" i="1" s="1"/>
  <c r="H356" i="1"/>
  <c r="H552" i="1" s="1"/>
  <c r="M356" i="1"/>
  <c r="M552" i="1" s="1"/>
  <c r="AA356" i="1"/>
  <c r="AA552" i="1" s="1"/>
  <c r="AB356" i="1"/>
  <c r="AB552" i="1" s="1"/>
  <c r="J356" i="1"/>
  <c r="J552" i="1" s="1"/>
  <c r="K356" i="1"/>
  <c r="K552" i="1" s="1"/>
  <c r="U356" i="1"/>
  <c r="U552" i="1" s="1"/>
  <c r="W356" i="1"/>
  <c r="W552" i="1" s="1"/>
  <c r="X356" i="1"/>
  <c r="X552" i="1" s="1"/>
  <c r="Y356" i="1"/>
  <c r="Y552" i="1" s="1"/>
  <c r="N505" i="1"/>
  <c r="N456" i="1"/>
  <c r="AG447" i="1"/>
  <c r="AG496" i="1"/>
  <c r="Z507" i="1"/>
  <c r="Z458" i="1"/>
  <c r="T458" i="1"/>
  <c r="T507" i="1"/>
  <c r="AR32" i="1"/>
  <c r="D274" i="1"/>
  <c r="AB274" i="1"/>
  <c r="F274" i="1"/>
  <c r="AD274" i="1"/>
  <c r="H274" i="1"/>
  <c r="AF274" i="1"/>
  <c r="AR31" i="1"/>
  <c r="P274" i="1"/>
  <c r="R274" i="1"/>
  <c r="T274" i="1"/>
  <c r="V274" i="1"/>
  <c r="Y372" i="1"/>
  <c r="Y568" i="1" s="1"/>
  <c r="I274" i="1"/>
  <c r="AN274" i="1"/>
  <c r="K274" i="1"/>
  <c r="N372" i="1"/>
  <c r="N568" i="1" s="1"/>
  <c r="AM372" i="1"/>
  <c r="AM568" i="1" s="1"/>
  <c r="M274" i="1"/>
  <c r="AL274" i="1"/>
  <c r="E274" i="1"/>
  <c r="AH274" i="1"/>
  <c r="AJ274" i="1"/>
  <c r="J274" i="1"/>
  <c r="Q274" i="1"/>
  <c r="B274" i="1"/>
  <c r="J372" i="1"/>
  <c r="J568" i="1" s="1"/>
  <c r="AJ372" i="1"/>
  <c r="AJ568" i="1" s="1"/>
  <c r="C274" i="1"/>
  <c r="O274" i="1"/>
  <c r="W274" i="1"/>
  <c r="Z274" i="1"/>
  <c r="AK274" i="1"/>
  <c r="Q372" i="1"/>
  <c r="Q568" i="1" s="1"/>
  <c r="AM274" i="1"/>
  <c r="R372" i="1"/>
  <c r="R568" i="1" s="1"/>
  <c r="AO274" i="1"/>
  <c r="S372" i="1"/>
  <c r="S568" i="1" s="1"/>
  <c r="U372" i="1"/>
  <c r="U568" i="1" s="1"/>
  <c r="S274" i="1"/>
  <c r="AC372" i="1"/>
  <c r="AC568" i="1" s="1"/>
  <c r="U274" i="1"/>
  <c r="AD372" i="1"/>
  <c r="AD568" i="1" s="1"/>
  <c r="X274" i="1"/>
  <c r="AE372" i="1"/>
  <c r="AE568" i="1" s="1"/>
  <c r="Y274" i="1"/>
  <c r="AF372" i="1"/>
  <c r="AF568" i="1" s="1"/>
  <c r="AA274" i="1"/>
  <c r="B372" i="1"/>
  <c r="B568" i="1" s="1"/>
  <c r="AG372" i="1"/>
  <c r="AG568" i="1" s="1"/>
  <c r="AC274" i="1"/>
  <c r="C372" i="1"/>
  <c r="C568" i="1" s="1"/>
  <c r="AH372" i="1"/>
  <c r="AH568" i="1" s="1"/>
  <c r="AE274" i="1"/>
  <c r="D372" i="1"/>
  <c r="D568" i="1" s="1"/>
  <c r="AI372" i="1"/>
  <c r="AI568" i="1" s="1"/>
  <c r="AG274" i="1"/>
  <c r="E372" i="1"/>
  <c r="E568" i="1" s="1"/>
  <c r="AK372" i="1"/>
  <c r="AK568" i="1" s="1"/>
  <c r="AI274" i="1"/>
  <c r="F372" i="1"/>
  <c r="F568" i="1" s="1"/>
  <c r="AL372" i="1"/>
  <c r="AL568" i="1" s="1"/>
  <c r="L372" i="1"/>
  <c r="L568" i="1" s="1"/>
  <c r="K372" i="1"/>
  <c r="K568" i="1" s="1"/>
  <c r="M372" i="1"/>
  <c r="M568" i="1" s="1"/>
  <c r="O372" i="1"/>
  <c r="O568" i="1" s="1"/>
  <c r="P372" i="1"/>
  <c r="P568" i="1" s="1"/>
  <c r="T372" i="1"/>
  <c r="T568" i="1" s="1"/>
  <c r="V372" i="1"/>
  <c r="V568" i="1" s="1"/>
  <c r="W372" i="1"/>
  <c r="W568" i="1" s="1"/>
  <c r="Z372" i="1"/>
  <c r="Z568" i="1" s="1"/>
  <c r="AA372" i="1"/>
  <c r="AA568" i="1" s="1"/>
  <c r="L274" i="1"/>
  <c r="G372" i="1"/>
  <c r="G568" i="1" s="1"/>
  <c r="H372" i="1"/>
  <c r="H568" i="1" s="1"/>
  <c r="AB372" i="1"/>
  <c r="AB568" i="1" s="1"/>
  <c r="I372" i="1"/>
  <c r="I568" i="1" s="1"/>
  <c r="X372" i="1"/>
  <c r="X568" i="1" s="1"/>
  <c r="AN372" i="1"/>
  <c r="AN568" i="1" s="1"/>
  <c r="AO372" i="1"/>
  <c r="AO568" i="1" s="1"/>
  <c r="G274" i="1"/>
  <c r="N274" i="1"/>
  <c r="AP32" i="1"/>
  <c r="L272" i="1"/>
  <c r="AJ272" i="1"/>
  <c r="N272" i="1"/>
  <c r="AL272" i="1"/>
  <c r="P272" i="1"/>
  <c r="AN272" i="1"/>
  <c r="M272" i="1"/>
  <c r="Q272" i="1"/>
  <c r="H272" i="1"/>
  <c r="AM272" i="1"/>
  <c r="J272" i="1"/>
  <c r="I370" i="1"/>
  <c r="I566" i="1" s="1"/>
  <c r="AG370" i="1"/>
  <c r="AG566" i="1" s="1"/>
  <c r="X272" i="1"/>
  <c r="Z272" i="1"/>
  <c r="S370" i="1"/>
  <c r="S566" i="1" s="1"/>
  <c r="AB272" i="1"/>
  <c r="F272" i="1"/>
  <c r="K272" i="1"/>
  <c r="AF272" i="1"/>
  <c r="AH272" i="1"/>
  <c r="E272" i="1"/>
  <c r="R272" i="1"/>
  <c r="AD272" i="1"/>
  <c r="J370" i="1"/>
  <c r="J566" i="1" s="1"/>
  <c r="AE272" i="1"/>
  <c r="AG272" i="1"/>
  <c r="L370" i="1"/>
  <c r="L566" i="1" s="1"/>
  <c r="AL370" i="1"/>
  <c r="AL566" i="1" s="1"/>
  <c r="AI272" i="1"/>
  <c r="B272" i="1"/>
  <c r="G272" i="1"/>
  <c r="O370" i="1"/>
  <c r="O566" i="1" s="1"/>
  <c r="P370" i="1"/>
  <c r="P566" i="1" s="1"/>
  <c r="Q370" i="1"/>
  <c r="Q566" i="1" s="1"/>
  <c r="T370" i="1"/>
  <c r="T566" i="1" s="1"/>
  <c r="D272" i="1"/>
  <c r="G370" i="1"/>
  <c r="G566" i="1" s="1"/>
  <c r="AO370" i="1"/>
  <c r="AO566" i="1" s="1"/>
  <c r="C272" i="1"/>
  <c r="H370" i="1"/>
  <c r="H566" i="1" s="1"/>
  <c r="I272" i="1"/>
  <c r="K370" i="1"/>
  <c r="K566" i="1" s="1"/>
  <c r="O272" i="1"/>
  <c r="M370" i="1"/>
  <c r="M566" i="1" s="1"/>
  <c r="S272" i="1"/>
  <c r="N370" i="1"/>
  <c r="N566" i="1" s="1"/>
  <c r="T272" i="1"/>
  <c r="R370" i="1"/>
  <c r="R566" i="1" s="1"/>
  <c r="U272" i="1"/>
  <c r="U370" i="1"/>
  <c r="U566" i="1" s="1"/>
  <c r="V272" i="1"/>
  <c r="V370" i="1"/>
  <c r="V566" i="1" s="1"/>
  <c r="W272" i="1"/>
  <c r="W370" i="1"/>
  <c r="W566" i="1" s="1"/>
  <c r="AO272" i="1"/>
  <c r="AB370" i="1"/>
  <c r="AB566" i="1" s="1"/>
  <c r="AF370" i="1"/>
  <c r="AF566" i="1" s="1"/>
  <c r="AH370" i="1"/>
  <c r="AH566" i="1" s="1"/>
  <c r="AI370" i="1"/>
  <c r="AI566" i="1" s="1"/>
  <c r="AJ370" i="1"/>
  <c r="AJ566" i="1" s="1"/>
  <c r="AK370" i="1"/>
  <c r="AK566" i="1" s="1"/>
  <c r="Y272" i="1"/>
  <c r="AM370" i="1"/>
  <c r="AM566" i="1" s="1"/>
  <c r="AA272" i="1"/>
  <c r="AN370" i="1"/>
  <c r="AN566" i="1" s="1"/>
  <c r="AK272" i="1"/>
  <c r="C370" i="1"/>
  <c r="C566" i="1" s="1"/>
  <c r="D370" i="1"/>
  <c r="D566" i="1" s="1"/>
  <c r="X370" i="1"/>
  <c r="X566" i="1" s="1"/>
  <c r="AC272" i="1"/>
  <c r="AP31" i="1"/>
  <c r="AD370" i="1"/>
  <c r="AD566" i="1" s="1"/>
  <c r="AE370" i="1"/>
  <c r="AE566" i="1" s="1"/>
  <c r="B370" i="1"/>
  <c r="B566" i="1" s="1"/>
  <c r="E370" i="1"/>
  <c r="E566" i="1" s="1"/>
  <c r="F370" i="1"/>
  <c r="F566" i="1" s="1"/>
  <c r="Y370" i="1"/>
  <c r="Y566" i="1" s="1"/>
  <c r="Z370" i="1"/>
  <c r="Z566" i="1" s="1"/>
  <c r="AA370" i="1"/>
  <c r="AA566" i="1" s="1"/>
  <c r="AC370" i="1"/>
  <c r="AC566" i="1" s="1"/>
  <c r="E456" i="1"/>
  <c r="E505" i="1"/>
  <c r="AG497" i="1"/>
  <c r="V450" i="1"/>
  <c r="V499" i="1"/>
  <c r="AK516" i="1"/>
  <c r="AK467" i="1"/>
  <c r="AH499" i="1"/>
  <c r="AH450" i="1"/>
  <c r="AK469" i="1"/>
  <c r="AK518" i="1"/>
  <c r="O474" i="1"/>
  <c r="O523" i="1"/>
  <c r="D244" i="1"/>
  <c r="AB244" i="1"/>
  <c r="F244" i="1"/>
  <c r="AD244" i="1"/>
  <c r="H244" i="1"/>
  <c r="AF244" i="1"/>
  <c r="N31" i="1"/>
  <c r="Q244" i="1"/>
  <c r="AO244" i="1"/>
  <c r="B244" i="1"/>
  <c r="AG244" i="1"/>
  <c r="E244" i="1"/>
  <c r="AI244" i="1"/>
  <c r="J342" i="1"/>
  <c r="J538" i="1" s="1"/>
  <c r="AH342" i="1"/>
  <c r="AH538" i="1" s="1"/>
  <c r="I244" i="1"/>
  <c r="AK244" i="1"/>
  <c r="W244" i="1"/>
  <c r="Y244" i="1"/>
  <c r="F342" i="1"/>
  <c r="F538" i="1" s="1"/>
  <c r="AE342" i="1"/>
  <c r="AE538" i="1" s="1"/>
  <c r="AN244" i="1"/>
  <c r="G244" i="1"/>
  <c r="T342" i="1"/>
  <c r="T538" i="1" s="1"/>
  <c r="K244" i="1"/>
  <c r="V244" i="1"/>
  <c r="B342" i="1"/>
  <c r="B538" i="1" s="1"/>
  <c r="J244" i="1"/>
  <c r="N32" i="1"/>
  <c r="P244" i="1"/>
  <c r="X342" i="1"/>
  <c r="X538" i="1" s="1"/>
  <c r="R244" i="1"/>
  <c r="S244" i="1"/>
  <c r="AE244" i="1"/>
  <c r="G342" i="1"/>
  <c r="G538" i="1" s="1"/>
  <c r="AI342" i="1"/>
  <c r="AI538" i="1" s="1"/>
  <c r="AM244" i="1"/>
  <c r="M244" i="1"/>
  <c r="W342" i="1"/>
  <c r="W538" i="1" s="1"/>
  <c r="N244" i="1"/>
  <c r="Y342" i="1"/>
  <c r="Y538" i="1" s="1"/>
  <c r="O244" i="1"/>
  <c r="Z342" i="1"/>
  <c r="Z538" i="1" s="1"/>
  <c r="T244" i="1"/>
  <c r="AA342" i="1"/>
  <c r="AA538" i="1" s="1"/>
  <c r="AA244" i="1"/>
  <c r="AJ244" i="1"/>
  <c r="Z244" i="1"/>
  <c r="AF342" i="1"/>
  <c r="AF538" i="1" s="1"/>
  <c r="AC244" i="1"/>
  <c r="AG342" i="1"/>
  <c r="AG538" i="1" s="1"/>
  <c r="AH244" i="1"/>
  <c r="AJ342" i="1"/>
  <c r="AJ538" i="1" s="1"/>
  <c r="AL244" i="1"/>
  <c r="AK342" i="1"/>
  <c r="AK538" i="1" s="1"/>
  <c r="AL342" i="1"/>
  <c r="AL538" i="1" s="1"/>
  <c r="C342" i="1"/>
  <c r="C538" i="1" s="1"/>
  <c r="AM342" i="1"/>
  <c r="AM538" i="1" s="1"/>
  <c r="D342" i="1"/>
  <c r="D538" i="1" s="1"/>
  <c r="AN342" i="1"/>
  <c r="AN538" i="1" s="1"/>
  <c r="R342" i="1"/>
  <c r="R538" i="1" s="1"/>
  <c r="S342" i="1"/>
  <c r="S538" i="1" s="1"/>
  <c r="U342" i="1"/>
  <c r="U538" i="1" s="1"/>
  <c r="V342" i="1"/>
  <c r="V538" i="1" s="1"/>
  <c r="AB342" i="1"/>
  <c r="AB538" i="1" s="1"/>
  <c r="AC342" i="1"/>
  <c r="AC538" i="1" s="1"/>
  <c r="AD342" i="1"/>
  <c r="AD538" i="1" s="1"/>
  <c r="AO342" i="1"/>
  <c r="AO538" i="1" s="1"/>
  <c r="C244" i="1"/>
  <c r="O342" i="1"/>
  <c r="O538" i="1" s="1"/>
  <c r="P342" i="1"/>
  <c r="P538" i="1" s="1"/>
  <c r="Q342" i="1"/>
  <c r="Q538" i="1" s="1"/>
  <c r="L244" i="1"/>
  <c r="U244" i="1"/>
  <c r="X244" i="1"/>
  <c r="E342" i="1"/>
  <c r="E538" i="1" s="1"/>
  <c r="K342" i="1"/>
  <c r="K538" i="1" s="1"/>
  <c r="H342" i="1"/>
  <c r="H538" i="1" s="1"/>
  <c r="I342" i="1"/>
  <c r="I538" i="1" s="1"/>
  <c r="L342" i="1"/>
  <c r="L538" i="1" s="1"/>
  <c r="M342" i="1"/>
  <c r="M538" i="1" s="1"/>
  <c r="N342" i="1"/>
  <c r="N538" i="1" s="1"/>
  <c r="Q447" i="1"/>
  <c r="Q496" i="1"/>
  <c r="X523" i="1"/>
  <c r="X474" i="1"/>
  <c r="K474" i="1"/>
  <c r="K523" i="1"/>
  <c r="P500" i="1"/>
  <c r="O469" i="1"/>
  <c r="O518" i="1"/>
  <c r="G467" i="1"/>
  <c r="G516" i="1"/>
  <c r="J474" i="1"/>
  <c r="J523" i="1"/>
  <c r="AL467" i="1"/>
  <c r="AL516" i="1"/>
  <c r="C523" i="1"/>
  <c r="C474" i="1"/>
  <c r="F523" i="1"/>
  <c r="D450" i="1"/>
  <c r="D499" i="1"/>
  <c r="Z528" i="1"/>
  <c r="Z479" i="1"/>
  <c r="AA528" i="1"/>
  <c r="AA479" i="1"/>
  <c r="L479" i="1"/>
  <c r="L528" i="1"/>
  <c r="B502" i="1"/>
  <c r="B453" i="1"/>
  <c r="V502" i="1"/>
  <c r="V453" i="1"/>
  <c r="K505" i="1"/>
  <c r="K456" i="1"/>
  <c r="Z505" i="1"/>
  <c r="Z456" i="1"/>
  <c r="AJ505" i="1"/>
  <c r="AJ456" i="1"/>
  <c r="AI447" i="1"/>
  <c r="AI496" i="1"/>
  <c r="X447" i="1"/>
  <c r="X496" i="1"/>
  <c r="AC447" i="1"/>
  <c r="AC496" i="1"/>
  <c r="P523" i="1" l="1"/>
  <c r="Y474" i="1"/>
  <c r="F474" i="1"/>
  <c r="T474" i="1"/>
  <c r="AV31" i="1"/>
  <c r="AO523" i="1"/>
  <c r="F281" i="1"/>
  <c r="AM281" i="1"/>
  <c r="AA379" i="1"/>
  <c r="AA575" i="1" s="1"/>
  <c r="AM379" i="1"/>
  <c r="AM575" i="1" s="1"/>
  <c r="B281" i="1"/>
  <c r="W281" i="1"/>
  <c r="AF379" i="1"/>
  <c r="AF575" i="1" s="1"/>
  <c r="L379" i="1"/>
  <c r="L575" i="1" s="1"/>
  <c r="N379" i="1"/>
  <c r="N575" i="1" s="1"/>
  <c r="C379" i="1"/>
  <c r="C575" i="1" s="1"/>
  <c r="T379" i="1"/>
  <c r="T575" i="1" s="1"/>
  <c r="AY32" i="1"/>
  <c r="D281" i="1"/>
  <c r="E379" i="1"/>
  <c r="E575" i="1" s="1"/>
  <c r="AJ379" i="1"/>
  <c r="AJ575" i="1" s="1"/>
  <c r="AL281" i="1"/>
  <c r="AD379" i="1"/>
  <c r="AD575" i="1" s="1"/>
  <c r="U379" i="1"/>
  <c r="U575" i="1" s="1"/>
  <c r="L281" i="1"/>
  <c r="O379" i="1"/>
  <c r="O575" i="1" s="1"/>
  <c r="AO379" i="1"/>
  <c r="AO575" i="1" s="1"/>
  <c r="Y379" i="1"/>
  <c r="Y575" i="1" s="1"/>
  <c r="S281" i="1"/>
  <c r="Y281" i="1"/>
  <c r="D379" i="1"/>
  <c r="D575" i="1" s="1"/>
  <c r="AJ281" i="1"/>
  <c r="AN379" i="1"/>
  <c r="AN575" i="1" s="1"/>
  <c r="AI281" i="1"/>
  <c r="AB379" i="1"/>
  <c r="AB575" i="1" s="1"/>
  <c r="AN281" i="1"/>
  <c r="AD281" i="1"/>
  <c r="N281" i="1"/>
  <c r="E281" i="1"/>
  <c r="J379" i="1"/>
  <c r="J575" i="1" s="1"/>
  <c r="AC379" i="1"/>
  <c r="AC575" i="1" s="1"/>
  <c r="I379" i="1"/>
  <c r="I575" i="1" s="1"/>
  <c r="P281" i="1"/>
  <c r="V281" i="1"/>
  <c r="M379" i="1"/>
  <c r="M575" i="1" s="1"/>
  <c r="AL379" i="1"/>
  <c r="AL575" i="1" s="1"/>
  <c r="K281" i="1"/>
  <c r="X281" i="1"/>
  <c r="P379" i="1"/>
  <c r="P575" i="1" s="1"/>
  <c r="R281" i="1"/>
  <c r="AO281" i="1"/>
  <c r="F379" i="1"/>
  <c r="F575" i="1" s="1"/>
  <c r="Q379" i="1"/>
  <c r="Q575" i="1" s="1"/>
  <c r="T281" i="1"/>
  <c r="AY31" i="1"/>
  <c r="AG379" i="1"/>
  <c r="AG575" i="1" s="1"/>
  <c r="R379" i="1"/>
  <c r="R575" i="1" s="1"/>
  <c r="U281" i="1"/>
  <c r="AC281" i="1"/>
  <c r="C281" i="1"/>
  <c r="AA281" i="1"/>
  <c r="S379" i="1"/>
  <c r="S575" i="1" s="1"/>
  <c r="AE281" i="1"/>
  <c r="H379" i="1"/>
  <c r="H575" i="1" s="1"/>
  <c r="X379" i="1"/>
  <c r="X575" i="1" s="1"/>
  <c r="G379" i="1"/>
  <c r="G575" i="1" s="1"/>
  <c r="I281" i="1"/>
  <c r="AH379" i="1"/>
  <c r="AH575" i="1" s="1"/>
  <c r="B379" i="1"/>
  <c r="B575" i="1" s="1"/>
  <c r="M281" i="1"/>
  <c r="G281" i="1"/>
  <c r="AF281" i="1"/>
  <c r="V379" i="1"/>
  <c r="V575" i="1" s="1"/>
  <c r="AG281" i="1"/>
  <c r="AH281" i="1"/>
  <c r="AE379" i="1"/>
  <c r="AE575" i="1" s="1"/>
  <c r="O281" i="1"/>
  <c r="K379" i="1"/>
  <c r="K575" i="1" s="1"/>
  <c r="W379" i="1"/>
  <c r="W575" i="1" s="1"/>
  <c r="AK281" i="1"/>
  <c r="Q281" i="1"/>
  <c r="Z281" i="1"/>
  <c r="AK379" i="1"/>
  <c r="AK575" i="1" s="1"/>
  <c r="H281" i="1"/>
  <c r="AB281" i="1"/>
  <c r="J281" i="1"/>
  <c r="AI379" i="1"/>
  <c r="AI575" i="1" s="1"/>
  <c r="Z379" i="1"/>
  <c r="Z575" i="1" s="1"/>
  <c r="Z474" i="1"/>
  <c r="AB451" i="1"/>
  <c r="N451" i="1"/>
  <c r="N448" i="1"/>
  <c r="AK500" i="1"/>
  <c r="O466" i="1"/>
  <c r="O613" i="1" s="1"/>
  <c r="AD448" i="1"/>
  <c r="AD595" i="1" s="1"/>
  <c r="X451" i="1"/>
  <c r="X598" i="1" s="1"/>
  <c r="G451" i="1"/>
  <c r="AA448" i="1"/>
  <c r="AA595" i="1" s="1"/>
  <c r="O515" i="1"/>
  <c r="M451" i="1"/>
  <c r="M598" i="1" s="1"/>
  <c r="U451" i="1"/>
  <c r="X476" i="1"/>
  <c r="X623" i="1" s="1"/>
  <c r="AF444" i="1"/>
  <c r="AI451" i="1"/>
  <c r="M476" i="1"/>
  <c r="F264" i="1"/>
  <c r="F509" i="1" s="1"/>
  <c r="K466" i="1"/>
  <c r="M466" i="1"/>
  <c r="M613" i="1" s="1"/>
  <c r="Q466" i="1"/>
  <c r="AN448" i="1"/>
  <c r="V362" i="1"/>
  <c r="V558" i="1" s="1"/>
  <c r="AJ448" i="1"/>
  <c r="AL476" i="1"/>
  <c r="AL623" i="1" s="1"/>
  <c r="T362" i="1"/>
  <c r="T558" i="1" s="1"/>
  <c r="AI500" i="1"/>
  <c r="E451" i="1"/>
  <c r="E598" i="1" s="1"/>
  <c r="W451" i="1"/>
  <c r="W362" i="1"/>
  <c r="W558" i="1" s="1"/>
  <c r="C476" i="1"/>
  <c r="C623" i="1" s="1"/>
  <c r="V476" i="1"/>
  <c r="S362" i="1"/>
  <c r="S558" i="1" s="1"/>
  <c r="AO451" i="1"/>
  <c r="AD476" i="1"/>
  <c r="L362" i="1"/>
  <c r="L558" i="1" s="1"/>
  <c r="AC442" i="1"/>
  <c r="B616" i="1"/>
  <c r="L466" i="1"/>
  <c r="AB500" i="1"/>
  <c r="G448" i="1"/>
  <c r="AJ451" i="1"/>
  <c r="AJ598" i="1" s="1"/>
  <c r="P451" i="1"/>
  <c r="F466" i="1"/>
  <c r="F613" i="1" s="1"/>
  <c r="AB476" i="1"/>
  <c r="AB623" i="1" s="1"/>
  <c r="L442" i="1"/>
  <c r="Q451" i="1"/>
  <c r="Q598" i="1" s="1"/>
  <c r="N476" i="1"/>
  <c r="Y476" i="1"/>
  <c r="Y623" i="1" s="1"/>
  <c r="I362" i="1"/>
  <c r="I558" i="1" s="1"/>
  <c r="AO264" i="1"/>
  <c r="AO509" i="1" s="1"/>
  <c r="H451" i="1"/>
  <c r="D500" i="1"/>
  <c r="D598" i="1" s="1"/>
  <c r="H264" i="1"/>
  <c r="H509" i="1" s="1"/>
  <c r="AD465" i="1"/>
  <c r="AC264" i="1"/>
  <c r="AC509" i="1" s="1"/>
  <c r="J451" i="1"/>
  <c r="J598" i="1" s="1"/>
  <c r="V500" i="1"/>
  <c r="V598" i="1" s="1"/>
  <c r="AD444" i="1"/>
  <c r="W500" i="1"/>
  <c r="R451" i="1"/>
  <c r="AM451" i="1"/>
  <c r="AL451" i="1"/>
  <c r="AL598" i="1" s="1"/>
  <c r="AA451" i="1"/>
  <c r="AH476" i="1"/>
  <c r="AF476" i="1"/>
  <c r="AM476" i="1"/>
  <c r="AD466" i="1"/>
  <c r="AD613" i="1" s="1"/>
  <c r="R264" i="1"/>
  <c r="R509" i="1" s="1"/>
  <c r="R476" i="1"/>
  <c r="R623" i="1" s="1"/>
  <c r="AJ497" i="1"/>
  <c r="S451" i="1"/>
  <c r="S598" i="1" s="1"/>
  <c r="Z451" i="1"/>
  <c r="Z598" i="1" s="1"/>
  <c r="AG465" i="1"/>
  <c r="B442" i="1"/>
  <c r="E448" i="1"/>
  <c r="X362" i="1"/>
  <c r="X558" i="1" s="1"/>
  <c r="N264" i="1"/>
  <c r="N509" i="1" s="1"/>
  <c r="AF451" i="1"/>
  <c r="AG448" i="1"/>
  <c r="AG595" i="1" s="1"/>
  <c r="D465" i="1"/>
  <c r="AH466" i="1"/>
  <c r="P448" i="1"/>
  <c r="Z476" i="1"/>
  <c r="B451" i="1"/>
  <c r="AH444" i="1"/>
  <c r="AB444" i="1"/>
  <c r="AB591" i="1" s="1"/>
  <c r="AD514" i="1"/>
  <c r="AG451" i="1"/>
  <c r="H476" i="1"/>
  <c r="H623" i="1" s="1"/>
  <c r="S500" i="1"/>
  <c r="B476" i="1"/>
  <c r="B623" i="1" s="1"/>
  <c r="P476" i="1"/>
  <c r="P623" i="1" s="1"/>
  <c r="L515" i="1"/>
  <c r="AI448" i="1"/>
  <c r="AI595" i="1" s="1"/>
  <c r="AN451" i="1"/>
  <c r="E264" i="1"/>
  <c r="E509" i="1" s="1"/>
  <c r="T442" i="1"/>
  <c r="T589" i="1" s="1"/>
  <c r="AD264" i="1"/>
  <c r="AD509" i="1" s="1"/>
  <c r="J448" i="1"/>
  <c r="Y466" i="1"/>
  <c r="Z264" i="1"/>
  <c r="Z509" i="1" s="1"/>
  <c r="G442" i="1"/>
  <c r="G589" i="1" s="1"/>
  <c r="AH362" i="1"/>
  <c r="AH558" i="1" s="1"/>
  <c r="E466" i="1"/>
  <c r="AF500" i="1"/>
  <c r="AH264" i="1"/>
  <c r="Q264" i="1"/>
  <c r="Q509" i="1" s="1"/>
  <c r="N525" i="1"/>
  <c r="Q500" i="1"/>
  <c r="O362" i="1"/>
  <c r="O558" i="1" s="1"/>
  <c r="AD497" i="1"/>
  <c r="AJ525" i="1"/>
  <c r="AL525" i="1"/>
  <c r="AN476" i="1"/>
  <c r="AN623" i="1" s="1"/>
  <c r="AH451" i="1"/>
  <c r="L451" i="1"/>
  <c r="L598" i="1" s="1"/>
  <c r="J466" i="1"/>
  <c r="J613" i="1" s="1"/>
  <c r="AA464" i="1"/>
  <c r="V264" i="1"/>
  <c r="AE451" i="1"/>
  <c r="AE598" i="1" s="1"/>
  <c r="AF448" i="1"/>
  <c r="AF595" i="1" s="1"/>
  <c r="C451" i="1"/>
  <c r="U362" i="1"/>
  <c r="U558" i="1" s="1"/>
  <c r="H466" i="1"/>
  <c r="H362" i="1"/>
  <c r="H558" i="1" s="1"/>
  <c r="W476" i="1"/>
  <c r="W623" i="1" s="1"/>
  <c r="AG500" i="1"/>
  <c r="Q362" i="1"/>
  <c r="Q558" i="1" s="1"/>
  <c r="AK264" i="1"/>
  <c r="AK509" i="1" s="1"/>
  <c r="L264" i="1"/>
  <c r="L509" i="1" s="1"/>
  <c r="AG264" i="1"/>
  <c r="AG509" i="1" s="1"/>
  <c r="F362" i="1"/>
  <c r="F558" i="1" s="1"/>
  <c r="AE264" i="1"/>
  <c r="AE509" i="1" s="1"/>
  <c r="U466" i="1"/>
  <c r="AH500" i="1"/>
  <c r="AH525" i="1"/>
  <c r="AH623" i="1" s="1"/>
  <c r="Y451" i="1"/>
  <c r="Y598" i="1" s="1"/>
  <c r="I264" i="1"/>
  <c r="AM264" i="1"/>
  <c r="V525" i="1"/>
  <c r="B264" i="1"/>
  <c r="B509" i="1" s="1"/>
  <c r="AL264" i="1"/>
  <c r="AL509" i="1" s="1"/>
  <c r="C362" i="1"/>
  <c r="C558" i="1" s="1"/>
  <c r="G264" i="1"/>
  <c r="G509" i="1" s="1"/>
  <c r="AC362" i="1"/>
  <c r="AC558" i="1" s="1"/>
  <c r="AH31" i="1"/>
  <c r="AG362" i="1"/>
  <c r="AG558" i="1" s="1"/>
  <c r="AO362" i="1"/>
  <c r="AO558" i="1" s="1"/>
  <c r="R362" i="1"/>
  <c r="R558" i="1" s="1"/>
  <c r="F451" i="1"/>
  <c r="F598" i="1" s="1"/>
  <c r="M264" i="1"/>
  <c r="M509" i="1" s="1"/>
  <c r="W264" i="1"/>
  <c r="W509" i="1" s="1"/>
  <c r="L476" i="1"/>
  <c r="C264" i="1"/>
  <c r="G362" i="1"/>
  <c r="G558" i="1" s="1"/>
  <c r="J264" i="1"/>
  <c r="J509" i="1" s="1"/>
  <c r="N362" i="1"/>
  <c r="N558" i="1" s="1"/>
  <c r="G444" i="1"/>
  <c r="AA264" i="1"/>
  <c r="AA509" i="1" s="1"/>
  <c r="AF525" i="1"/>
  <c r="K515" i="1"/>
  <c r="J476" i="1"/>
  <c r="J623" i="1" s="1"/>
  <c r="AL362" i="1"/>
  <c r="AL558" i="1" s="1"/>
  <c r="AB362" i="1"/>
  <c r="AB558" i="1" s="1"/>
  <c r="E362" i="1"/>
  <c r="E558" i="1" s="1"/>
  <c r="P264" i="1"/>
  <c r="P509" i="1" s="1"/>
  <c r="C500" i="1"/>
  <c r="AO500" i="1"/>
  <c r="L464" i="1"/>
  <c r="L611" i="1" s="1"/>
  <c r="E476" i="1"/>
  <c r="E623" i="1" s="1"/>
  <c r="AN500" i="1"/>
  <c r="K362" i="1"/>
  <c r="K558" i="1" s="1"/>
  <c r="AB264" i="1"/>
  <c r="AB509" i="1" s="1"/>
  <c r="AN362" i="1"/>
  <c r="AN558" i="1" s="1"/>
  <c r="AA466" i="1"/>
  <c r="AA613" i="1" s="1"/>
  <c r="AA362" i="1"/>
  <c r="AA558" i="1" s="1"/>
  <c r="O264" i="1"/>
  <c r="O509" i="1" s="1"/>
  <c r="T264" i="1"/>
  <c r="T509" i="1" s="1"/>
  <c r="AM362" i="1"/>
  <c r="AM558" i="1" s="1"/>
  <c r="D362" i="1"/>
  <c r="D558" i="1" s="1"/>
  <c r="U476" i="1"/>
  <c r="K451" i="1"/>
  <c r="O476" i="1"/>
  <c r="AM525" i="1"/>
  <c r="AH515" i="1"/>
  <c r="U515" i="1"/>
  <c r="AG476" i="1"/>
  <c r="AG623" i="1" s="1"/>
  <c r="Z362" i="1"/>
  <c r="Z558" i="1" s="1"/>
  <c r="AF466" i="1"/>
  <c r="AJ264" i="1"/>
  <c r="AI362" i="1"/>
  <c r="AI558" i="1" s="1"/>
  <c r="AF264" i="1"/>
  <c r="AF509" i="1" s="1"/>
  <c r="K476" i="1"/>
  <c r="I466" i="1"/>
  <c r="I613" i="1" s="1"/>
  <c r="AC465" i="1"/>
  <c r="AK362" i="1"/>
  <c r="AK558" i="1" s="1"/>
  <c r="AE362" i="1"/>
  <c r="AE558" i="1" s="1"/>
  <c r="K264" i="1"/>
  <c r="K509" i="1" s="1"/>
  <c r="AH442" i="1"/>
  <c r="Q476" i="1"/>
  <c r="AO466" i="1"/>
  <c r="AO613" i="1" s="1"/>
  <c r="V464" i="1"/>
  <c r="V611" i="1" s="1"/>
  <c r="Y362" i="1"/>
  <c r="Y558" i="1" s="1"/>
  <c r="L448" i="1"/>
  <c r="AN264" i="1"/>
  <c r="AN509" i="1" s="1"/>
  <c r="AF465" i="1"/>
  <c r="AD362" i="1"/>
  <c r="AD558" i="1" s="1"/>
  <c r="AK442" i="1"/>
  <c r="AK589" i="1" s="1"/>
  <c r="AA500" i="1"/>
  <c r="AH493" i="1"/>
  <c r="AF497" i="1"/>
  <c r="AM466" i="1"/>
  <c r="W466" i="1"/>
  <c r="W613" i="1" s="1"/>
  <c r="N466" i="1"/>
  <c r="AF362" i="1"/>
  <c r="AF558" i="1" s="1"/>
  <c r="AA476" i="1"/>
  <c r="AA623" i="1" s="1"/>
  <c r="J362" i="1"/>
  <c r="J558" i="1" s="1"/>
  <c r="AC514" i="1"/>
  <c r="AC476" i="1"/>
  <c r="AC623" i="1" s="1"/>
  <c r="AI464" i="1"/>
  <c r="T476" i="1"/>
  <c r="T623" i="1" s="1"/>
  <c r="AB442" i="1"/>
  <c r="AB589" i="1" s="1"/>
  <c r="K525" i="1"/>
  <c r="AH491" i="1"/>
  <c r="G476" i="1"/>
  <c r="G623" i="1" s="1"/>
  <c r="E442" i="1"/>
  <c r="E589" i="1" s="1"/>
  <c r="AL448" i="1"/>
  <c r="AL595" i="1" s="1"/>
  <c r="AF515" i="1"/>
  <c r="M448" i="1"/>
  <c r="M595" i="1" s="1"/>
  <c r="O525" i="1"/>
  <c r="AM515" i="1"/>
  <c r="D476" i="1"/>
  <c r="D623" i="1" s="1"/>
  <c r="AG466" i="1"/>
  <c r="AL466" i="1"/>
  <c r="AL613" i="1" s="1"/>
  <c r="P465" i="1"/>
  <c r="K500" i="1"/>
  <c r="T466" i="1"/>
  <c r="T613" i="1" s="1"/>
  <c r="F476" i="1"/>
  <c r="F623" i="1" s="1"/>
  <c r="AF514" i="1"/>
  <c r="E497" i="1"/>
  <c r="AD442" i="1"/>
  <c r="X448" i="1"/>
  <c r="X595" i="1" s="1"/>
  <c r="T451" i="1"/>
  <c r="T598" i="1" s="1"/>
  <c r="Q525" i="1"/>
  <c r="AI476" i="1"/>
  <c r="AI623" i="1" s="1"/>
  <c r="D466" i="1"/>
  <c r="D613" i="1" s="1"/>
  <c r="K442" i="1"/>
  <c r="AG515" i="1"/>
  <c r="K444" i="1"/>
  <c r="K591" i="1" s="1"/>
  <c r="AE442" i="1"/>
  <c r="AE589" i="1" s="1"/>
  <c r="Q444" i="1"/>
  <c r="AB466" i="1"/>
  <c r="F465" i="1"/>
  <c r="F612" i="1" s="1"/>
  <c r="Q448" i="1"/>
  <c r="Q595" i="1" s="1"/>
  <c r="K448" i="1"/>
  <c r="K595" i="1" s="1"/>
  <c r="N515" i="1"/>
  <c r="AA513" i="1"/>
  <c r="AI513" i="1"/>
  <c r="AO448" i="1"/>
  <c r="AO595" i="1" s="1"/>
  <c r="AD525" i="1"/>
  <c r="AE448" i="1"/>
  <c r="AE595" i="1" s="1"/>
  <c r="AF442" i="1"/>
  <c r="L497" i="1"/>
  <c r="J464" i="1"/>
  <c r="J611" i="1" s="1"/>
  <c r="Z442" i="1"/>
  <c r="Z589" i="1" s="1"/>
  <c r="C444" i="1"/>
  <c r="C591" i="1" s="1"/>
  <c r="I476" i="1"/>
  <c r="I623" i="1" s="1"/>
  <c r="E515" i="1"/>
  <c r="J497" i="1"/>
  <c r="I451" i="1"/>
  <c r="I598" i="1" s="1"/>
  <c r="U525" i="1"/>
  <c r="AG442" i="1"/>
  <c r="R442" i="1"/>
  <c r="R589" i="1" s="1"/>
  <c r="B362" i="1"/>
  <c r="B558" i="1" s="1"/>
  <c r="AH32" i="1"/>
  <c r="X264" i="1"/>
  <c r="X509" i="1" s="1"/>
  <c r="M362" i="1"/>
  <c r="M558" i="1" s="1"/>
  <c r="U264" i="1"/>
  <c r="U509" i="1" s="1"/>
  <c r="D264" i="1"/>
  <c r="D509" i="1" s="1"/>
  <c r="AJ362" i="1"/>
  <c r="AJ558" i="1" s="1"/>
  <c r="Y264" i="1"/>
  <c r="P362" i="1"/>
  <c r="AL442" i="1"/>
  <c r="AL589" i="1" s="1"/>
  <c r="AE444" i="1"/>
  <c r="AE591" i="1" s="1"/>
  <c r="AC451" i="1"/>
  <c r="AC598" i="1" s="1"/>
  <c r="U442" i="1"/>
  <c r="AI264" i="1"/>
  <c r="AI509" i="1" s="1"/>
  <c r="AE476" i="1"/>
  <c r="AE623" i="1" s="1"/>
  <c r="S509" i="1"/>
  <c r="C466" i="1"/>
  <c r="C613" i="1" s="1"/>
  <c r="D448" i="1"/>
  <c r="D595" i="1" s="1"/>
  <c r="P466" i="1"/>
  <c r="S442" i="1"/>
  <c r="S589" i="1" s="1"/>
  <c r="Z466" i="1"/>
  <c r="Z613" i="1" s="1"/>
  <c r="D444" i="1"/>
  <c r="D591" i="1" s="1"/>
  <c r="U444" i="1"/>
  <c r="U591" i="1" s="1"/>
  <c r="AJ466" i="1"/>
  <c r="AJ613" i="1" s="1"/>
  <c r="AG32" i="1"/>
  <c r="AH465" i="1"/>
  <c r="AH612" i="1" s="1"/>
  <c r="AG444" i="1"/>
  <c r="R448" i="1"/>
  <c r="AI444" i="1"/>
  <c r="AI591" i="1" s="1"/>
  <c r="B444" i="1"/>
  <c r="B591" i="1" s="1"/>
  <c r="V465" i="1"/>
  <c r="V612" i="1" s="1"/>
  <c r="Z448" i="1"/>
  <c r="Z595" i="1" s="1"/>
  <c r="Q493" i="1"/>
  <c r="AC466" i="1"/>
  <c r="P603" i="1"/>
  <c r="U465" i="1"/>
  <c r="U612" i="1" s="1"/>
  <c r="AF491" i="1"/>
  <c r="S476" i="1"/>
  <c r="S623" i="1" s="1"/>
  <c r="Y515" i="1"/>
  <c r="AJ444" i="1"/>
  <c r="M465" i="1"/>
  <c r="M612" i="1" s="1"/>
  <c r="AD451" i="1"/>
  <c r="AD598" i="1" s="1"/>
  <c r="AM464" i="1"/>
  <c r="AB515" i="1"/>
  <c r="AL465" i="1"/>
  <c r="Q465" i="1"/>
  <c r="H448" i="1"/>
  <c r="Q514" i="1"/>
  <c r="Q612" i="1" s="1"/>
  <c r="R497" i="1"/>
  <c r="AE464" i="1"/>
  <c r="AI466" i="1"/>
  <c r="AI613" i="1" s="1"/>
  <c r="W603" i="1"/>
  <c r="AL514" i="1"/>
  <c r="V442" i="1"/>
  <c r="AM442" i="1"/>
  <c r="AM589" i="1" s="1"/>
  <c r="G493" i="1"/>
  <c r="T448" i="1"/>
  <c r="T595" i="1" s="1"/>
  <c r="I600" i="1"/>
  <c r="M442" i="1"/>
  <c r="M589" i="1" s="1"/>
  <c r="H515" i="1"/>
  <c r="O448" i="1"/>
  <c r="O595" i="1" s="1"/>
  <c r="AB465" i="1"/>
  <c r="AB612" i="1" s="1"/>
  <c r="P497" i="1"/>
  <c r="P595" i="1" s="1"/>
  <c r="Q442" i="1"/>
  <c r="AH464" i="1"/>
  <c r="AA442" i="1"/>
  <c r="AA589" i="1" s="1"/>
  <c r="AN497" i="1"/>
  <c r="AK466" i="1"/>
  <c r="F444" i="1"/>
  <c r="F591" i="1" s="1"/>
  <c r="AD493" i="1"/>
  <c r="Y444" i="1"/>
  <c r="Y591" i="1" s="1"/>
  <c r="D514" i="1"/>
  <c r="S444" i="1"/>
  <c r="S591" i="1" s="1"/>
  <c r="AC515" i="1"/>
  <c r="AD491" i="1"/>
  <c r="AI442" i="1"/>
  <c r="F442" i="1"/>
  <c r="F589" i="1" s="1"/>
  <c r="AA444" i="1"/>
  <c r="AA591" i="1" s="1"/>
  <c r="H497" i="1"/>
  <c r="AE465" i="1"/>
  <c r="AE612" i="1" s="1"/>
  <c r="G466" i="1"/>
  <c r="G613" i="1" s="1"/>
  <c r="V466" i="1"/>
  <c r="V613" i="1" s="1"/>
  <c r="Y448" i="1"/>
  <c r="Y595" i="1" s="1"/>
  <c r="AE466" i="1"/>
  <c r="AE613" i="1" s="1"/>
  <c r="Y465" i="1"/>
  <c r="Y612" i="1" s="1"/>
  <c r="AG493" i="1"/>
  <c r="L465" i="1"/>
  <c r="L612" i="1" s="1"/>
  <c r="AC448" i="1"/>
  <c r="AC595" i="1" s="1"/>
  <c r="AL444" i="1"/>
  <c r="AK465" i="1"/>
  <c r="AK612" i="1" s="1"/>
  <c r="J465" i="1"/>
  <c r="J612" i="1" s="1"/>
  <c r="T444" i="1"/>
  <c r="O597" i="1"/>
  <c r="I448" i="1"/>
  <c r="I595" i="1" s="1"/>
  <c r="AM465" i="1"/>
  <c r="AM612" i="1" s="1"/>
  <c r="U600" i="1"/>
  <c r="O442" i="1"/>
  <c r="O589" i="1" s="1"/>
  <c r="AG491" i="1"/>
  <c r="AC444" i="1"/>
  <c r="AC591" i="1" s="1"/>
  <c r="F605" i="1"/>
  <c r="AN594" i="1"/>
  <c r="S466" i="1"/>
  <c r="S613" i="1" s="1"/>
  <c r="U491" i="1"/>
  <c r="AH513" i="1"/>
  <c r="E444" i="1"/>
  <c r="E591" i="1" s="1"/>
  <c r="W448" i="1"/>
  <c r="W595" i="1" s="1"/>
  <c r="P515" i="1"/>
  <c r="N444" i="1"/>
  <c r="M444" i="1"/>
  <c r="M591" i="1" s="1"/>
  <c r="V448" i="1"/>
  <c r="V595" i="1" s="1"/>
  <c r="AB448" i="1"/>
  <c r="AB595" i="1" s="1"/>
  <c r="X466" i="1"/>
  <c r="X613" i="1" s="1"/>
  <c r="AJ464" i="1"/>
  <c r="AJ611" i="1" s="1"/>
  <c r="AM448" i="1"/>
  <c r="AM595" i="1" s="1"/>
  <c r="AN466" i="1"/>
  <c r="AN613" i="1" s="1"/>
  <c r="AL493" i="1"/>
  <c r="W465" i="1"/>
  <c r="AK448" i="1"/>
  <c r="I464" i="1"/>
  <c r="F448" i="1"/>
  <c r="F595" i="1" s="1"/>
  <c r="V444" i="1"/>
  <c r="Q491" i="1"/>
  <c r="AF493" i="1"/>
  <c r="AF591" i="1" s="1"/>
  <c r="C448" i="1"/>
  <c r="C595" i="1" s="1"/>
  <c r="S448" i="1"/>
  <c r="S595" i="1" s="1"/>
  <c r="G497" i="1"/>
  <c r="G595" i="1" s="1"/>
  <c r="Z465" i="1"/>
  <c r="Z612" i="1" s="1"/>
  <c r="W442" i="1"/>
  <c r="W589" i="1" s="1"/>
  <c r="AC464" i="1"/>
  <c r="R466" i="1"/>
  <c r="R613" i="1" s="1"/>
  <c r="AK515" i="1"/>
  <c r="AI491" i="1"/>
  <c r="H444" i="1"/>
  <c r="H591" i="1" s="1"/>
  <c r="Q515" i="1"/>
  <c r="N442" i="1"/>
  <c r="N589" i="1" s="1"/>
  <c r="G464" i="1"/>
  <c r="G611" i="1" s="1"/>
  <c r="L444" i="1"/>
  <c r="AK464" i="1"/>
  <c r="AK611" i="1" s="1"/>
  <c r="AK444" i="1"/>
  <c r="AK591" i="1" s="1"/>
  <c r="F464" i="1"/>
  <c r="F611" i="1" s="1"/>
  <c r="AM444" i="1"/>
  <c r="AM591" i="1" s="1"/>
  <c r="R444" i="1"/>
  <c r="R591" i="1" s="1"/>
  <c r="N465" i="1"/>
  <c r="N612" i="1" s="1"/>
  <c r="AC513" i="1"/>
  <c r="C442" i="1"/>
  <c r="C589" i="1" s="1"/>
  <c r="AH448" i="1"/>
  <c r="AH595" i="1" s="1"/>
  <c r="W444" i="1"/>
  <c r="W591" i="1" s="1"/>
  <c r="H442" i="1"/>
  <c r="H589" i="1" s="1"/>
  <c r="AU31" i="1"/>
  <c r="I444" i="1"/>
  <c r="I591" i="1" s="1"/>
  <c r="N464" i="1"/>
  <c r="N611" i="1" s="1"/>
  <c r="O444" i="1"/>
  <c r="O591" i="1" s="1"/>
  <c r="S605" i="1"/>
  <c r="AJ493" i="1"/>
  <c r="U448" i="1"/>
  <c r="U595" i="1" s="1"/>
  <c r="AJ442" i="1"/>
  <c r="X444" i="1"/>
  <c r="X591" i="1" s="1"/>
  <c r="K465" i="1"/>
  <c r="B448" i="1"/>
  <c r="B595" i="1" s="1"/>
  <c r="P444" i="1"/>
  <c r="P591" i="1" s="1"/>
  <c r="T493" i="1"/>
  <c r="J444" i="1"/>
  <c r="J591" i="1" s="1"/>
  <c r="P442" i="1"/>
  <c r="P589" i="1" s="1"/>
  <c r="V621" i="1"/>
  <c r="F594" i="1"/>
  <c r="I442" i="1"/>
  <c r="I589" i="1" s="1"/>
  <c r="B466" i="1"/>
  <c r="B613" i="1" s="1"/>
  <c r="L493" i="1"/>
  <c r="M493" i="1"/>
  <c r="Y464" i="1"/>
  <c r="Y611" i="1" s="1"/>
  <c r="X464" i="1"/>
  <c r="X611" i="1" s="1"/>
  <c r="P464" i="1"/>
  <c r="P611" i="1" s="1"/>
  <c r="N493" i="1"/>
  <c r="AO444" i="1"/>
  <c r="AO591" i="1" s="1"/>
  <c r="P514" i="1"/>
  <c r="U245" i="1"/>
  <c r="AM245" i="1"/>
  <c r="AK343" i="1"/>
  <c r="AK539" i="1" s="1"/>
  <c r="V245" i="1"/>
  <c r="C343" i="1"/>
  <c r="C539" i="1" s="1"/>
  <c r="W245" i="1"/>
  <c r="V343" i="1"/>
  <c r="V539" i="1" s="1"/>
  <c r="AM343" i="1"/>
  <c r="AM539" i="1" s="1"/>
  <c r="O245" i="1"/>
  <c r="N343" i="1"/>
  <c r="N539" i="1" s="1"/>
  <c r="L245" i="1"/>
  <c r="R343" i="1"/>
  <c r="R539" i="1" s="1"/>
  <c r="AE245" i="1"/>
  <c r="AN343" i="1"/>
  <c r="AN539" i="1" s="1"/>
  <c r="K245" i="1"/>
  <c r="Z245" i="1"/>
  <c r="M343" i="1"/>
  <c r="M539" i="1" s="1"/>
  <c r="B343" i="1"/>
  <c r="B539" i="1" s="1"/>
  <c r="AL343" i="1"/>
  <c r="AL539" i="1" s="1"/>
  <c r="AI343" i="1"/>
  <c r="AI539" i="1" s="1"/>
  <c r="O31" i="1"/>
  <c r="AF245" i="1"/>
  <c r="H343" i="1"/>
  <c r="H539" i="1" s="1"/>
  <c r="P245" i="1"/>
  <c r="Y245" i="1"/>
  <c r="Q245" i="1"/>
  <c r="S245" i="1"/>
  <c r="AG245" i="1"/>
  <c r="D343" i="1"/>
  <c r="D539" i="1" s="1"/>
  <c r="G245" i="1"/>
  <c r="P343" i="1"/>
  <c r="P539" i="1" s="1"/>
  <c r="O343" i="1"/>
  <c r="O539" i="1" s="1"/>
  <c r="E343" i="1"/>
  <c r="E539" i="1" s="1"/>
  <c r="AO343" i="1"/>
  <c r="AO539" i="1" s="1"/>
  <c r="AI245" i="1"/>
  <c r="G343" i="1"/>
  <c r="G539" i="1" s="1"/>
  <c r="AH245" i="1"/>
  <c r="Q343" i="1"/>
  <c r="Q539" i="1" s="1"/>
  <c r="J343" i="1"/>
  <c r="J539" i="1" s="1"/>
  <c r="C245" i="1"/>
  <c r="D245" i="1"/>
  <c r="L343" i="1"/>
  <c r="L539" i="1" s="1"/>
  <c r="AA245" i="1"/>
  <c r="AK245" i="1"/>
  <c r="AA343" i="1"/>
  <c r="AA539" i="1" s="1"/>
  <c r="W343" i="1"/>
  <c r="W539" i="1" s="1"/>
  <c r="F343" i="1"/>
  <c r="F539" i="1" s="1"/>
  <c r="AB343" i="1"/>
  <c r="AB539" i="1" s="1"/>
  <c r="X343" i="1"/>
  <c r="X539" i="1" s="1"/>
  <c r="R245" i="1"/>
  <c r="AF343" i="1"/>
  <c r="AF539" i="1" s="1"/>
  <c r="AC343" i="1"/>
  <c r="AC539" i="1" s="1"/>
  <c r="Y343" i="1"/>
  <c r="Y539" i="1" s="1"/>
  <c r="F245" i="1"/>
  <c r="AB245" i="1"/>
  <c r="E245" i="1"/>
  <c r="AD343" i="1"/>
  <c r="AD539" i="1" s="1"/>
  <c r="M245" i="1"/>
  <c r="AO245" i="1"/>
  <c r="B245" i="1"/>
  <c r="AC245" i="1"/>
  <c r="O32" i="1"/>
  <c r="T245" i="1"/>
  <c r="AE343" i="1"/>
  <c r="AE539" i="1" s="1"/>
  <c r="AD245" i="1"/>
  <c r="I343" i="1"/>
  <c r="I539" i="1" s="1"/>
  <c r="AJ343" i="1"/>
  <c r="AJ539" i="1" s="1"/>
  <c r="AJ245" i="1"/>
  <c r="I245" i="1"/>
  <c r="AG343" i="1"/>
  <c r="AG539" i="1" s="1"/>
  <c r="S343" i="1"/>
  <c r="S539" i="1" s="1"/>
  <c r="K343" i="1"/>
  <c r="K539" i="1" s="1"/>
  <c r="J245" i="1"/>
  <c r="N245" i="1"/>
  <c r="X245" i="1"/>
  <c r="H245" i="1"/>
  <c r="T343" i="1"/>
  <c r="T539" i="1" s="1"/>
  <c r="AH343" i="1"/>
  <c r="AH539" i="1" s="1"/>
  <c r="Z343" i="1"/>
  <c r="Z539" i="1" s="1"/>
  <c r="AN245" i="1"/>
  <c r="U343" i="1"/>
  <c r="U539" i="1" s="1"/>
  <c r="AL245" i="1"/>
  <c r="Z444" i="1"/>
  <c r="Z591" i="1" s="1"/>
  <c r="W605" i="1"/>
  <c r="O464" i="1"/>
  <c r="O611" i="1" s="1"/>
  <c r="X442" i="1"/>
  <c r="X589" i="1" s="1"/>
  <c r="AK497" i="1"/>
  <c r="V493" i="1"/>
  <c r="AN444" i="1"/>
  <c r="AN591" i="1" s="1"/>
  <c r="J442" i="1"/>
  <c r="J589" i="1" s="1"/>
  <c r="S465" i="1"/>
  <c r="W464" i="1"/>
  <c r="W611" i="1" s="1"/>
  <c r="M464" i="1"/>
  <c r="M611" i="1" s="1"/>
  <c r="S621" i="1"/>
  <c r="AN597" i="1"/>
  <c r="AA597" i="1"/>
  <c r="AO442" i="1"/>
  <c r="AO589" i="1" s="1"/>
  <c r="K514" i="1"/>
  <c r="S464" i="1"/>
  <c r="S611" i="1" s="1"/>
  <c r="AD603" i="1"/>
  <c r="F600" i="1"/>
  <c r="L491" i="1"/>
  <c r="N594" i="1"/>
  <c r="AL621" i="1"/>
  <c r="T614" i="1"/>
  <c r="D464" i="1"/>
  <c r="AJ491" i="1"/>
  <c r="AG464" i="1"/>
  <c r="AG611" i="1" s="1"/>
  <c r="G465" i="1"/>
  <c r="G612" i="1" s="1"/>
  <c r="E464" i="1"/>
  <c r="E611" i="1" s="1"/>
  <c r="AG605" i="1"/>
  <c r="AG514" i="1"/>
  <c r="AC597" i="1"/>
  <c r="AO621" i="1"/>
  <c r="R464" i="1"/>
  <c r="R611" i="1" s="1"/>
  <c r="AN603" i="1"/>
  <c r="AA465" i="1"/>
  <c r="AA612" i="1" s="1"/>
  <c r="AC626" i="1"/>
  <c r="O598" i="1"/>
  <c r="U597" i="1"/>
  <c r="T464" i="1"/>
  <c r="T611" i="1" s="1"/>
  <c r="Q605" i="1"/>
  <c r="R614" i="1"/>
  <c r="J603" i="1"/>
  <c r="AN464" i="1"/>
  <c r="AN611" i="1" s="1"/>
  <c r="I465" i="1"/>
  <c r="I612" i="1" s="1"/>
  <c r="H464" i="1"/>
  <c r="S603" i="1"/>
  <c r="U614" i="1"/>
  <c r="X605" i="1"/>
  <c r="AL464" i="1"/>
  <c r="AI626" i="1"/>
  <c r="AB464" i="1"/>
  <c r="AB611" i="1" s="1"/>
  <c r="O465" i="1"/>
  <c r="O612" i="1" s="1"/>
  <c r="AE605" i="1"/>
  <c r="AN605" i="1"/>
  <c r="R605" i="1"/>
  <c r="O600" i="1"/>
  <c r="O594" i="1"/>
  <c r="AN465" i="1"/>
  <c r="AN612" i="1" s="1"/>
  <c r="D442" i="1"/>
  <c r="D589" i="1" s="1"/>
  <c r="AI465" i="1"/>
  <c r="AI612" i="1" s="1"/>
  <c r="V491" i="1"/>
  <c r="H513" i="1"/>
  <c r="AJ600" i="1"/>
  <c r="AA614" i="1"/>
  <c r="L616" i="1"/>
  <c r="R465" i="1"/>
  <c r="R612" i="1" s="1"/>
  <c r="AA600" i="1"/>
  <c r="R594" i="1"/>
  <c r="K464" i="1"/>
  <c r="K611" i="1" s="1"/>
  <c r="AL594" i="1"/>
  <c r="AF605" i="1"/>
  <c r="AJ603" i="1"/>
  <c r="AH600" i="1"/>
  <c r="AL605" i="1"/>
  <c r="Q614" i="1"/>
  <c r="T626" i="1"/>
  <c r="N597" i="1"/>
  <c r="T597" i="1"/>
  <c r="C616" i="1"/>
  <c r="C465" i="1"/>
  <c r="C612" i="1" s="1"/>
  <c r="M616" i="1"/>
  <c r="AI614" i="1"/>
  <c r="L614" i="1"/>
  <c r="I597" i="1"/>
  <c r="Q600" i="1"/>
  <c r="F616" i="1"/>
  <c r="E465" i="1"/>
  <c r="E612" i="1" s="1"/>
  <c r="AE603" i="1"/>
  <c r="C594" i="1"/>
  <c r="C603" i="1"/>
  <c r="U603" i="1"/>
  <c r="AA626" i="1"/>
  <c r="P594" i="1"/>
  <c r="X600" i="1"/>
  <c r="AI621" i="1"/>
  <c r="E594" i="1"/>
  <c r="W621" i="1"/>
  <c r="X465" i="1"/>
  <c r="X612" i="1" s="1"/>
  <c r="Y442" i="1"/>
  <c r="Y589" i="1" s="1"/>
  <c r="D513" i="1"/>
  <c r="AF621" i="1"/>
  <c r="K621" i="1"/>
  <c r="M623" i="1"/>
  <c r="S514" i="1"/>
  <c r="AN442" i="1"/>
  <c r="AN589" i="1" s="1"/>
  <c r="L626" i="1"/>
  <c r="M614" i="1"/>
  <c r="AD464" i="1"/>
  <c r="AD611" i="1" s="1"/>
  <c r="AO465" i="1"/>
  <c r="AO612" i="1" s="1"/>
  <c r="N621" i="1"/>
  <c r="B491" i="1"/>
  <c r="B589" i="1" s="1"/>
  <c r="AF464" i="1"/>
  <c r="AF611" i="1" s="1"/>
  <c r="Z464" i="1"/>
  <c r="Z611" i="1" s="1"/>
  <c r="Q464" i="1"/>
  <c r="Q611" i="1" s="1"/>
  <c r="W514" i="1"/>
  <c r="Z626" i="1"/>
  <c r="X621" i="1"/>
  <c r="G603" i="1"/>
  <c r="H600" i="1"/>
  <c r="V600" i="1"/>
  <c r="AK614" i="1"/>
  <c r="S600" i="1"/>
  <c r="AD597" i="1"/>
  <c r="O605" i="1"/>
  <c r="AB600" i="1"/>
  <c r="B600" i="1"/>
  <c r="Z600" i="1"/>
  <c r="M626" i="1"/>
  <c r="AH616" i="1"/>
  <c r="N595" i="1"/>
  <c r="D621" i="1"/>
  <c r="AM614" i="1"/>
  <c r="B598" i="1"/>
  <c r="AM513" i="1"/>
  <c r="H616" i="1"/>
  <c r="V616" i="1"/>
  <c r="AO605" i="1"/>
  <c r="D605" i="1"/>
  <c r="AN616" i="1"/>
  <c r="AH621" i="1"/>
  <c r="AM605" i="1"/>
  <c r="I513" i="1"/>
  <c r="J600" i="1"/>
  <c r="AJ594" i="1"/>
  <c r="AA621" i="1"/>
  <c r="B465" i="1"/>
  <c r="B612" i="1" s="1"/>
  <c r="N614" i="1"/>
  <c r="AL597" i="1"/>
  <c r="AL616" i="1"/>
  <c r="Y621" i="1"/>
  <c r="AK605" i="1"/>
  <c r="AA603" i="1"/>
  <c r="S616" i="1"/>
  <c r="V626" i="1"/>
  <c r="W594" i="1"/>
  <c r="AI605" i="1"/>
  <c r="E605" i="1"/>
  <c r="AF597" i="1"/>
  <c r="T465" i="1"/>
  <c r="T612" i="1" s="1"/>
  <c r="U464" i="1"/>
  <c r="U611" i="1" s="1"/>
  <c r="H614" i="1"/>
  <c r="H465" i="1"/>
  <c r="H612" i="1" s="1"/>
  <c r="O616" i="1"/>
  <c r="O621" i="1"/>
  <c r="AJ465" i="1"/>
  <c r="AJ612" i="1" s="1"/>
  <c r="T513" i="1"/>
  <c r="S594" i="1"/>
  <c r="K614" i="1"/>
  <c r="AJ605" i="1"/>
  <c r="Y616" i="1"/>
  <c r="P598" i="1"/>
  <c r="AK616" i="1"/>
  <c r="V603" i="1"/>
  <c r="AH603" i="1"/>
  <c r="Z616" i="1"/>
  <c r="AE621" i="1"/>
  <c r="G616" i="1"/>
  <c r="Y600" i="1"/>
  <c r="AB621" i="1"/>
  <c r="K600" i="1"/>
  <c r="AI603" i="1"/>
  <c r="B464" i="1"/>
  <c r="B611" i="1" s="1"/>
  <c r="AO464" i="1"/>
  <c r="AO611" i="1" s="1"/>
  <c r="F621" i="1"/>
  <c r="AE626" i="1"/>
  <c r="AF616" i="1"/>
  <c r="B621" i="1"/>
  <c r="P597" i="1"/>
  <c r="R598" i="1"/>
  <c r="AM594" i="1"/>
  <c r="AK594" i="1"/>
  <c r="AD626" i="1"/>
  <c r="AM603" i="1"/>
  <c r="AI594" i="1"/>
  <c r="L623" i="1"/>
  <c r="AK623" i="1"/>
  <c r="AO597" i="1"/>
  <c r="C614" i="1"/>
  <c r="AM600" i="1"/>
  <c r="AO616" i="1"/>
  <c r="W597" i="1"/>
  <c r="H605" i="1"/>
  <c r="W614" i="1"/>
  <c r="AK626" i="1"/>
  <c r="L594" i="1"/>
  <c r="R597" i="1"/>
  <c r="AB594" i="1"/>
  <c r="M605" i="1"/>
  <c r="AC621" i="1"/>
  <c r="AI597" i="1"/>
  <c r="AC614" i="1"/>
  <c r="D616" i="1"/>
  <c r="K605" i="1"/>
  <c r="G597" i="1"/>
  <c r="AE600" i="1"/>
  <c r="AL513" i="1"/>
  <c r="C464" i="1"/>
  <c r="C611" i="1" s="1"/>
  <c r="AD616" i="1"/>
  <c r="D614" i="1"/>
  <c r="AJ597" i="1"/>
  <c r="P616" i="1"/>
  <c r="N598" i="1"/>
  <c r="AN600" i="1"/>
  <c r="AD600" i="1"/>
  <c r="G605" i="1"/>
  <c r="AA616" i="1"/>
  <c r="I594" i="1"/>
  <c r="AJ626" i="1"/>
  <c r="AF594" i="1"/>
  <c r="T616" i="1"/>
  <c r="R603" i="1"/>
  <c r="AF603" i="1"/>
  <c r="E600" i="1"/>
  <c r="M600" i="1"/>
  <c r="H471" i="1"/>
  <c r="H520" i="1"/>
  <c r="AJ503" i="1"/>
  <c r="AJ454" i="1"/>
  <c r="W455" i="1"/>
  <c r="W504" i="1"/>
  <c r="AB597" i="1"/>
  <c r="AJ449" i="1"/>
  <c r="AJ498" i="1"/>
  <c r="H594" i="1"/>
  <c r="AH517" i="1"/>
  <c r="AH468" i="1"/>
  <c r="S478" i="1"/>
  <c r="S527" i="1"/>
  <c r="Q508" i="1"/>
  <c r="Q459" i="1"/>
  <c r="T472" i="1"/>
  <c r="T521" i="1"/>
  <c r="O440" i="1"/>
  <c r="O489" i="1"/>
  <c r="W440" i="1"/>
  <c r="W489" i="1"/>
  <c r="L468" i="1"/>
  <c r="L517" i="1"/>
  <c r="S519" i="1"/>
  <c r="S470" i="1"/>
  <c r="K470" i="1"/>
  <c r="K519" i="1"/>
  <c r="AN503" i="1"/>
  <c r="AN454" i="1"/>
  <c r="N446" i="1"/>
  <c r="N495" i="1"/>
  <c r="Q455" i="1"/>
  <c r="Q504" i="1"/>
  <c r="T455" i="1"/>
  <c r="T504" i="1"/>
  <c r="D478" i="1"/>
  <c r="D527" i="1"/>
  <c r="P443" i="1"/>
  <c r="P492" i="1"/>
  <c r="F443" i="1"/>
  <c r="F492" i="1"/>
  <c r="Z462" i="1"/>
  <c r="Z511" i="1"/>
  <c r="R511" i="1"/>
  <c r="R462" i="1"/>
  <c r="P462" i="1"/>
  <c r="P511" i="1"/>
  <c r="F471" i="1"/>
  <c r="F520" i="1"/>
  <c r="AJ445" i="1"/>
  <c r="AJ494" i="1"/>
  <c r="J510" i="1"/>
  <c r="J461" i="1"/>
  <c r="AG449" i="1"/>
  <c r="AG498" i="1"/>
  <c r="J449" i="1"/>
  <c r="J498" i="1"/>
  <c r="K449" i="1"/>
  <c r="K498" i="1"/>
  <c r="AK463" i="1"/>
  <c r="AK512" i="1"/>
  <c r="J463" i="1"/>
  <c r="J512" i="1"/>
  <c r="AJ512" i="1"/>
  <c r="AJ463" i="1"/>
  <c r="B512" i="1"/>
  <c r="B463" i="1"/>
  <c r="U459" i="1"/>
  <c r="U508" i="1"/>
  <c r="Z508" i="1"/>
  <c r="Z459" i="1"/>
  <c r="AB459" i="1"/>
  <c r="AB508" i="1"/>
  <c r="N452" i="1"/>
  <c r="N501" i="1"/>
  <c r="T501" i="1"/>
  <c r="T452" i="1"/>
  <c r="G472" i="1"/>
  <c r="G521" i="1"/>
  <c r="W521" i="1"/>
  <c r="W472" i="1"/>
  <c r="S521" i="1"/>
  <c r="S472" i="1"/>
  <c r="AH506" i="1"/>
  <c r="AH457" i="1"/>
  <c r="AA506" i="1"/>
  <c r="AA457" i="1"/>
  <c r="AO522" i="1"/>
  <c r="AO473" i="1"/>
  <c r="P522" i="1"/>
  <c r="P473" i="1"/>
  <c r="AC522" i="1"/>
  <c r="AC473" i="1"/>
  <c r="AD473" i="1"/>
  <c r="AD522" i="1"/>
  <c r="N524" i="1"/>
  <c r="N475" i="1"/>
  <c r="AK440" i="1"/>
  <c r="AK489" i="1"/>
  <c r="T468" i="1"/>
  <c r="T517" i="1"/>
  <c r="AD468" i="1"/>
  <c r="AD517" i="1"/>
  <c r="AN519" i="1"/>
  <c r="AN470" i="1"/>
  <c r="AL503" i="1"/>
  <c r="AL454" i="1"/>
  <c r="W454" i="1"/>
  <c r="W503" i="1"/>
  <c r="M446" i="1"/>
  <c r="M495" i="1"/>
  <c r="AI495" i="1"/>
  <c r="AI446" i="1"/>
  <c r="C597" i="1"/>
  <c r="U478" i="1"/>
  <c r="U527" i="1"/>
  <c r="AE478" i="1"/>
  <c r="AE527" i="1"/>
  <c r="Q616" i="1"/>
  <c r="L492" i="1"/>
  <c r="L443" i="1"/>
  <c r="AB492" i="1"/>
  <c r="AB443" i="1"/>
  <c r="AM626" i="1"/>
  <c r="O626" i="1"/>
  <c r="W626" i="1"/>
  <c r="AK621" i="1"/>
  <c r="AE462" i="1"/>
  <c r="AE511" i="1"/>
  <c r="AL462" i="1"/>
  <c r="AL511" i="1"/>
  <c r="X603" i="1"/>
  <c r="AJ616" i="1"/>
  <c r="K626" i="1"/>
  <c r="V594" i="1"/>
  <c r="M508" i="1"/>
  <c r="M459" i="1"/>
  <c r="E452" i="1"/>
  <c r="E501" i="1"/>
  <c r="R452" i="1"/>
  <c r="R501" i="1"/>
  <c r="Q472" i="1"/>
  <c r="Q521" i="1"/>
  <c r="M594" i="1"/>
  <c r="AG506" i="1"/>
  <c r="AG457" i="1"/>
  <c r="AL522" i="1"/>
  <c r="AL473" i="1"/>
  <c r="F473" i="1"/>
  <c r="F522" i="1"/>
  <c r="H524" i="1"/>
  <c r="H475" i="1"/>
  <c r="W475" i="1"/>
  <c r="W524" i="1"/>
  <c r="I524" i="1"/>
  <c r="I475" i="1"/>
  <c r="AG614" i="1"/>
  <c r="AE594" i="1"/>
  <c r="AE597" i="1"/>
  <c r="AK597" i="1"/>
  <c r="AM597" i="1"/>
  <c r="AA522" i="1"/>
  <c r="AA473" i="1"/>
  <c r="H598" i="1"/>
  <c r="D473" i="1"/>
  <c r="D522" i="1"/>
  <c r="AI440" i="1"/>
  <c r="AI489" i="1"/>
  <c r="AI454" i="1"/>
  <c r="AI503" i="1"/>
  <c r="D626" i="1"/>
  <c r="F614" i="1"/>
  <c r="D603" i="1"/>
  <c r="AH449" i="1"/>
  <c r="AH498" i="1"/>
  <c r="G501" i="1"/>
  <c r="G452" i="1"/>
  <c r="P472" i="1"/>
  <c r="P521" i="1"/>
  <c r="S597" i="1"/>
  <c r="M478" i="1"/>
  <c r="M527" i="1"/>
  <c r="AI492" i="1"/>
  <c r="AI443" i="1"/>
  <c r="AH492" i="1"/>
  <c r="AH443" i="1"/>
  <c r="I462" i="1"/>
  <c r="I511" i="1"/>
  <c r="V511" i="1"/>
  <c r="V462" i="1"/>
  <c r="AD494" i="1"/>
  <c r="AD445" i="1"/>
  <c r="R445" i="1"/>
  <c r="R494" i="1"/>
  <c r="I461" i="1"/>
  <c r="I510" i="1"/>
  <c r="E449" i="1"/>
  <c r="E498" i="1"/>
  <c r="F463" i="1"/>
  <c r="F512" i="1"/>
  <c r="AC463" i="1"/>
  <c r="AC512" i="1"/>
  <c r="E459" i="1"/>
  <c r="E508" i="1"/>
  <c r="AC459" i="1"/>
  <c r="AC508" i="1"/>
  <c r="W452" i="1"/>
  <c r="W501" i="1"/>
  <c r="V452" i="1"/>
  <c r="V501" i="1"/>
  <c r="O472" i="1"/>
  <c r="O521" i="1"/>
  <c r="Y457" i="1"/>
  <c r="Y506" i="1"/>
  <c r="L457" i="1"/>
  <c r="L506" i="1"/>
  <c r="K522" i="1"/>
  <c r="K473" i="1"/>
  <c r="C475" i="1"/>
  <c r="C524" i="1"/>
  <c r="AI524" i="1"/>
  <c r="AI475" i="1"/>
  <c r="AJ524" i="1"/>
  <c r="AJ475" i="1"/>
  <c r="S468" i="1"/>
  <c r="S517" i="1"/>
  <c r="AH605" i="1"/>
  <c r="AA594" i="1"/>
  <c r="AM440" i="1"/>
  <c r="AM489" i="1"/>
  <c r="O468" i="1"/>
  <c r="O517" i="1"/>
  <c r="AM470" i="1"/>
  <c r="AM519" i="1"/>
  <c r="AG454" i="1"/>
  <c r="AG503" i="1"/>
  <c r="V605" i="1"/>
  <c r="AB478" i="1"/>
  <c r="AB527" i="1"/>
  <c r="Q603" i="1"/>
  <c r="AN621" i="1"/>
  <c r="E489" i="1"/>
  <c r="E440" i="1"/>
  <c r="P503" i="1"/>
  <c r="P454" i="1"/>
  <c r="Z446" i="1"/>
  <c r="Z495" i="1"/>
  <c r="AC594" i="1"/>
  <c r="AK519" i="1"/>
  <c r="AK470" i="1"/>
  <c r="V478" i="1"/>
  <c r="V527" i="1"/>
  <c r="N626" i="1"/>
  <c r="X443" i="1"/>
  <c r="X492" i="1"/>
  <c r="V492" i="1"/>
  <c r="V443" i="1"/>
  <c r="Z443" i="1"/>
  <c r="Z492" i="1"/>
  <c r="X597" i="1"/>
  <c r="B594" i="1"/>
  <c r="J626" i="1"/>
  <c r="AO462" i="1"/>
  <c r="AO511" i="1"/>
  <c r="J597" i="1"/>
  <c r="I603" i="1"/>
  <c r="B626" i="1"/>
  <c r="AC603" i="1"/>
  <c r="P494" i="1"/>
  <c r="P445" i="1"/>
  <c r="B510" i="1"/>
  <c r="B461" i="1"/>
  <c r="U461" i="1"/>
  <c r="U510" i="1"/>
  <c r="AF449" i="1"/>
  <c r="AF498" i="1"/>
  <c r="P605" i="1"/>
  <c r="AB603" i="1"/>
  <c r="E512" i="1"/>
  <c r="E463" i="1"/>
  <c r="X463" i="1"/>
  <c r="X512" i="1"/>
  <c r="G626" i="1"/>
  <c r="U452" i="1"/>
  <c r="U501" i="1"/>
  <c r="L452" i="1"/>
  <c r="L501" i="1"/>
  <c r="AF501" i="1"/>
  <c r="AF452" i="1"/>
  <c r="N605" i="1"/>
  <c r="K521" i="1"/>
  <c r="K472" i="1"/>
  <c r="AJ614" i="1"/>
  <c r="P457" i="1"/>
  <c r="P506" i="1"/>
  <c r="AH473" i="1"/>
  <c r="AH522" i="1"/>
  <c r="J522" i="1"/>
  <c r="J473" i="1"/>
  <c r="Q475" i="1"/>
  <c r="Q524" i="1"/>
  <c r="F524" i="1"/>
  <c r="F475" i="1"/>
  <c r="E621" i="1"/>
  <c r="Q621" i="1"/>
  <c r="I626" i="1"/>
  <c r="AM621" i="1"/>
  <c r="E468" i="1"/>
  <c r="E517" i="1"/>
  <c r="P600" i="1"/>
  <c r="X616" i="1"/>
  <c r="AG495" i="1"/>
  <c r="AG446" i="1"/>
  <c r="AF512" i="1"/>
  <c r="AF463" i="1"/>
  <c r="T470" i="1"/>
  <c r="T519" i="1"/>
  <c r="C504" i="1"/>
  <c r="C455" i="1"/>
  <c r="AO492" i="1"/>
  <c r="AO443" i="1"/>
  <c r="Q511" i="1"/>
  <c r="Q462" i="1"/>
  <c r="AC605" i="1"/>
  <c r="X452" i="1"/>
  <c r="X501" i="1"/>
  <c r="M621" i="1"/>
  <c r="K468" i="1"/>
  <c r="K517" i="1"/>
  <c r="X478" i="1"/>
  <c r="X527" i="1"/>
  <c r="D597" i="1"/>
  <c r="AG440" i="1"/>
  <c r="AG489" i="1"/>
  <c r="G519" i="1"/>
  <c r="G470" i="1"/>
  <c r="O503" i="1"/>
  <c r="O454" i="1"/>
  <c r="AD454" i="1"/>
  <c r="AD503" i="1"/>
  <c r="V446" i="1"/>
  <c r="V495" i="1"/>
  <c r="O455" i="1"/>
  <c r="O504" i="1"/>
  <c r="AA517" i="1"/>
  <c r="AA468" i="1"/>
  <c r="M454" i="1"/>
  <c r="M503" i="1"/>
  <c r="AK454" i="1"/>
  <c r="AK503" i="1"/>
  <c r="K446" i="1"/>
  <c r="K495" i="1"/>
  <c r="AA455" i="1"/>
  <c r="AA504" i="1"/>
  <c r="AN455" i="1"/>
  <c r="AN504" i="1"/>
  <c r="L527" i="1"/>
  <c r="L478" i="1"/>
  <c r="T478" i="1"/>
  <c r="T527" i="1"/>
  <c r="U443" i="1"/>
  <c r="U492" i="1"/>
  <c r="W443" i="1"/>
  <c r="W492" i="1"/>
  <c r="G511" i="1"/>
  <c r="G462" i="1"/>
  <c r="E462" i="1"/>
  <c r="E511" i="1"/>
  <c r="K520" i="1"/>
  <c r="K471" i="1"/>
  <c r="AB445" i="1"/>
  <c r="AB494" i="1"/>
  <c r="AG494" i="1"/>
  <c r="AG445" i="1"/>
  <c r="G510" i="1"/>
  <c r="G461" i="1"/>
  <c r="S461" i="1"/>
  <c r="S510" i="1"/>
  <c r="H449" i="1"/>
  <c r="H498" i="1"/>
  <c r="Z614" i="1"/>
  <c r="C512" i="1"/>
  <c r="C463" i="1"/>
  <c r="AL463" i="1"/>
  <c r="AL512" i="1"/>
  <c r="V463" i="1"/>
  <c r="V512" i="1"/>
  <c r="B459" i="1"/>
  <c r="B508" i="1"/>
  <c r="AA459" i="1"/>
  <c r="AA508" i="1"/>
  <c r="O452" i="1"/>
  <c r="O501" i="1"/>
  <c r="C452" i="1"/>
  <c r="C501" i="1"/>
  <c r="H452" i="1"/>
  <c r="H501" i="1"/>
  <c r="AN472" i="1"/>
  <c r="AN521" i="1"/>
  <c r="M597" i="1"/>
  <c r="AM506" i="1"/>
  <c r="AM457" i="1"/>
  <c r="S457" i="1"/>
  <c r="S506" i="1"/>
  <c r="J457" i="1"/>
  <c r="J506" i="1"/>
  <c r="AM522" i="1"/>
  <c r="AM473" i="1"/>
  <c r="AB605" i="1"/>
  <c r="X521" i="1"/>
  <c r="X472" i="1"/>
  <c r="AG594" i="1"/>
  <c r="AC600" i="1"/>
  <c r="T461" i="1"/>
  <c r="T510" i="1"/>
  <c r="S446" i="1"/>
  <c r="S495" i="1"/>
  <c r="Y527" i="1"/>
  <c r="Y478" i="1"/>
  <c r="I445" i="1"/>
  <c r="I494" i="1"/>
  <c r="J459" i="1"/>
  <c r="J508" i="1"/>
  <c r="M457" i="1"/>
  <c r="M506" i="1"/>
  <c r="B457" i="1"/>
  <c r="B506" i="1"/>
  <c r="AF468" i="1"/>
  <c r="AF517" i="1"/>
  <c r="L600" i="1"/>
  <c r="AH495" i="1"/>
  <c r="AH446" i="1"/>
  <c r="P621" i="1"/>
  <c r="Q478" i="1"/>
  <c r="Q527" i="1"/>
  <c r="C600" i="1"/>
  <c r="L597" i="1"/>
  <c r="G600" i="1"/>
  <c r="AE611" i="1"/>
  <c r="B603" i="1"/>
  <c r="AM510" i="1"/>
  <c r="AM461" i="1"/>
  <c r="X461" i="1"/>
  <c r="X510" i="1"/>
  <c r="AI449" i="1"/>
  <c r="AI498" i="1"/>
  <c r="O603" i="1"/>
  <c r="U463" i="1"/>
  <c r="U512" i="1"/>
  <c r="H508" i="1"/>
  <c r="H459" i="1"/>
  <c r="O522" i="1"/>
  <c r="O473" i="1"/>
  <c r="AM616" i="1"/>
  <c r="R621" i="1"/>
  <c r="AL455" i="1"/>
  <c r="AL504" i="1"/>
  <c r="P478" i="1"/>
  <c r="P527" i="1"/>
  <c r="AE440" i="1"/>
  <c r="AE489" i="1"/>
  <c r="B489" i="1"/>
  <c r="B440" i="1"/>
  <c r="Z470" i="1"/>
  <c r="Z519" i="1"/>
  <c r="X594" i="1"/>
  <c r="AO489" i="1"/>
  <c r="AO440" i="1"/>
  <c r="C517" i="1"/>
  <c r="C468" i="1"/>
  <c r="K503" i="1"/>
  <c r="K454" i="1"/>
  <c r="AE454" i="1"/>
  <c r="AE503" i="1"/>
  <c r="AF600" i="1"/>
  <c r="J446" i="1"/>
  <c r="J495" i="1"/>
  <c r="AK455" i="1"/>
  <c r="AK504" i="1"/>
  <c r="M455" i="1"/>
  <c r="M504" i="1"/>
  <c r="K527" i="1"/>
  <c r="K478" i="1"/>
  <c r="AH626" i="1"/>
  <c r="I621" i="1"/>
  <c r="T443" i="1"/>
  <c r="T492" i="1"/>
  <c r="R443" i="1"/>
  <c r="R492" i="1"/>
  <c r="N600" i="1"/>
  <c r="H621" i="1"/>
  <c r="S614" i="1"/>
  <c r="AD614" i="1"/>
  <c r="I605" i="1"/>
  <c r="AO471" i="1"/>
  <c r="AO520" i="1"/>
  <c r="Z597" i="1"/>
  <c r="F445" i="1"/>
  <c r="F494" i="1"/>
  <c r="AJ510" i="1"/>
  <c r="AJ461" i="1"/>
  <c r="AF510" i="1"/>
  <c r="AF461" i="1"/>
  <c r="AK449" i="1"/>
  <c r="AK498" i="1"/>
  <c r="AD498" i="1"/>
  <c r="AD449" i="1"/>
  <c r="Z463" i="1"/>
  <c r="Z512" i="1"/>
  <c r="T463" i="1"/>
  <c r="T512" i="1"/>
  <c r="Y508" i="1"/>
  <c r="Y459" i="1"/>
  <c r="AK452" i="1"/>
  <c r="AK501" i="1"/>
  <c r="AD452" i="1"/>
  <c r="AD501" i="1"/>
  <c r="B472" i="1"/>
  <c r="B521" i="1"/>
  <c r="AC457" i="1"/>
  <c r="AC506" i="1"/>
  <c r="AO506" i="1"/>
  <c r="AO457" i="1"/>
  <c r="AK522" i="1"/>
  <c r="AK473" i="1"/>
  <c r="N440" i="1"/>
  <c r="N489" i="1"/>
  <c r="R503" i="1"/>
  <c r="R454" i="1"/>
  <c r="M492" i="1"/>
  <c r="M443" i="1"/>
  <c r="N462" i="1"/>
  <c r="N511" i="1"/>
  <c r="D457" i="1"/>
  <c r="D506" i="1"/>
  <c r="AN478" i="1"/>
  <c r="AN527" i="1"/>
  <c r="U626" i="1"/>
  <c r="AJ462" i="1"/>
  <c r="AJ511" i="1"/>
  <c r="AK600" i="1"/>
  <c r="K462" i="1"/>
  <c r="K511" i="1"/>
  <c r="AA461" i="1"/>
  <c r="AA510" i="1"/>
  <c r="R472" i="1"/>
  <c r="R521" i="1"/>
  <c r="AB506" i="1"/>
  <c r="AB457" i="1"/>
  <c r="M522" i="1"/>
  <c r="M473" i="1"/>
  <c r="Q594" i="1"/>
  <c r="AK598" i="1"/>
  <c r="E616" i="1"/>
  <c r="H597" i="1"/>
  <c r="E626" i="1"/>
  <c r="AG471" i="1"/>
  <c r="AG520" i="1"/>
  <c r="E445" i="1"/>
  <c r="E494" i="1"/>
  <c r="AO623" i="1"/>
  <c r="U605" i="1"/>
  <c r="R475" i="1"/>
  <c r="R524" i="1"/>
  <c r="S475" i="1"/>
  <c r="S524" i="1"/>
  <c r="C605" i="1"/>
  <c r="X626" i="1"/>
  <c r="AK517" i="1"/>
  <c r="AK468" i="1"/>
  <c r="N519" i="1"/>
  <c r="N470" i="1"/>
  <c r="R470" i="1"/>
  <c r="R519" i="1"/>
  <c r="B454" i="1"/>
  <c r="B503" i="1"/>
  <c r="V597" i="1"/>
  <c r="I468" i="1"/>
  <c r="I517" i="1"/>
  <c r="F468" i="1"/>
  <c r="F517" i="1"/>
  <c r="AG519" i="1"/>
  <c r="AG470" i="1"/>
  <c r="P519" i="1"/>
  <c r="P470" i="1"/>
  <c r="AO446" i="1"/>
  <c r="AO495" i="1"/>
  <c r="AB517" i="1"/>
  <c r="AB468" i="1"/>
  <c r="S489" i="1"/>
  <c r="S440" i="1"/>
  <c r="W470" i="1"/>
  <c r="W519" i="1"/>
  <c r="AF470" i="1"/>
  <c r="AF519" i="1"/>
  <c r="AM446" i="1"/>
  <c r="AM495" i="1"/>
  <c r="C621" i="1"/>
  <c r="R440" i="1"/>
  <c r="R489" i="1"/>
  <c r="Q440" i="1"/>
  <c r="Q489" i="1"/>
  <c r="Y468" i="1"/>
  <c r="Y517" i="1"/>
  <c r="Z517" i="1"/>
  <c r="Z468" i="1"/>
  <c r="AE470" i="1"/>
  <c r="AE519" i="1"/>
  <c r="O519" i="1"/>
  <c r="O470" i="1"/>
  <c r="H519" i="1"/>
  <c r="H470" i="1"/>
  <c r="N603" i="1"/>
  <c r="AC454" i="1"/>
  <c r="AC503" i="1"/>
  <c r="I446" i="1"/>
  <c r="I495" i="1"/>
  <c r="AE455" i="1"/>
  <c r="AE504" i="1"/>
  <c r="AO594" i="1"/>
  <c r="AM478" i="1"/>
  <c r="AM527" i="1"/>
  <c r="O478" i="1"/>
  <c r="O527" i="1"/>
  <c r="J527" i="1"/>
  <c r="J478" i="1"/>
  <c r="Y614" i="1"/>
  <c r="Y603" i="1"/>
  <c r="AB614" i="1"/>
  <c r="D511" i="1"/>
  <c r="D462" i="1"/>
  <c r="AO614" i="1"/>
  <c r="AC471" i="1"/>
  <c r="AC520" i="1"/>
  <c r="I471" i="1"/>
  <c r="I520" i="1"/>
  <c r="Y626" i="1"/>
  <c r="AA445" i="1"/>
  <c r="AA494" i="1"/>
  <c r="AE461" i="1"/>
  <c r="AE510" i="1"/>
  <c r="E461" i="1"/>
  <c r="E510" i="1"/>
  <c r="H510" i="1"/>
  <c r="H461" i="1"/>
  <c r="V498" i="1"/>
  <c r="V449" i="1"/>
  <c r="F449" i="1"/>
  <c r="F498" i="1"/>
  <c r="S512" i="1"/>
  <c r="S463" i="1"/>
  <c r="AJ452" i="1"/>
  <c r="AJ501" i="1"/>
  <c r="F452" i="1"/>
  <c r="F501" i="1"/>
  <c r="K594" i="1"/>
  <c r="R600" i="1"/>
  <c r="AK472" i="1"/>
  <c r="AK521" i="1"/>
  <c r="AK457" i="1"/>
  <c r="AK506" i="1"/>
  <c r="Q457" i="1"/>
  <c r="Q506" i="1"/>
  <c r="U457" i="1"/>
  <c r="U506" i="1"/>
  <c r="N457" i="1"/>
  <c r="N506" i="1"/>
  <c r="L522" i="1"/>
  <c r="L473" i="1"/>
  <c r="AI473" i="1"/>
  <c r="AI522" i="1"/>
  <c r="AG524" i="1"/>
  <c r="AG475" i="1"/>
  <c r="AM598" i="1"/>
  <c r="U475" i="1"/>
  <c r="U524" i="1"/>
  <c r="Y473" i="1"/>
  <c r="Y522" i="1"/>
  <c r="AG603" i="1"/>
  <c r="AM494" i="1"/>
  <c r="AM445" i="1"/>
  <c r="Z472" i="1"/>
  <c r="Z521" i="1"/>
  <c r="E457" i="1"/>
  <c r="E506" i="1"/>
  <c r="T457" i="1"/>
  <c r="T506" i="1"/>
  <c r="B475" i="1"/>
  <c r="B524" i="1"/>
  <c r="AG600" i="1"/>
  <c r="E475" i="1"/>
  <c r="E524" i="1"/>
  <c r="T446" i="1"/>
  <c r="T495" i="1"/>
  <c r="H489" i="1"/>
  <c r="H440" i="1"/>
  <c r="C626" i="1"/>
  <c r="AH440" i="1"/>
  <c r="AH489" i="1"/>
  <c r="B470" i="1"/>
  <c r="B519" i="1"/>
  <c r="Y454" i="1"/>
  <c r="Y503" i="1"/>
  <c r="AF454" i="1"/>
  <c r="AF503" i="1"/>
  <c r="AC495" i="1"/>
  <c r="AC446" i="1"/>
  <c r="R495" i="1"/>
  <c r="R446" i="1"/>
  <c r="S455" i="1"/>
  <c r="S504" i="1"/>
  <c r="L455" i="1"/>
  <c r="L504" i="1"/>
  <c r="V504" i="1"/>
  <c r="V455" i="1"/>
  <c r="F504" i="1"/>
  <c r="F455" i="1"/>
  <c r="W478" i="1"/>
  <c r="W527" i="1"/>
  <c r="C492" i="1"/>
  <c r="C443" i="1"/>
  <c r="K597" i="1"/>
  <c r="AC462" i="1"/>
  <c r="AC511" i="1"/>
  <c r="AB520" i="1"/>
  <c r="AB471" i="1"/>
  <c r="AD471" i="1"/>
  <c r="AD520" i="1"/>
  <c r="L494" i="1"/>
  <c r="L445" i="1"/>
  <c r="Z445" i="1"/>
  <c r="Z494" i="1"/>
  <c r="AC445" i="1"/>
  <c r="AC494" i="1"/>
  <c r="Y461" i="1"/>
  <c r="Y510" i="1"/>
  <c r="AH461" i="1"/>
  <c r="AH510" i="1"/>
  <c r="AB461" i="1"/>
  <c r="AB510" i="1"/>
  <c r="AM449" i="1"/>
  <c r="AM498" i="1"/>
  <c r="R449" i="1"/>
  <c r="R498" i="1"/>
  <c r="AA512" i="1"/>
  <c r="AA463" i="1"/>
  <c r="AH512" i="1"/>
  <c r="AH463" i="1"/>
  <c r="C459" i="1"/>
  <c r="C508" i="1"/>
  <c r="Z621" i="1"/>
  <c r="AM452" i="1"/>
  <c r="AM501" i="1"/>
  <c r="S501" i="1"/>
  <c r="S452" i="1"/>
  <c r="AG521" i="1"/>
  <c r="AG472" i="1"/>
  <c r="W457" i="1"/>
  <c r="W506" i="1"/>
  <c r="AC468" i="1"/>
  <c r="AC517" i="1"/>
  <c r="AF524" i="1"/>
  <c r="AF475" i="1"/>
  <c r="G473" i="1"/>
  <c r="G522" i="1"/>
  <c r="C454" i="1"/>
  <c r="C503" i="1"/>
  <c r="AL494" i="1"/>
  <c r="AL445" i="1"/>
  <c r="B494" i="1"/>
  <c r="B445" i="1"/>
  <c r="M461" i="1"/>
  <c r="M510" i="1"/>
  <c r="V461" i="1"/>
  <c r="V510" i="1"/>
  <c r="D461" i="1"/>
  <c r="D510" i="1"/>
  <c r="C449" i="1"/>
  <c r="C498" i="1"/>
  <c r="L449" i="1"/>
  <c r="L498" i="1"/>
  <c r="O508" i="1"/>
  <c r="O459" i="1"/>
  <c r="T459" i="1"/>
  <c r="T508" i="1"/>
  <c r="AC452" i="1"/>
  <c r="AC501" i="1"/>
  <c r="AO472" i="1"/>
  <c r="AO521" i="1"/>
  <c r="R457" i="1"/>
  <c r="R506" i="1"/>
  <c r="B473" i="1"/>
  <c r="B522" i="1"/>
  <c r="U473" i="1"/>
  <c r="U522" i="1"/>
  <c r="AH524" i="1"/>
  <c r="AH475" i="1"/>
  <c r="AA475" i="1"/>
  <c r="AA524" i="1"/>
  <c r="AB473" i="1"/>
  <c r="AB522" i="1"/>
  <c r="AL600" i="1"/>
  <c r="Z473" i="1"/>
  <c r="Z522" i="1"/>
  <c r="AD470" i="1"/>
  <c r="AD519" i="1"/>
  <c r="AC455" i="1"/>
  <c r="AC504" i="1"/>
  <c r="AN614" i="1"/>
  <c r="L470" i="1"/>
  <c r="L519" i="1"/>
  <c r="AL446" i="1"/>
  <c r="AL495" i="1"/>
  <c r="W445" i="1"/>
  <c r="W494" i="1"/>
  <c r="X445" i="1"/>
  <c r="X494" i="1"/>
  <c r="P461" i="1"/>
  <c r="P510" i="1"/>
  <c r="AE449" i="1"/>
  <c r="AE498" i="1"/>
  <c r="AC498" i="1"/>
  <c r="AC449" i="1"/>
  <c r="W463" i="1"/>
  <c r="W512" i="1"/>
  <c r="W508" i="1"/>
  <c r="W459" i="1"/>
  <c r="AM459" i="1"/>
  <c r="AM508" i="1"/>
  <c r="R459" i="1"/>
  <c r="R508" i="1"/>
  <c r="AL452" i="1"/>
  <c r="AL501" i="1"/>
  <c r="M452" i="1"/>
  <c r="M501" i="1"/>
  <c r="Y472" i="1"/>
  <c r="Y521" i="1"/>
  <c r="Z457" i="1"/>
  <c r="Z506" i="1"/>
  <c r="AG473" i="1"/>
  <c r="AG522" i="1"/>
  <c r="Q522" i="1"/>
  <c r="Q473" i="1"/>
  <c r="AL475" i="1"/>
  <c r="AL524" i="1"/>
  <c r="S459" i="1"/>
  <c r="S508" i="1"/>
  <c r="G459" i="1"/>
  <c r="G508" i="1"/>
  <c r="AF614" i="1"/>
  <c r="B520" i="1"/>
  <c r="B471" i="1"/>
  <c r="Y463" i="1"/>
  <c r="Y512" i="1"/>
  <c r="U521" i="1"/>
  <c r="U472" i="1"/>
  <c r="AI519" i="1"/>
  <c r="AI470" i="1"/>
  <c r="R478" i="1"/>
  <c r="R527" i="1"/>
  <c r="T511" i="1"/>
  <c r="T462" i="1"/>
  <c r="I449" i="1"/>
  <c r="I498" i="1"/>
  <c r="AL492" i="1"/>
  <c r="AL443" i="1"/>
  <c r="N449" i="1"/>
  <c r="N498" i="1"/>
  <c r="K508" i="1"/>
  <c r="K459" i="1"/>
  <c r="AL440" i="1"/>
  <c r="AL489" i="1"/>
  <c r="AF471" i="1"/>
  <c r="AF520" i="1"/>
  <c r="AE445" i="1"/>
  <c r="AE494" i="1"/>
  <c r="C510" i="1"/>
  <c r="C461" i="1"/>
  <c r="S449" i="1"/>
  <c r="S498" i="1"/>
  <c r="AN452" i="1"/>
  <c r="AN501" i="1"/>
  <c r="E472" i="1"/>
  <c r="E521" i="1"/>
  <c r="E473" i="1"/>
  <c r="E522" i="1"/>
  <c r="AB470" i="1"/>
  <c r="AB519" i="1"/>
  <c r="AL626" i="1"/>
  <c r="F461" i="1"/>
  <c r="F510" i="1"/>
  <c r="AD489" i="1"/>
  <c r="AD440" i="1"/>
  <c r="J621" i="1"/>
  <c r="N455" i="1"/>
  <c r="N504" i="1"/>
  <c r="B504" i="1"/>
  <c r="B455" i="1"/>
  <c r="G614" i="1"/>
  <c r="K440" i="1"/>
  <c r="K489" i="1"/>
  <c r="AO517" i="1"/>
  <c r="AO468" i="1"/>
  <c r="T605" i="1"/>
  <c r="G454" i="1"/>
  <c r="G503" i="1"/>
  <c r="AE495" i="1"/>
  <c r="AE446" i="1"/>
  <c r="W446" i="1"/>
  <c r="W495" i="1"/>
  <c r="H446" i="1"/>
  <c r="H495" i="1"/>
  <c r="J616" i="1"/>
  <c r="Y455" i="1"/>
  <c r="Y504" i="1"/>
  <c r="AL603" i="1"/>
  <c r="AL478" i="1"/>
  <c r="AL527" i="1"/>
  <c r="Q597" i="1"/>
  <c r="E614" i="1"/>
  <c r="H626" i="1"/>
  <c r="AJ621" i="1"/>
  <c r="AH598" i="1"/>
  <c r="AB598" i="1"/>
  <c r="T594" i="1"/>
  <c r="AH511" i="1"/>
  <c r="AH462" i="1"/>
  <c r="J462" i="1"/>
  <c r="J511" i="1"/>
  <c r="AI600" i="1"/>
  <c r="AO603" i="1"/>
  <c r="F626" i="1"/>
  <c r="W616" i="1"/>
  <c r="AN626" i="1"/>
  <c r="J471" i="1"/>
  <c r="J520" i="1"/>
  <c r="P471" i="1"/>
  <c r="P520" i="1"/>
  <c r="U621" i="1"/>
  <c r="AK494" i="1"/>
  <c r="AK445" i="1"/>
  <c r="N494" i="1"/>
  <c r="N445" i="1"/>
  <c r="V445" i="1"/>
  <c r="V494" i="1"/>
  <c r="Q461" i="1"/>
  <c r="Q510" i="1"/>
  <c r="R461" i="1"/>
  <c r="R510" i="1"/>
  <c r="B449" i="1"/>
  <c r="B498" i="1"/>
  <c r="Q512" i="1"/>
  <c r="Q463" i="1"/>
  <c r="AD512" i="1"/>
  <c r="AD463" i="1"/>
  <c r="AN508" i="1"/>
  <c r="AN459" i="1"/>
  <c r="AA452" i="1"/>
  <c r="AA501" i="1"/>
  <c r="I614" i="1"/>
  <c r="AI521" i="1"/>
  <c r="AI472" i="1"/>
  <c r="AC521" i="1"/>
  <c r="AC472" i="1"/>
  <c r="N616" i="1"/>
  <c r="J605" i="1"/>
  <c r="K589" i="1"/>
  <c r="K457" i="1"/>
  <c r="K506" i="1"/>
  <c r="AD475" i="1"/>
  <c r="AD524" i="1"/>
  <c r="P475" i="1"/>
  <c r="P524" i="1"/>
  <c r="AK475" i="1"/>
  <c r="AK524" i="1"/>
  <c r="AC616" i="1"/>
  <c r="Z623" i="1"/>
  <c r="Y594" i="1"/>
  <c r="J614" i="1"/>
  <c r="L605" i="1"/>
  <c r="AE614" i="1"/>
  <c r="F603" i="1"/>
  <c r="B478" i="1"/>
  <c r="B527" i="1"/>
  <c r="AI512" i="1"/>
  <c r="AI463" i="1"/>
  <c r="O457" i="1"/>
  <c r="O506" i="1"/>
  <c r="L446" i="1"/>
  <c r="L495" i="1"/>
  <c r="AD478" i="1"/>
  <c r="AD527" i="1"/>
  <c r="AI510" i="1"/>
  <c r="AI461" i="1"/>
  <c r="V472" i="1"/>
  <c r="V521" i="1"/>
  <c r="L621" i="1"/>
  <c r="AF494" i="1"/>
  <c r="AF445" i="1"/>
  <c r="T449" i="1"/>
  <c r="T498" i="1"/>
  <c r="P512" i="1"/>
  <c r="P463" i="1"/>
  <c r="D475" i="1"/>
  <c r="D524" i="1"/>
  <c r="AF440" i="1"/>
  <c r="AF489" i="1"/>
  <c r="AK478" i="1"/>
  <c r="AK527" i="1"/>
  <c r="C511" i="1"/>
  <c r="C462" i="1"/>
  <c r="AB449" i="1"/>
  <c r="AB498" i="1"/>
  <c r="C457" i="1"/>
  <c r="C506" i="1"/>
  <c r="V506" i="1"/>
  <c r="V457" i="1"/>
  <c r="I454" i="1"/>
  <c r="I503" i="1"/>
  <c r="K616" i="1"/>
  <c r="Y452" i="1"/>
  <c r="Y501" i="1"/>
  <c r="C520" i="1"/>
  <c r="C471" i="1"/>
  <c r="AC489" i="1"/>
  <c r="AC440" i="1"/>
  <c r="AF495" i="1"/>
  <c r="AF446" i="1"/>
  <c r="D455" i="1"/>
  <c r="D504" i="1"/>
  <c r="I527" i="1"/>
  <c r="I478" i="1"/>
  <c r="B492" i="1"/>
  <c r="B443" i="1"/>
  <c r="O471" i="1"/>
  <c r="O520" i="1"/>
  <c r="D489" i="1"/>
  <c r="D440" i="1"/>
  <c r="G468" i="1"/>
  <c r="G517" i="1"/>
  <c r="Q468" i="1"/>
  <c r="Q517" i="1"/>
  <c r="AJ519" i="1"/>
  <c r="AJ470" i="1"/>
  <c r="U503" i="1"/>
  <c r="U454" i="1"/>
  <c r="Z603" i="1"/>
  <c r="Z440" i="1"/>
  <c r="Z489" i="1"/>
  <c r="B517" i="1"/>
  <c r="B468" i="1"/>
  <c r="M468" i="1"/>
  <c r="M517" i="1"/>
  <c r="Y470" i="1"/>
  <c r="Y519" i="1"/>
  <c r="AH470" i="1"/>
  <c r="AH519" i="1"/>
  <c r="Z605" i="1"/>
  <c r="AB454" i="1"/>
  <c r="AB503" i="1"/>
  <c r="Y495" i="1"/>
  <c r="Y446" i="1"/>
  <c r="C495" i="1"/>
  <c r="C446" i="1"/>
  <c r="AD446" i="1"/>
  <c r="AD495" i="1"/>
  <c r="S626" i="1"/>
  <c r="AO455" i="1"/>
  <c r="AO504" i="1"/>
  <c r="E455" i="1"/>
  <c r="E504" i="1"/>
  <c r="R455" i="1"/>
  <c r="R504" i="1"/>
  <c r="AK603" i="1"/>
  <c r="E478" i="1"/>
  <c r="E527" i="1"/>
  <c r="T600" i="1"/>
  <c r="I443" i="1"/>
  <c r="I492" i="1"/>
  <c r="AD594" i="1"/>
  <c r="R626" i="1"/>
  <c r="X614" i="1"/>
  <c r="W462" i="1"/>
  <c r="W511" i="1"/>
  <c r="Q626" i="1"/>
  <c r="AO626" i="1"/>
  <c r="P626" i="1"/>
  <c r="F597" i="1"/>
  <c r="S471" i="1"/>
  <c r="S520" i="1"/>
  <c r="AL471" i="1"/>
  <c r="AL520" i="1"/>
  <c r="J445" i="1"/>
  <c r="J494" i="1"/>
  <c r="C445" i="1"/>
  <c r="C494" i="1"/>
  <c r="T445" i="1"/>
  <c r="T494" i="1"/>
  <c r="K510" i="1"/>
  <c r="K461" i="1"/>
  <c r="AN510" i="1"/>
  <c r="AN461" i="1"/>
  <c r="O461" i="1"/>
  <c r="O510" i="1"/>
  <c r="Y449" i="1"/>
  <c r="Y498" i="1"/>
  <c r="Z449" i="1"/>
  <c r="Z498" i="1"/>
  <c r="H603" i="1"/>
  <c r="J594" i="1"/>
  <c r="O463" i="1"/>
  <c r="O512" i="1"/>
  <c r="AN463" i="1"/>
  <c r="AN512" i="1"/>
  <c r="AB512" i="1"/>
  <c r="AB463" i="1"/>
  <c r="AF459" i="1"/>
  <c r="AF508" i="1"/>
  <c r="AK508" i="1"/>
  <c r="AK459" i="1"/>
  <c r="P508" i="1"/>
  <c r="P459" i="1"/>
  <c r="AH452" i="1"/>
  <c r="AH501" i="1"/>
  <c r="M472" i="1"/>
  <c r="M521" i="1"/>
  <c r="AA521" i="1"/>
  <c r="AA472" i="1"/>
  <c r="AD605" i="1"/>
  <c r="X473" i="1"/>
  <c r="X522" i="1"/>
  <c r="T473" i="1"/>
  <c r="T522" i="1"/>
  <c r="L524" i="1"/>
  <c r="L475" i="1"/>
  <c r="J475" i="1"/>
  <c r="J524" i="1"/>
  <c r="D492" i="1"/>
  <c r="D443" i="1"/>
  <c r="AH445" i="1"/>
  <c r="AH494" i="1"/>
  <c r="I463" i="1"/>
  <c r="I512" i="1"/>
  <c r="X508" i="1"/>
  <c r="X459" i="1"/>
  <c r="N522" i="1"/>
  <c r="N473" i="1"/>
  <c r="AO519" i="1"/>
  <c r="AO470" i="1"/>
  <c r="U616" i="1"/>
  <c r="T621" i="1"/>
  <c r="Y605" i="1"/>
  <c r="M494" i="1"/>
  <c r="M445" i="1"/>
  <c r="E597" i="1"/>
  <c r="G621" i="1"/>
  <c r="V470" i="1"/>
  <c r="V519" i="1"/>
  <c r="AG443" i="1"/>
  <c r="AG492" i="1"/>
  <c r="J501" i="1"/>
  <c r="J452" i="1"/>
  <c r="AA454" i="1"/>
  <c r="AA503" i="1"/>
  <c r="H527" i="1"/>
  <c r="H478" i="1"/>
  <c r="AH454" i="1"/>
  <c r="AH503" i="1"/>
  <c r="AC527" i="1"/>
  <c r="AC478" i="1"/>
  <c r="AA520" i="1"/>
  <c r="AA471" i="1"/>
  <c r="W520" i="1"/>
  <c r="W471" i="1"/>
  <c r="Y445" i="1"/>
  <c r="Y494" i="1"/>
  <c r="AG510" i="1"/>
  <c r="AG461" i="1"/>
  <c r="AN449" i="1"/>
  <c r="AN498" i="1"/>
  <c r="D452" i="1"/>
  <c r="D501" i="1"/>
  <c r="AL614" i="1"/>
  <c r="AD621" i="1"/>
  <c r="AI455" i="1"/>
  <c r="AI504" i="1"/>
  <c r="Z478" i="1"/>
  <c r="Z527" i="1"/>
  <c r="N492" i="1"/>
  <c r="N443" i="1"/>
  <c r="V614" i="1"/>
  <c r="AM462" i="1"/>
  <c r="AM511" i="1"/>
  <c r="E471" i="1"/>
  <c r="E520" i="1"/>
  <c r="U449" i="1"/>
  <c r="U498" i="1"/>
  <c r="AJ521" i="1"/>
  <c r="AJ472" i="1"/>
  <c r="T603" i="1"/>
  <c r="AM517" i="1"/>
  <c r="AM468" i="1"/>
  <c r="Y462" i="1"/>
  <c r="Y511" i="1"/>
  <c r="U489" i="1"/>
  <c r="U440" i="1"/>
  <c r="AA470" i="1"/>
  <c r="AA519" i="1"/>
  <c r="M462" i="1"/>
  <c r="M511" i="1"/>
  <c r="W468" i="1"/>
  <c r="W517" i="1"/>
  <c r="AN517" i="1"/>
  <c r="AN468" i="1"/>
  <c r="E519" i="1"/>
  <c r="E470" i="1"/>
  <c r="F454" i="1"/>
  <c r="F503" i="1"/>
  <c r="S503" i="1"/>
  <c r="S454" i="1"/>
  <c r="Q446" i="1"/>
  <c r="Q495" i="1"/>
  <c r="AK495" i="1"/>
  <c r="AK446" i="1"/>
  <c r="B495" i="1"/>
  <c r="B446" i="1"/>
  <c r="F446" i="1"/>
  <c r="F495" i="1"/>
  <c r="AM504" i="1"/>
  <c r="AM455" i="1"/>
  <c r="C478" i="1"/>
  <c r="C527" i="1"/>
  <c r="AI478" i="1"/>
  <c r="AI527" i="1"/>
  <c r="AN492" i="1"/>
  <c r="AN443" i="1"/>
  <c r="AA492" i="1"/>
  <c r="AA443" i="1"/>
  <c r="AD462" i="1"/>
  <c r="AD511" i="1"/>
  <c r="AI462" i="1"/>
  <c r="AI511" i="1"/>
  <c r="M520" i="1"/>
  <c r="M471" i="1"/>
  <c r="N471" i="1"/>
  <c r="N520" i="1"/>
  <c r="AO494" i="1"/>
  <c r="AO445" i="1"/>
  <c r="AC461" i="1"/>
  <c r="AC510" i="1"/>
  <c r="X498" i="1"/>
  <c r="X449" i="1"/>
  <c r="N512" i="1"/>
  <c r="N463" i="1"/>
  <c r="AL508" i="1"/>
  <c r="AL459" i="1"/>
  <c r="B452" i="1"/>
  <c r="B501" i="1"/>
  <c r="K501" i="1"/>
  <c r="K452" i="1"/>
  <c r="L521" i="1"/>
  <c r="L472" i="1"/>
  <c r="AH521" i="1"/>
  <c r="AH472" i="1"/>
  <c r="AN457" i="1"/>
  <c r="AN506" i="1"/>
  <c r="R473" i="1"/>
  <c r="R522" i="1"/>
  <c r="O475" i="1"/>
  <c r="O524" i="1"/>
  <c r="AC475" i="1"/>
  <c r="AC524" i="1"/>
  <c r="G524" i="1"/>
  <c r="G475" i="1"/>
  <c r="X475" i="1"/>
  <c r="X524" i="1"/>
  <c r="D594" i="1"/>
  <c r="AG597" i="1"/>
  <c r="I440" i="1"/>
  <c r="I489" i="1"/>
  <c r="AH527" i="1"/>
  <c r="AH478" i="1"/>
  <c r="AI471" i="1"/>
  <c r="AI520" i="1"/>
  <c r="Z452" i="1"/>
  <c r="Z501" i="1"/>
  <c r="D459" i="1"/>
  <c r="D508" i="1"/>
  <c r="U455" i="1"/>
  <c r="U504" i="1"/>
  <c r="X517" i="1"/>
  <c r="X468" i="1"/>
  <c r="J454" i="1"/>
  <c r="J503" i="1"/>
  <c r="E446" i="1"/>
  <c r="E495" i="1"/>
  <c r="AC443" i="1"/>
  <c r="AC492" i="1"/>
  <c r="AN445" i="1"/>
  <c r="AN494" i="1"/>
  <c r="H457" i="1"/>
  <c r="H506" i="1"/>
  <c r="G443" i="1"/>
  <c r="G492" i="1"/>
  <c r="L463" i="1"/>
  <c r="L512" i="1"/>
  <c r="AE475" i="1"/>
  <c r="AE524" i="1"/>
  <c r="E603" i="1"/>
  <c r="AD455" i="1"/>
  <c r="AD504" i="1"/>
  <c r="AJ492" i="1"/>
  <c r="AJ443" i="1"/>
  <c r="U598" i="1"/>
  <c r="B614" i="1"/>
  <c r="AC589" i="1"/>
  <c r="D494" i="1"/>
  <c r="D445" i="1"/>
  <c r="AL461" i="1"/>
  <c r="AL510" i="1"/>
  <c r="G449" i="1"/>
  <c r="G498" i="1"/>
  <c r="D449" i="1"/>
  <c r="D498" i="1"/>
  <c r="M463" i="1"/>
  <c r="M512" i="1"/>
  <c r="F459" i="1"/>
  <c r="F508" i="1"/>
  <c r="J468" i="1"/>
  <c r="J517" i="1"/>
  <c r="F489" i="1"/>
  <c r="F440" i="1"/>
  <c r="H454" i="1"/>
  <c r="H503" i="1"/>
  <c r="AB455" i="1"/>
  <c r="AB504" i="1"/>
  <c r="AE443" i="1"/>
  <c r="AE492" i="1"/>
  <c r="V471" i="1"/>
  <c r="V520" i="1"/>
  <c r="V440" i="1"/>
  <c r="V489" i="1"/>
  <c r="H468" i="1"/>
  <c r="H517" i="1"/>
  <c r="O443" i="1"/>
  <c r="O492" i="1"/>
  <c r="AN471" i="1"/>
  <c r="AN520" i="1"/>
  <c r="AJ440" i="1"/>
  <c r="AJ489" i="1"/>
  <c r="AI468" i="1"/>
  <c r="AI517" i="1"/>
  <c r="Z454" i="1"/>
  <c r="Z503" i="1"/>
  <c r="K603" i="1"/>
  <c r="AA440" i="1"/>
  <c r="AA489" i="1"/>
  <c r="AN489" i="1"/>
  <c r="AN440" i="1"/>
  <c r="P517" i="1"/>
  <c r="P468" i="1"/>
  <c r="X470" i="1"/>
  <c r="X519" i="1"/>
  <c r="AL519" i="1"/>
  <c r="AL470" i="1"/>
  <c r="Q503" i="1"/>
  <c r="Q454" i="1"/>
  <c r="X454" i="1"/>
  <c r="X503" i="1"/>
  <c r="AB495" i="1"/>
  <c r="AB446" i="1"/>
  <c r="AH455" i="1"/>
  <c r="AH504" i="1"/>
  <c r="G504" i="1"/>
  <c r="G455" i="1"/>
  <c r="F478" i="1"/>
  <c r="F527" i="1"/>
  <c r="AM443" i="1"/>
  <c r="AM492" i="1"/>
  <c r="Y443" i="1"/>
  <c r="Y492" i="1"/>
  <c r="AB616" i="1"/>
  <c r="AG616" i="1"/>
  <c r="AF626" i="1"/>
  <c r="H462" i="1"/>
  <c r="H511" i="1"/>
  <c r="AE471" i="1"/>
  <c r="AE520" i="1"/>
  <c r="AJ471" i="1"/>
  <c r="AJ520" i="1"/>
  <c r="H494" i="1"/>
  <c r="H445" i="1"/>
  <c r="Q494" i="1"/>
  <c r="Q445" i="1"/>
  <c r="N461" i="1"/>
  <c r="N510" i="1"/>
  <c r="B605" i="1"/>
  <c r="W449" i="1"/>
  <c r="W498" i="1"/>
  <c r="K463" i="1"/>
  <c r="K512" i="1"/>
  <c r="AE459" i="1"/>
  <c r="AE508" i="1"/>
  <c r="AI459" i="1"/>
  <c r="AI508" i="1"/>
  <c r="N459" i="1"/>
  <c r="N508" i="1"/>
  <c r="AG452" i="1"/>
  <c r="AG501" i="1"/>
  <c r="AO501" i="1"/>
  <c r="AO452" i="1"/>
  <c r="D472" i="1"/>
  <c r="D521" i="1"/>
  <c r="J521" i="1"/>
  <c r="J472" i="1"/>
  <c r="I457" i="1"/>
  <c r="I506" i="1"/>
  <c r="V473" i="1"/>
  <c r="V522" i="1"/>
  <c r="AJ473" i="1"/>
  <c r="AJ522" i="1"/>
  <c r="V475" i="1"/>
  <c r="V524" i="1"/>
  <c r="AG626" i="1"/>
  <c r="W600" i="1"/>
  <c r="P455" i="1"/>
  <c r="P504" i="1"/>
  <c r="X462" i="1"/>
  <c r="X511" i="1"/>
  <c r="N454" i="1"/>
  <c r="N503" i="1"/>
  <c r="U511" i="1"/>
  <c r="U462" i="1"/>
  <c r="U494" i="1"/>
  <c r="U445" i="1"/>
  <c r="V459" i="1"/>
  <c r="V508" i="1"/>
  <c r="G446" i="1"/>
  <c r="G495" i="1"/>
  <c r="H463" i="1"/>
  <c r="H512" i="1"/>
  <c r="AF455" i="1"/>
  <c r="AF504" i="1"/>
  <c r="AK462" i="1"/>
  <c r="AK511" i="1"/>
  <c r="Z520" i="1"/>
  <c r="Z471" i="1"/>
  <c r="AB452" i="1"/>
  <c r="AB501" i="1"/>
  <c r="X457" i="1"/>
  <c r="X506" i="1"/>
  <c r="D468" i="1"/>
  <c r="D517" i="1"/>
  <c r="H504" i="1"/>
  <c r="H455" i="1"/>
  <c r="B511" i="1"/>
  <c r="B462" i="1"/>
  <c r="AD461" i="1"/>
  <c r="AD510" i="1"/>
  <c r="F457" i="1"/>
  <c r="F506" i="1"/>
  <c r="AA478" i="1"/>
  <c r="AA527" i="1"/>
  <c r="Z594" i="1"/>
  <c r="AF462" i="1"/>
  <c r="AF511" i="1"/>
  <c r="R471" i="1"/>
  <c r="R520" i="1"/>
  <c r="AH614" i="1"/>
  <c r="I459" i="1"/>
  <c r="I508" i="1"/>
  <c r="J440" i="1"/>
  <c r="J489" i="1"/>
  <c r="D470" i="1"/>
  <c r="D519" i="1"/>
  <c r="X440" i="1"/>
  <c r="X489" i="1"/>
  <c r="P446" i="1"/>
  <c r="P495" i="1"/>
  <c r="AO478" i="1"/>
  <c r="AO527" i="1"/>
  <c r="K443" i="1"/>
  <c r="K492" i="1"/>
  <c r="Q471" i="1"/>
  <c r="Q520" i="1"/>
  <c r="AB440" i="1"/>
  <c r="AB489" i="1"/>
  <c r="J519" i="1"/>
  <c r="J470" i="1"/>
  <c r="I504" i="1"/>
  <c r="I455" i="1"/>
  <c r="G478" i="1"/>
  <c r="G527" i="1"/>
  <c r="L440" i="1"/>
  <c r="L489" i="1"/>
  <c r="V468" i="1"/>
  <c r="V517" i="1"/>
  <c r="V454" i="1"/>
  <c r="V503" i="1"/>
  <c r="U495" i="1"/>
  <c r="U446" i="1"/>
  <c r="D446" i="1"/>
  <c r="D495" i="1"/>
  <c r="Z504" i="1"/>
  <c r="Z455" i="1"/>
  <c r="S443" i="1"/>
  <c r="S492" i="1"/>
  <c r="AF443" i="1"/>
  <c r="AF492" i="1"/>
  <c r="AA462" i="1"/>
  <c r="AA511" i="1"/>
  <c r="S462" i="1"/>
  <c r="S511" i="1"/>
  <c r="AG462" i="1"/>
  <c r="AG511" i="1"/>
  <c r="X520" i="1"/>
  <c r="X471" i="1"/>
  <c r="D520" i="1"/>
  <c r="D471" i="1"/>
  <c r="L520" i="1"/>
  <c r="L471" i="1"/>
  <c r="K494" i="1"/>
  <c r="K445" i="1"/>
  <c r="Q449" i="1"/>
  <c r="Q498" i="1"/>
  <c r="AM463" i="1"/>
  <c r="AM512" i="1"/>
  <c r="AG512" i="1"/>
  <c r="AG463" i="1"/>
  <c r="I501" i="1"/>
  <c r="I452" i="1"/>
  <c r="I521" i="1"/>
  <c r="I472" i="1"/>
  <c r="AB472" i="1"/>
  <c r="AB521" i="1"/>
  <c r="AF521" i="1"/>
  <c r="AF472" i="1"/>
  <c r="AL506" i="1"/>
  <c r="AL457" i="1"/>
  <c r="I473" i="1"/>
  <c r="I522" i="1"/>
  <c r="M475" i="1"/>
  <c r="M524" i="1"/>
  <c r="AB475" i="1"/>
  <c r="AB524" i="1"/>
  <c r="AO475" i="1"/>
  <c r="AO524" i="1"/>
  <c r="T475" i="1"/>
  <c r="T524" i="1"/>
  <c r="G594" i="1"/>
  <c r="R517" i="1"/>
  <c r="R468" i="1"/>
  <c r="O462" i="1"/>
  <c r="O511" i="1"/>
  <c r="W461" i="1"/>
  <c r="W510" i="1"/>
  <c r="AD457" i="1"/>
  <c r="AD506" i="1"/>
  <c r="AG621" i="1"/>
  <c r="AO600" i="1"/>
  <c r="G471" i="1"/>
  <c r="G520" i="1"/>
  <c r="AE506" i="1"/>
  <c r="AE457" i="1"/>
  <c r="M440" i="1"/>
  <c r="M489" i="1"/>
  <c r="J504" i="1"/>
  <c r="J455" i="1"/>
  <c r="AO449" i="1"/>
  <c r="AO498" i="1"/>
  <c r="Y475" i="1"/>
  <c r="Y524" i="1"/>
  <c r="AJ455" i="1"/>
  <c r="AJ504" i="1"/>
  <c r="Q492" i="1"/>
  <c r="Q443" i="1"/>
  <c r="AH471" i="1"/>
  <c r="AH520" i="1"/>
  <c r="AK510" i="1"/>
  <c r="AK461" i="1"/>
  <c r="AI452" i="1"/>
  <c r="AI501" i="1"/>
  <c r="AM472" i="1"/>
  <c r="AM521" i="1"/>
  <c r="AI506" i="1"/>
  <c r="AI457" i="1"/>
  <c r="AE522" i="1"/>
  <c r="AE473" i="1"/>
  <c r="AO508" i="1"/>
  <c r="AO459" i="1"/>
  <c r="E454" i="1"/>
  <c r="E503" i="1"/>
  <c r="AE616" i="1"/>
  <c r="AI616" i="1"/>
  <c r="O614" i="1"/>
  <c r="B597" i="1"/>
  <c r="Z510" i="1"/>
  <c r="Z461" i="1"/>
  <c r="U594" i="1"/>
  <c r="Y597" i="1"/>
  <c r="Q519" i="1"/>
  <c r="Q470" i="1"/>
  <c r="K455" i="1"/>
  <c r="K504" i="1"/>
  <c r="G489" i="1"/>
  <c r="G440" i="1"/>
  <c r="C440" i="1"/>
  <c r="C489" i="1"/>
  <c r="AL517" i="1"/>
  <c r="AL468" i="1"/>
  <c r="M519" i="1"/>
  <c r="M470" i="1"/>
  <c r="L503" i="1"/>
  <c r="L454" i="1"/>
  <c r="T440" i="1"/>
  <c r="T489" i="1"/>
  <c r="AH597" i="1"/>
  <c r="AG468" i="1"/>
  <c r="AG517" i="1"/>
  <c r="N468" i="1"/>
  <c r="N517" i="1"/>
  <c r="U470" i="1"/>
  <c r="U519" i="1"/>
  <c r="D454" i="1"/>
  <c r="D503" i="1"/>
  <c r="T503" i="1"/>
  <c r="T454" i="1"/>
  <c r="AJ495" i="1"/>
  <c r="AJ446" i="1"/>
  <c r="O446" i="1"/>
  <c r="O495" i="1"/>
  <c r="AG455" i="1"/>
  <c r="AG504" i="1"/>
  <c r="AJ527" i="1"/>
  <c r="AJ478" i="1"/>
  <c r="J443" i="1"/>
  <c r="J492" i="1"/>
  <c r="H443" i="1"/>
  <c r="H492" i="1"/>
  <c r="L603" i="1"/>
  <c r="AB626" i="1"/>
  <c r="AA605" i="1"/>
  <c r="M603" i="1"/>
  <c r="F511" i="1"/>
  <c r="F462" i="1"/>
  <c r="G598" i="1"/>
  <c r="U520" i="1"/>
  <c r="U471" i="1"/>
  <c r="AK471" i="1"/>
  <c r="AK520" i="1"/>
  <c r="D600" i="1"/>
  <c r="G445" i="1"/>
  <c r="G494" i="1"/>
  <c r="AI494" i="1"/>
  <c r="AI445" i="1"/>
  <c r="L510" i="1"/>
  <c r="L461" i="1"/>
  <c r="M449" i="1"/>
  <c r="M498" i="1"/>
  <c r="AA449" i="1"/>
  <c r="AA498" i="1"/>
  <c r="O449" i="1"/>
  <c r="O498" i="1"/>
  <c r="P614" i="1"/>
  <c r="R512" i="1"/>
  <c r="R463" i="1"/>
  <c r="G463" i="1"/>
  <c r="G512" i="1"/>
  <c r="D463" i="1"/>
  <c r="D512" i="1"/>
  <c r="AD459" i="1"/>
  <c r="AD508" i="1"/>
  <c r="AH508" i="1"/>
  <c r="AH459" i="1"/>
  <c r="AJ459" i="1"/>
  <c r="AJ508" i="1"/>
  <c r="I616" i="1"/>
  <c r="AE501" i="1"/>
  <c r="AE452" i="1"/>
  <c r="N472" i="1"/>
  <c r="N521" i="1"/>
  <c r="H521" i="1"/>
  <c r="H472" i="1"/>
  <c r="AL472" i="1"/>
  <c r="AL521" i="1"/>
  <c r="C472" i="1"/>
  <c r="C521" i="1"/>
  <c r="AJ506" i="1"/>
  <c r="AJ457" i="1"/>
  <c r="G457" i="1"/>
  <c r="G506" i="1"/>
  <c r="S473" i="1"/>
  <c r="S522" i="1"/>
  <c r="C473" i="1"/>
  <c r="C522" i="1"/>
  <c r="AF473" i="1"/>
  <c r="AF522" i="1"/>
  <c r="AN475" i="1"/>
  <c r="AN524" i="1"/>
  <c r="I470" i="1"/>
  <c r="I519" i="1"/>
  <c r="O494" i="1"/>
  <c r="O445" i="1"/>
  <c r="F472" i="1"/>
  <c r="F521" i="1"/>
  <c r="AJ623" i="1"/>
  <c r="R616" i="1"/>
  <c r="L462" i="1"/>
  <c r="L511" i="1"/>
  <c r="C470" i="1"/>
  <c r="C519" i="1"/>
  <c r="AF527" i="1"/>
  <c r="AF478" i="1"/>
  <c r="P440" i="1"/>
  <c r="P489" i="1"/>
  <c r="F470" i="1"/>
  <c r="F519" i="1"/>
  <c r="W473" i="1"/>
  <c r="W522" i="1"/>
  <c r="AC470" i="1"/>
  <c r="AC519" i="1"/>
  <c r="AN446" i="1"/>
  <c r="AN495" i="1"/>
  <c r="N478" i="1"/>
  <c r="N527" i="1"/>
  <c r="Y520" i="1"/>
  <c r="Y471" i="1"/>
  <c r="Y489" i="1"/>
  <c r="Y440" i="1"/>
  <c r="U468" i="1"/>
  <c r="U517" i="1"/>
  <c r="AE468" i="1"/>
  <c r="AE517" i="1"/>
  <c r="AJ468" i="1"/>
  <c r="AJ517" i="1"/>
  <c r="AM454" i="1"/>
  <c r="AM503" i="1"/>
  <c r="AO503" i="1"/>
  <c r="AO454" i="1"/>
  <c r="X495" i="1"/>
  <c r="X446" i="1"/>
  <c r="AA495" i="1"/>
  <c r="AA446" i="1"/>
  <c r="X455" i="1"/>
  <c r="X504" i="1"/>
  <c r="AG527" i="1"/>
  <c r="AG478" i="1"/>
  <c r="E492" i="1"/>
  <c r="E443" i="1"/>
  <c r="AK443" i="1"/>
  <c r="AK492" i="1"/>
  <c r="AD443" i="1"/>
  <c r="AD492" i="1"/>
  <c r="AB462" i="1"/>
  <c r="AB511" i="1"/>
  <c r="AN462" i="1"/>
  <c r="AN511" i="1"/>
  <c r="T471" i="1"/>
  <c r="T520" i="1"/>
  <c r="AM471" i="1"/>
  <c r="AM520" i="1"/>
  <c r="S445" i="1"/>
  <c r="S494" i="1"/>
  <c r="AO510" i="1"/>
  <c r="AO461" i="1"/>
  <c r="P449" i="1"/>
  <c r="P498" i="1"/>
  <c r="AL449" i="1"/>
  <c r="AL498" i="1"/>
  <c r="AO463" i="1"/>
  <c r="AO512" i="1"/>
  <c r="AE512" i="1"/>
  <c r="AE463" i="1"/>
  <c r="AG459" i="1"/>
  <c r="AG508" i="1"/>
  <c r="L508" i="1"/>
  <c r="L459" i="1"/>
  <c r="P501" i="1"/>
  <c r="P452" i="1"/>
  <c r="Q501" i="1"/>
  <c r="Q452" i="1"/>
  <c r="AE472" i="1"/>
  <c r="AE521" i="1"/>
  <c r="AD472" i="1"/>
  <c r="AD521" i="1"/>
  <c r="AF506" i="1"/>
  <c r="AF457" i="1"/>
  <c r="AN522" i="1"/>
  <c r="AN473" i="1"/>
  <c r="H522" i="1"/>
  <c r="H473" i="1"/>
  <c r="K524" i="1"/>
  <c r="K475" i="1"/>
  <c r="Z475" i="1"/>
  <c r="Z524" i="1"/>
  <c r="AM475" i="1"/>
  <c r="AM524" i="1"/>
  <c r="AH594" i="1"/>
  <c r="K477" i="1" l="1"/>
  <c r="K526" i="1"/>
  <c r="AL477" i="1"/>
  <c r="AL624" i="1" s="1"/>
  <c r="AL526" i="1"/>
  <c r="V526" i="1"/>
  <c r="V477" i="1"/>
  <c r="V624" i="1" s="1"/>
  <c r="I526" i="1"/>
  <c r="I477" i="1"/>
  <c r="I624" i="1" s="1"/>
  <c r="P477" i="1"/>
  <c r="P526" i="1"/>
  <c r="D477" i="1"/>
  <c r="D526" i="1"/>
  <c r="G477" i="1"/>
  <c r="G526" i="1"/>
  <c r="AE477" i="1"/>
  <c r="AE624" i="1" s="1"/>
  <c r="AE526" i="1"/>
  <c r="E526" i="1"/>
  <c r="E477" i="1"/>
  <c r="E624" i="1" s="1"/>
  <c r="J477" i="1"/>
  <c r="J624" i="1" s="1"/>
  <c r="J526" i="1"/>
  <c r="N526" i="1"/>
  <c r="N477" i="1"/>
  <c r="AB526" i="1"/>
  <c r="AB477" i="1"/>
  <c r="AB624" i="1" s="1"/>
  <c r="AA477" i="1"/>
  <c r="AA526" i="1"/>
  <c r="AD477" i="1"/>
  <c r="AD624" i="1" s="1"/>
  <c r="AD526" i="1"/>
  <c r="H526" i="1"/>
  <c r="H477" i="1"/>
  <c r="H624" i="1" s="1"/>
  <c r="C477" i="1"/>
  <c r="C526" i="1"/>
  <c r="AN477" i="1"/>
  <c r="AN624" i="1" s="1"/>
  <c r="AN526" i="1"/>
  <c r="W526" i="1"/>
  <c r="W477" i="1"/>
  <c r="W624" i="1" s="1"/>
  <c r="AC477" i="1"/>
  <c r="AC624" i="1" s="1"/>
  <c r="AC526" i="1"/>
  <c r="B477" i="1"/>
  <c r="B624" i="1" s="1"/>
  <c r="B526" i="1"/>
  <c r="AF477" i="1"/>
  <c r="AF526" i="1"/>
  <c r="M477" i="1"/>
  <c r="M624" i="1" s="1"/>
  <c r="M526" i="1"/>
  <c r="Z526" i="1"/>
  <c r="Z477" i="1"/>
  <c r="U477" i="1"/>
  <c r="U526" i="1"/>
  <c r="AI477" i="1"/>
  <c r="AI526" i="1"/>
  <c r="Q477" i="1"/>
  <c r="Q624" i="1" s="1"/>
  <c r="Q526" i="1"/>
  <c r="X526" i="1"/>
  <c r="X477" i="1"/>
  <c r="X624" i="1" s="1"/>
  <c r="AI598" i="1"/>
  <c r="AK477" i="1"/>
  <c r="AK526" i="1"/>
  <c r="AJ477" i="1"/>
  <c r="AJ624" i="1" s="1"/>
  <c r="AJ526" i="1"/>
  <c r="AM526" i="1"/>
  <c r="AM477" i="1"/>
  <c r="AM624" i="1" s="1"/>
  <c r="F477" i="1"/>
  <c r="F526" i="1"/>
  <c r="T477" i="1"/>
  <c r="T624" i="1" s="1"/>
  <c r="T526" i="1"/>
  <c r="Y526" i="1"/>
  <c r="Y477" i="1"/>
  <c r="Y624" i="1" s="1"/>
  <c r="O477" i="1"/>
  <c r="O526" i="1"/>
  <c r="S477" i="1"/>
  <c r="S526" i="1"/>
  <c r="AH477" i="1"/>
  <c r="AH624" i="1" s="1"/>
  <c r="AH526" i="1"/>
  <c r="AO477" i="1"/>
  <c r="AO624" i="1" s="1"/>
  <c r="AO526" i="1"/>
  <c r="AG526" i="1"/>
  <c r="AG477" i="1"/>
  <c r="AG624" i="1" s="1"/>
  <c r="R477" i="1"/>
  <c r="R624" i="1" s="1"/>
  <c r="R526" i="1"/>
  <c r="L477" i="1"/>
  <c r="L526" i="1"/>
  <c r="AG589" i="1"/>
  <c r="H613" i="1"/>
  <c r="W598" i="1"/>
  <c r="AM611" i="1"/>
  <c r="V460" i="1"/>
  <c r="AJ595" i="1"/>
  <c r="AD623" i="1"/>
  <c r="AH591" i="1"/>
  <c r="AD591" i="1"/>
  <c r="V623" i="1"/>
  <c r="K612" i="1"/>
  <c r="Q613" i="1"/>
  <c r="C598" i="1"/>
  <c r="AA611" i="1"/>
  <c r="I460" i="1"/>
  <c r="K613" i="1"/>
  <c r="AF623" i="1"/>
  <c r="AD589" i="1"/>
  <c r="AD612" i="1"/>
  <c r="AF612" i="1"/>
  <c r="U613" i="1"/>
  <c r="L613" i="1"/>
  <c r="N623" i="1"/>
  <c r="P617" i="1"/>
  <c r="E613" i="1"/>
  <c r="AN595" i="1"/>
  <c r="L589" i="1"/>
  <c r="AL591" i="1"/>
  <c r="AH460" i="1"/>
  <c r="AH589" i="1"/>
  <c r="S460" i="1"/>
  <c r="S607" i="1" s="1"/>
  <c r="AC612" i="1"/>
  <c r="K623" i="1"/>
  <c r="L595" i="1"/>
  <c r="AO598" i="1"/>
  <c r="AJ460" i="1"/>
  <c r="AJ607" i="1" s="1"/>
  <c r="AN598" i="1"/>
  <c r="AA598" i="1"/>
  <c r="AH613" i="1"/>
  <c r="AM460" i="1"/>
  <c r="Z460" i="1"/>
  <c r="Z607" i="1" s="1"/>
  <c r="D612" i="1"/>
  <c r="E595" i="1"/>
  <c r="AF589" i="1"/>
  <c r="AJ509" i="1"/>
  <c r="N613" i="1"/>
  <c r="U460" i="1"/>
  <c r="U607" i="1" s="1"/>
  <c r="AA460" i="1"/>
  <c r="AA607" i="1" s="1"/>
  <c r="V509" i="1"/>
  <c r="R595" i="1"/>
  <c r="AD460" i="1"/>
  <c r="AD607" i="1" s="1"/>
  <c r="AM623" i="1"/>
  <c r="L591" i="1"/>
  <c r="O623" i="1"/>
  <c r="P612" i="1"/>
  <c r="C460" i="1"/>
  <c r="J595" i="1"/>
  <c r="H460" i="1"/>
  <c r="H607" i="1" s="1"/>
  <c r="AE460" i="1"/>
  <c r="AE607" i="1" s="1"/>
  <c r="AF598" i="1"/>
  <c r="AG612" i="1"/>
  <c r="Y613" i="1"/>
  <c r="E460" i="1"/>
  <c r="E607" i="1" s="1"/>
  <c r="AI611" i="1"/>
  <c r="AG598" i="1"/>
  <c r="Q623" i="1"/>
  <c r="AO460" i="1"/>
  <c r="AO607" i="1" s="1"/>
  <c r="AK460" i="1"/>
  <c r="AK607" i="1" s="1"/>
  <c r="T460" i="1"/>
  <c r="T607" i="1" s="1"/>
  <c r="AJ590" i="1"/>
  <c r="N591" i="1"/>
  <c r="AK613" i="1"/>
  <c r="G460" i="1"/>
  <c r="G607" i="1" s="1"/>
  <c r="H595" i="1"/>
  <c r="AM613" i="1"/>
  <c r="AB460" i="1"/>
  <c r="AB607" i="1" s="1"/>
  <c r="AJ601" i="1"/>
  <c r="N622" i="1"/>
  <c r="S617" i="1"/>
  <c r="AL460" i="1"/>
  <c r="AL607" i="1" s="1"/>
  <c r="AF613" i="1"/>
  <c r="C509" i="1"/>
  <c r="U623" i="1"/>
  <c r="U589" i="1"/>
  <c r="S608" i="1"/>
  <c r="K460" i="1"/>
  <c r="K607" i="1" s="1"/>
  <c r="AH509" i="1"/>
  <c r="G591" i="1"/>
  <c r="AG460" i="1"/>
  <c r="AG607" i="1" s="1"/>
  <c r="AC460" i="1"/>
  <c r="AC607" i="1" s="1"/>
  <c r="AC613" i="1"/>
  <c r="AJ591" i="1"/>
  <c r="P613" i="1"/>
  <c r="N460" i="1"/>
  <c r="N607" i="1" s="1"/>
  <c r="W460" i="1"/>
  <c r="W607" i="1" s="1"/>
  <c r="V589" i="1"/>
  <c r="AM509" i="1"/>
  <c r="I509" i="1"/>
  <c r="D460" i="1"/>
  <c r="D607" i="1" s="1"/>
  <c r="R460" i="1"/>
  <c r="R607" i="1" s="1"/>
  <c r="AN460" i="1"/>
  <c r="AN607" i="1" s="1"/>
  <c r="AD610" i="1"/>
  <c r="K598" i="1"/>
  <c r="AF460" i="1"/>
  <c r="AF607" i="1" s="1"/>
  <c r="AG613" i="1"/>
  <c r="AI589" i="1"/>
  <c r="L460" i="1"/>
  <c r="L607" i="1" s="1"/>
  <c r="Q460" i="1"/>
  <c r="Q607" i="1" s="1"/>
  <c r="J460" i="1"/>
  <c r="J607" i="1" s="1"/>
  <c r="O460" i="1"/>
  <c r="O607" i="1" s="1"/>
  <c r="F460" i="1"/>
  <c r="F607" i="1" s="1"/>
  <c r="H619" i="1"/>
  <c r="Y617" i="1"/>
  <c r="X460" i="1"/>
  <c r="X607" i="1" s="1"/>
  <c r="Q591" i="1"/>
  <c r="M460" i="1"/>
  <c r="M607" i="1" s="1"/>
  <c r="V591" i="1"/>
  <c r="P558" i="1"/>
  <c r="P460" i="1"/>
  <c r="Y460" i="1"/>
  <c r="Y509" i="1"/>
  <c r="B460" i="1"/>
  <c r="B607" i="1" s="1"/>
  <c r="AL612" i="1"/>
  <c r="AK595" i="1"/>
  <c r="AI460" i="1"/>
  <c r="AI607" i="1" s="1"/>
  <c r="AB613" i="1"/>
  <c r="AG591" i="1"/>
  <c r="Q589" i="1"/>
  <c r="B602" i="1"/>
  <c r="J625" i="1"/>
  <c r="V602" i="1"/>
  <c r="Y618" i="1"/>
  <c r="T591" i="1"/>
  <c r="W612" i="1"/>
  <c r="AL592" i="1"/>
  <c r="AA610" i="1"/>
  <c r="AJ593" i="1"/>
  <c r="G587" i="1"/>
  <c r="AO620" i="1"/>
  <c r="AJ610" i="1"/>
  <c r="P620" i="1"/>
  <c r="B610" i="1"/>
  <c r="K618" i="1"/>
  <c r="AA615" i="1"/>
  <c r="H611" i="1"/>
  <c r="S599" i="1"/>
  <c r="S606" i="1"/>
  <c r="AB620" i="1"/>
  <c r="M602" i="1"/>
  <c r="AN620" i="1"/>
  <c r="AO608" i="1"/>
  <c r="X593" i="1"/>
  <c r="AM609" i="1"/>
  <c r="AH611" i="1"/>
  <c r="AI618" i="1"/>
  <c r="W615" i="1"/>
  <c r="AC611" i="1"/>
  <c r="AJ604" i="1"/>
  <c r="I610" i="1"/>
  <c r="AH609" i="1"/>
  <c r="AL611" i="1"/>
  <c r="I611" i="1"/>
  <c r="C608" i="1"/>
  <c r="AK599" i="1"/>
  <c r="AC592" i="1"/>
  <c r="G606" i="1"/>
  <c r="AG618" i="1"/>
  <c r="S612" i="1"/>
  <c r="Z592" i="1"/>
  <c r="D608" i="1"/>
  <c r="AO590" i="1"/>
  <c r="B596" i="1"/>
  <c r="Y602" i="1"/>
  <c r="G609" i="1"/>
  <c r="AH617" i="1"/>
  <c r="P606" i="1"/>
  <c r="K608" i="1"/>
  <c r="B490" i="1"/>
  <c r="B441" i="1"/>
  <c r="H592" i="1"/>
  <c r="AB593" i="1"/>
  <c r="AD625" i="1"/>
  <c r="AF599" i="1"/>
  <c r="AO490" i="1"/>
  <c r="AO441" i="1"/>
  <c r="AI441" i="1"/>
  <c r="AI490" i="1"/>
  <c r="L441" i="1"/>
  <c r="L490" i="1"/>
  <c r="M441" i="1"/>
  <c r="M490" i="1"/>
  <c r="AM622" i="1"/>
  <c r="F619" i="1"/>
  <c r="M596" i="1"/>
  <c r="AN490" i="1"/>
  <c r="AN441" i="1"/>
  <c r="E441" i="1"/>
  <c r="E490" i="1"/>
  <c r="D596" i="1"/>
  <c r="O441" i="1"/>
  <c r="O490" i="1"/>
  <c r="AK615" i="1"/>
  <c r="M590" i="1"/>
  <c r="AD596" i="1"/>
  <c r="T599" i="1"/>
  <c r="J608" i="1"/>
  <c r="AB441" i="1"/>
  <c r="AB490" i="1"/>
  <c r="F441" i="1"/>
  <c r="F490" i="1"/>
  <c r="G441" i="1"/>
  <c r="G490" i="1"/>
  <c r="W441" i="1"/>
  <c r="W490" i="1"/>
  <c r="AL441" i="1"/>
  <c r="AL490" i="1"/>
  <c r="N592" i="1"/>
  <c r="H490" i="1"/>
  <c r="H441" i="1"/>
  <c r="AG441" i="1"/>
  <c r="AG490" i="1"/>
  <c r="V441" i="1"/>
  <c r="V490" i="1"/>
  <c r="X596" i="1"/>
  <c r="C618" i="1"/>
  <c r="AF608" i="1"/>
  <c r="C615" i="1"/>
  <c r="X490" i="1"/>
  <c r="X441" i="1"/>
  <c r="S441" i="1"/>
  <c r="S490" i="1"/>
  <c r="N441" i="1"/>
  <c r="N490" i="1"/>
  <c r="R441" i="1"/>
  <c r="R490" i="1"/>
  <c r="Q441" i="1"/>
  <c r="Q490" i="1"/>
  <c r="AM441" i="1"/>
  <c r="AM490" i="1"/>
  <c r="AO615" i="1"/>
  <c r="G599" i="1"/>
  <c r="J490" i="1"/>
  <c r="J441" i="1"/>
  <c r="Y441" i="1"/>
  <c r="Y490" i="1"/>
  <c r="U441" i="1"/>
  <c r="U490" i="1"/>
  <c r="P441" i="1"/>
  <c r="P490" i="1"/>
  <c r="AO592" i="1"/>
  <c r="AK593" i="1"/>
  <c r="AJ617" i="1"/>
  <c r="I490" i="1"/>
  <c r="I441" i="1"/>
  <c r="AJ490" i="1"/>
  <c r="AJ441" i="1"/>
  <c r="AK490" i="1"/>
  <c r="AK441" i="1"/>
  <c r="D619" i="1"/>
  <c r="W601" i="1"/>
  <c r="AA490" i="1"/>
  <c r="AA441" i="1"/>
  <c r="W618" i="1"/>
  <c r="AJ589" i="1"/>
  <c r="AD490" i="1"/>
  <c r="AD441" i="1"/>
  <c r="D490" i="1"/>
  <c r="D441" i="1"/>
  <c r="AK608" i="1"/>
  <c r="I619" i="1"/>
  <c r="AA602" i="1"/>
  <c r="X625" i="1"/>
  <c r="C490" i="1"/>
  <c r="C441" i="1"/>
  <c r="Z441" i="1"/>
  <c r="Z490" i="1"/>
  <c r="H604" i="1"/>
  <c r="W610" i="1"/>
  <c r="C596" i="1"/>
  <c r="S593" i="1"/>
  <c r="T441" i="1"/>
  <c r="T490" i="1"/>
  <c r="K441" i="1"/>
  <c r="K490" i="1"/>
  <c r="AF490" i="1"/>
  <c r="AF441" i="1"/>
  <c r="V590" i="1"/>
  <c r="AC441" i="1"/>
  <c r="AC490" i="1"/>
  <c r="AH441" i="1"/>
  <c r="AH490" i="1"/>
  <c r="AE441" i="1"/>
  <c r="AE490" i="1"/>
  <c r="H620" i="1"/>
  <c r="AA593" i="1"/>
  <c r="AI592" i="1"/>
  <c r="AJ625" i="1"/>
  <c r="M617" i="1"/>
  <c r="D592" i="1"/>
  <c r="N610" i="1"/>
  <c r="AM602" i="1"/>
  <c r="U587" i="1"/>
  <c r="AC587" i="1"/>
  <c r="AI610" i="1"/>
  <c r="B592" i="1"/>
  <c r="AH610" i="1"/>
  <c r="N617" i="1"/>
  <c r="D611" i="1"/>
  <c r="AN601" i="1"/>
  <c r="AF619" i="1"/>
  <c r="J617" i="1"/>
  <c r="AG608" i="1"/>
  <c r="M592" i="1"/>
  <c r="AI617" i="1"/>
  <c r="H617" i="1"/>
  <c r="F622" i="1"/>
  <c r="AF622" i="1"/>
  <c r="AK620" i="1"/>
  <c r="AJ608" i="1"/>
  <c r="C602" i="1"/>
  <c r="D609" i="1"/>
  <c r="E610" i="1"/>
  <c r="L592" i="1"/>
  <c r="Y606" i="1"/>
  <c r="G608" i="1"/>
  <c r="T615" i="1"/>
  <c r="J596" i="1"/>
  <c r="Q602" i="1"/>
  <c r="AF604" i="1"/>
  <c r="AO601" i="1"/>
  <c r="Z618" i="1"/>
  <c r="X615" i="1"/>
  <c r="G622" i="1"/>
  <c r="B593" i="1"/>
  <c r="AM615" i="1"/>
  <c r="L622" i="1"/>
  <c r="U601" i="1"/>
  <c r="AK592" i="1"/>
  <c r="AF601" i="1"/>
  <c r="AM592" i="1"/>
  <c r="I618" i="1"/>
  <c r="S587" i="1"/>
  <c r="R601" i="1"/>
  <c r="H606" i="1"/>
  <c r="AM617" i="1"/>
  <c r="V599" i="1"/>
  <c r="AA620" i="1"/>
  <c r="AF625" i="1"/>
  <c r="U618" i="1"/>
  <c r="T601" i="1"/>
  <c r="AJ619" i="1"/>
  <c r="U625" i="1"/>
  <c r="N599" i="1"/>
  <c r="AO604" i="1"/>
  <c r="O601" i="1"/>
  <c r="S604" i="1"/>
  <c r="AO609" i="1"/>
  <c r="U606" i="1"/>
  <c r="AH602" i="1"/>
  <c r="AJ587" i="1"/>
  <c r="AH599" i="1"/>
  <c r="P622" i="1"/>
  <c r="AL625" i="1"/>
  <c r="E622" i="1"/>
  <c r="AI620" i="1"/>
  <c r="AJ609" i="1"/>
  <c r="AD599" i="1"/>
  <c r="H596" i="1"/>
  <c r="AN602" i="1"/>
  <c r="AF596" i="1"/>
  <c r="U593" i="1"/>
  <c r="U609" i="1"/>
  <c r="N590" i="1"/>
  <c r="H625" i="1"/>
  <c r="AK606" i="1"/>
  <c r="K606" i="1"/>
  <c r="K620" i="1"/>
  <c r="H622" i="1"/>
  <c r="AL601" i="1"/>
  <c r="AH606" i="1"/>
  <c r="AL615" i="1"/>
  <c r="AO587" i="1"/>
  <c r="F610" i="1"/>
  <c r="AF618" i="1"/>
  <c r="Y615" i="1"/>
  <c r="F615" i="1"/>
  <c r="E592" i="1"/>
  <c r="AE587" i="1"/>
  <c r="AG587" i="1"/>
  <c r="AO606" i="1"/>
  <c r="D618" i="1"/>
  <c r="AC619" i="1"/>
  <c r="AE593" i="1"/>
  <c r="AB618" i="1"/>
  <c r="AC593" i="1"/>
  <c r="O620" i="1"/>
  <c r="AH593" i="1"/>
  <c r="AG604" i="1"/>
  <c r="AB590" i="1"/>
  <c r="S619" i="1"/>
  <c r="AH615" i="1"/>
  <c r="G625" i="1"/>
  <c r="O610" i="1"/>
  <c r="D622" i="1"/>
  <c r="G601" i="1"/>
  <c r="V617" i="1"/>
  <c r="E620" i="1"/>
  <c r="AI604" i="1"/>
  <c r="AL604" i="1"/>
  <c r="I602" i="1"/>
  <c r="AN587" i="1"/>
  <c r="P610" i="1"/>
  <c r="AB604" i="1"/>
  <c r="AI590" i="1"/>
  <c r="I620" i="1"/>
  <c r="I606" i="1"/>
  <c r="AE590" i="1"/>
  <c r="AL618" i="1"/>
  <c r="Z596" i="1"/>
  <c r="AD593" i="1"/>
  <c r="T596" i="1"/>
  <c r="AA599" i="1"/>
  <c r="AM596" i="1"/>
  <c r="B617" i="1"/>
  <c r="Y620" i="1"/>
  <c r="S622" i="1"/>
  <c r="R619" i="1"/>
  <c r="AM587" i="1"/>
  <c r="AC606" i="1"/>
  <c r="AF620" i="1"/>
  <c r="D599" i="1"/>
  <c r="F587" i="1"/>
  <c r="C593" i="1"/>
  <c r="AF592" i="1"/>
  <c r="AN606" i="1"/>
  <c r="U619" i="1"/>
  <c r="O617" i="1"/>
  <c r="AM620" i="1"/>
  <c r="AK617" i="1"/>
  <c r="H610" i="1"/>
  <c r="G615" i="1"/>
  <c r="AJ620" i="1"/>
  <c r="R620" i="1"/>
  <c r="W609" i="1"/>
  <c r="D601" i="1"/>
  <c r="W596" i="1"/>
  <c r="AB609" i="1"/>
  <c r="U615" i="1"/>
  <c r="L609" i="1"/>
  <c r="F609" i="1"/>
  <c r="U617" i="1"/>
  <c r="W608" i="1"/>
  <c r="I599" i="1"/>
  <c r="AA625" i="1"/>
  <c r="G593" i="1"/>
  <c r="V620" i="1"/>
  <c r="G602" i="1"/>
  <c r="AE622" i="1"/>
  <c r="AN604" i="1"/>
  <c r="AI609" i="1"/>
  <c r="F601" i="1"/>
  <c r="AA618" i="1"/>
  <c r="I601" i="1"/>
  <c r="V619" i="1"/>
  <c r="Q610" i="1"/>
  <c r="P618" i="1"/>
  <c r="B618" i="1"/>
  <c r="AM606" i="1"/>
  <c r="W604" i="1"/>
  <c r="AH608" i="1"/>
  <c r="Z615" i="1"/>
  <c r="AG617" i="1"/>
  <c r="AC604" i="1"/>
  <c r="T590" i="1"/>
  <c r="B587" i="1"/>
  <c r="AM608" i="1"/>
  <c r="J606" i="1"/>
  <c r="T625" i="1"/>
  <c r="G617" i="1"/>
  <c r="J620" i="1"/>
  <c r="AJ622" i="1"/>
  <c r="E599" i="1"/>
  <c r="AI593" i="1"/>
  <c r="Z606" i="1"/>
  <c r="O596" i="1"/>
  <c r="F604" i="1"/>
  <c r="V606" i="1"/>
  <c r="I604" i="1"/>
  <c r="F606" i="1"/>
  <c r="L610" i="1"/>
  <c r="AD609" i="1"/>
  <c r="E618" i="1"/>
  <c r="O618" i="1"/>
  <c r="J618" i="1"/>
  <c r="L596" i="1"/>
  <c r="Y608" i="1"/>
  <c r="T593" i="1"/>
  <c r="F596" i="1"/>
  <c r="B619" i="1"/>
  <c r="I592" i="1"/>
  <c r="AH596" i="1"/>
  <c r="Z620" i="1"/>
  <c r="AH620" i="1"/>
  <c r="E596" i="1"/>
  <c r="AE609" i="1"/>
  <c r="M593" i="1"/>
  <c r="W587" i="1"/>
  <c r="AA596" i="1"/>
  <c r="AE615" i="1"/>
  <c r="AD590" i="1"/>
  <c r="AG606" i="1"/>
  <c r="AG615" i="1"/>
  <c r="Z599" i="1"/>
  <c r="O609" i="1"/>
  <c r="C617" i="1"/>
  <c r="AD604" i="1"/>
  <c r="N615" i="1"/>
  <c r="AL619" i="1"/>
  <c r="AO625" i="1"/>
  <c r="AK590" i="1"/>
  <c r="AD608" i="1"/>
  <c r="G590" i="1"/>
  <c r="AG625" i="1"/>
  <c r="O592" i="1"/>
  <c r="H602" i="1"/>
  <c r="AO599" i="1"/>
  <c r="AH625" i="1"/>
  <c r="M610" i="1"/>
  <c r="AE599" i="1"/>
  <c r="L608" i="1"/>
  <c r="K592" i="1"/>
  <c r="Q601" i="1"/>
  <c r="C609" i="1"/>
  <c r="B608" i="1"/>
  <c r="AD592" i="1"/>
  <c r="AA604" i="1"/>
  <c r="Q606" i="1"/>
  <c r="AN609" i="1"/>
  <c r="AL596" i="1"/>
  <c r="X602" i="1"/>
  <c r="AN593" i="1"/>
  <c r="I617" i="1"/>
  <c r="J590" i="1"/>
  <c r="E601" i="1"/>
  <c r="J602" i="1"/>
  <c r="L618" i="1"/>
  <c r="D615" i="1"/>
  <c r="N601" i="1"/>
  <c r="AG599" i="1"/>
  <c r="AL617" i="1"/>
  <c r="AL608" i="1"/>
  <c r="AC590" i="1"/>
  <c r="I587" i="1"/>
  <c r="C625" i="1"/>
  <c r="AA617" i="1"/>
  <c r="J599" i="1"/>
  <c r="AB610" i="1"/>
  <c r="O604" i="1"/>
  <c r="Q608" i="1"/>
  <c r="AL590" i="1"/>
  <c r="P608" i="1"/>
  <c r="M608" i="1"/>
  <c r="C606" i="1"/>
  <c r="R593" i="1"/>
  <c r="T604" i="1"/>
  <c r="U604" i="1"/>
  <c r="AE608" i="1"/>
  <c r="AM593" i="1"/>
  <c r="R617" i="1"/>
  <c r="D604" i="1"/>
  <c r="T610" i="1"/>
  <c r="J593" i="1"/>
  <c r="Q625" i="1"/>
  <c r="H599" i="1"/>
  <c r="AK601" i="1"/>
  <c r="K619" i="1"/>
  <c r="P592" i="1"/>
  <c r="Z590" i="1"/>
  <c r="AB625" i="1"/>
  <c r="V609" i="1"/>
  <c r="AL620" i="1"/>
  <c r="AN617" i="1"/>
  <c r="AH604" i="1"/>
  <c r="O590" i="1"/>
  <c r="R592" i="1"/>
  <c r="N625" i="1"/>
  <c r="F608" i="1"/>
  <c r="E615" i="1"/>
  <c r="Z608" i="1"/>
  <c r="Q590" i="1"/>
  <c r="AG610" i="1"/>
  <c r="Z602" i="1"/>
  <c r="Q592" i="1"/>
  <c r="AC625" i="1"/>
  <c r="AN608" i="1"/>
  <c r="V604" i="1"/>
  <c r="AG619" i="1"/>
  <c r="F602" i="1"/>
  <c r="AM604" i="1"/>
  <c r="AI622" i="1"/>
  <c r="I622" i="1"/>
  <c r="M606" i="1"/>
  <c r="AC620" i="1"/>
  <c r="R609" i="1"/>
  <c r="Y622" i="1"/>
  <c r="R615" i="1"/>
  <c r="U592" i="1"/>
  <c r="J619" i="1"/>
  <c r="L619" i="1"/>
  <c r="AA590" i="1"/>
  <c r="AN615" i="1"/>
  <c r="X606" i="1"/>
  <c r="B590" i="1"/>
  <c r="AD587" i="1"/>
  <c r="V596" i="1"/>
  <c r="K625" i="1"/>
  <c r="Y625" i="1"/>
  <c r="AG593" i="1"/>
  <c r="E587" i="1"/>
  <c r="AE610" i="1"/>
  <c r="E590" i="1"/>
  <c r="AJ602" i="1"/>
  <c r="AM610" i="1"/>
  <c r="D593" i="1"/>
  <c r="P593" i="1"/>
  <c r="B609" i="1"/>
  <c r="AN618" i="1"/>
  <c r="K599" i="1"/>
  <c r="AN590" i="1"/>
  <c r="AH601" i="1"/>
  <c r="I590" i="1"/>
  <c r="I625" i="1"/>
  <c r="C604" i="1"/>
  <c r="AD622" i="1"/>
  <c r="AL587" i="1"/>
  <c r="AC596" i="1"/>
  <c r="L620" i="1"/>
  <c r="H608" i="1"/>
  <c r="Q587" i="1"/>
  <c r="I615" i="1"/>
  <c r="P625" i="1"/>
  <c r="P604" i="1"/>
  <c r="C622" i="1"/>
  <c r="I608" i="1"/>
  <c r="W622" i="1"/>
  <c r="Z609" i="1"/>
  <c r="O587" i="1"/>
  <c r="T592" i="1"/>
  <c r="O625" i="1"/>
  <c r="H590" i="1"/>
  <c r="AI625" i="1"/>
  <c r="N604" i="1"/>
  <c r="AK602" i="1"/>
  <c r="K615" i="1"/>
  <c r="K622" i="1"/>
  <c r="L601" i="1"/>
  <c r="AO596" i="1"/>
  <c r="AO622" i="1"/>
  <c r="V601" i="1"/>
  <c r="D617" i="1"/>
  <c r="AE618" i="1"/>
  <c r="H615" i="1"/>
  <c r="AL606" i="1"/>
  <c r="Z625" i="1"/>
  <c r="AA601" i="1"/>
  <c r="D590" i="1"/>
  <c r="AF606" i="1"/>
  <c r="C592" i="1"/>
  <c r="B615" i="1"/>
  <c r="AF593" i="1"/>
  <c r="H593" i="1"/>
  <c r="N596" i="1"/>
  <c r="Q620" i="1"/>
  <c r="AH622" i="1"/>
  <c r="S602" i="1"/>
  <c r="AM625" i="1"/>
  <c r="T608" i="1"/>
  <c r="AG592" i="1"/>
  <c r="L604" i="1"/>
  <c r="AI601" i="1"/>
  <c r="F620" i="1"/>
  <c r="J610" i="1"/>
  <c r="P590" i="1"/>
  <c r="L602" i="1"/>
  <c r="B599" i="1"/>
  <c r="AB596" i="1"/>
  <c r="E625" i="1"/>
  <c r="B622" i="1"/>
  <c r="AB622" i="1"/>
  <c r="V615" i="1"/>
  <c r="J587" i="1"/>
  <c r="V587" i="1"/>
  <c r="AI602" i="1"/>
  <c r="J592" i="1"/>
  <c r="AK625" i="1"/>
  <c r="W593" i="1"/>
  <c r="AD618" i="1"/>
  <c r="X599" i="1"/>
  <c r="Y604" i="1"/>
  <c r="AI587" i="1"/>
  <c r="AK610" i="1"/>
  <c r="D625" i="1"/>
  <c r="S625" i="1"/>
  <c r="M615" i="1"/>
  <c r="B601" i="1"/>
  <c r="P596" i="1"/>
  <c r="AJ606" i="1"/>
  <c r="X604" i="1"/>
  <c r="X609" i="1"/>
  <c r="N606" i="1"/>
  <c r="E593" i="1"/>
  <c r="R602" i="1"/>
  <c r="Z587" i="1"/>
  <c r="V592" i="1"/>
  <c r="J609" i="1"/>
  <c r="AG620" i="1"/>
  <c r="X592" i="1"/>
  <c r="U620" i="1"/>
  <c r="E604" i="1"/>
  <c r="Q604" i="1"/>
  <c r="AA592" i="1"/>
  <c r="AE602" i="1"/>
  <c r="AF617" i="1"/>
  <c r="N609" i="1"/>
  <c r="Z610" i="1"/>
  <c r="C599" i="1"/>
  <c r="AB592" i="1"/>
  <c r="M601" i="1"/>
  <c r="AN625" i="1"/>
  <c r="AN622" i="1"/>
  <c r="M587" i="1"/>
  <c r="M622" i="1"/>
  <c r="L587" i="1"/>
  <c r="H609" i="1"/>
  <c r="X617" i="1"/>
  <c r="V618" i="1"/>
  <c r="AG590" i="1"/>
  <c r="AN610" i="1"/>
  <c r="AF587" i="1"/>
  <c r="AB617" i="1"/>
  <c r="I596" i="1"/>
  <c r="AE601" i="1"/>
  <c r="AG601" i="1"/>
  <c r="O619" i="1"/>
  <c r="I609" i="1"/>
  <c r="D620" i="1"/>
  <c r="AD615" i="1"/>
  <c r="K596" i="1"/>
  <c r="T602" i="1"/>
  <c r="AC617" i="1"/>
  <c r="W620" i="1"/>
  <c r="G592" i="1"/>
  <c r="AG602" i="1"/>
  <c r="AE620" i="1"/>
  <c r="AE604" i="1"/>
  <c r="X618" i="1"/>
  <c r="AB599" i="1"/>
  <c r="P602" i="1"/>
  <c r="AI606" i="1"/>
  <c r="P615" i="1"/>
  <c r="J601" i="1"/>
  <c r="X622" i="1"/>
  <c r="F593" i="1"/>
  <c r="Y609" i="1"/>
  <c r="J622" i="1"/>
  <c r="E602" i="1"/>
  <c r="B625" i="1"/>
  <c r="AI619" i="1"/>
  <c r="T609" i="1"/>
  <c r="Z604" i="1"/>
  <c r="W592" i="1"/>
  <c r="B620" i="1"/>
  <c r="Z619" i="1"/>
  <c r="AK604" i="1"/>
  <c r="I593" i="1"/>
  <c r="W617" i="1"/>
  <c r="M620" i="1"/>
  <c r="K601" i="1"/>
  <c r="X619" i="1"/>
  <c r="O599" i="1"/>
  <c r="Q609" i="1"/>
  <c r="X590" i="1"/>
  <c r="AH590" i="1"/>
  <c r="L590" i="1"/>
  <c r="W619" i="1"/>
  <c r="V608" i="1"/>
  <c r="AE606" i="1"/>
  <c r="AC608" i="1"/>
  <c r="Y619" i="1"/>
  <c r="AL593" i="1"/>
  <c r="R604" i="1"/>
  <c r="C601" i="1"/>
  <c r="AK619" i="1"/>
  <c r="AC601" i="1"/>
  <c r="AK596" i="1"/>
  <c r="AA606" i="1"/>
  <c r="E609" i="1"/>
  <c r="O602" i="1"/>
  <c r="L599" i="1"/>
  <c r="X601" i="1"/>
  <c r="AM599" i="1"/>
  <c r="AN596" i="1"/>
  <c r="S618" i="1"/>
  <c r="E619" i="1"/>
  <c r="R625" i="1"/>
  <c r="R596" i="1"/>
  <c r="Y601" i="1"/>
  <c r="AC618" i="1"/>
  <c r="AF615" i="1"/>
  <c r="V625" i="1"/>
  <c r="O615" i="1"/>
  <c r="W599" i="1"/>
  <c r="G619" i="1"/>
  <c r="AG596" i="1"/>
  <c r="N593" i="1"/>
  <c r="AJ596" i="1"/>
  <c r="T587" i="1"/>
  <c r="L593" i="1"/>
  <c r="P587" i="1"/>
  <c r="AK609" i="1"/>
  <c r="K610" i="1"/>
  <c r="U602" i="1"/>
  <c r="AC622" i="1"/>
  <c r="T620" i="1"/>
  <c r="Y599" i="1"/>
  <c r="M599" i="1"/>
  <c r="L617" i="1"/>
  <c r="AO619" i="1"/>
  <c r="G620" i="1"/>
  <c r="AC609" i="1"/>
  <c r="AB615" i="1"/>
  <c r="N587" i="1"/>
  <c r="U610" i="1"/>
  <c r="B606" i="1"/>
  <c r="V593" i="1"/>
  <c r="U599" i="1"/>
  <c r="Q619" i="1"/>
  <c r="AK587" i="1"/>
  <c r="U608" i="1"/>
  <c r="D602" i="1"/>
  <c r="C587" i="1"/>
  <c r="C620" i="1"/>
  <c r="AM619" i="1"/>
  <c r="AA587" i="1"/>
  <c r="AN599" i="1"/>
  <c r="M625" i="1"/>
  <c r="AE625" i="1"/>
  <c r="Q596" i="1"/>
  <c r="AL602" i="1"/>
  <c r="F590" i="1"/>
  <c r="R608" i="1"/>
  <c r="E608" i="1"/>
  <c r="F617" i="1"/>
  <c r="O593" i="1"/>
  <c r="AM618" i="1"/>
  <c r="AK618" i="1"/>
  <c r="G618" i="1"/>
  <c r="S620" i="1"/>
  <c r="S609" i="1"/>
  <c r="Y590" i="1"/>
  <c r="T618" i="1"/>
  <c r="G610" i="1"/>
  <c r="K602" i="1"/>
  <c r="AF602" i="1"/>
  <c r="V622" i="1"/>
  <c r="AD602" i="1"/>
  <c r="O622" i="1"/>
  <c r="N618" i="1"/>
  <c r="Q593" i="1"/>
  <c r="X620" i="1"/>
  <c r="Q615" i="1"/>
  <c r="K587" i="1"/>
  <c r="AL599" i="1"/>
  <c r="AC599" i="1"/>
  <c r="F599" i="1"/>
  <c r="B604" i="1"/>
  <c r="V610" i="1"/>
  <c r="W590" i="1"/>
  <c r="AD601" i="1"/>
  <c r="T619" i="1"/>
  <c r="G596" i="1"/>
  <c r="K593" i="1"/>
  <c r="S592" i="1"/>
  <c r="AB602" i="1"/>
  <c r="AM601" i="1"/>
  <c r="R618" i="1"/>
  <c r="H601" i="1"/>
  <c r="AE619" i="1"/>
  <c r="AJ615" i="1"/>
  <c r="Q599" i="1"/>
  <c r="G604" i="1"/>
  <c r="R610" i="1"/>
  <c r="Q617" i="1"/>
  <c r="AI599" i="1"/>
  <c r="AB619" i="1"/>
  <c r="AA609" i="1"/>
  <c r="AB587" i="1"/>
  <c r="AF609" i="1"/>
  <c r="AM590" i="1"/>
  <c r="M618" i="1"/>
  <c r="S601" i="1"/>
  <c r="Y592" i="1"/>
  <c r="Y596" i="1"/>
  <c r="S596" i="1"/>
  <c r="AH587" i="1"/>
  <c r="U622" i="1"/>
  <c r="AO593" i="1"/>
  <c r="R622" i="1"/>
  <c r="AA608" i="1"/>
  <c r="AI596" i="1"/>
  <c r="X610" i="1"/>
  <c r="E606" i="1"/>
  <c r="AJ592" i="1"/>
  <c r="K617" i="1"/>
  <c r="W602" i="1"/>
  <c r="K604" i="1"/>
  <c r="AO618" i="1"/>
  <c r="Z622" i="1"/>
  <c r="AN592" i="1"/>
  <c r="AE596" i="1"/>
  <c r="AO602" i="1"/>
  <c r="AA619" i="1"/>
  <c r="Y593" i="1"/>
  <c r="R606" i="1"/>
  <c r="T606" i="1"/>
  <c r="AC615" i="1"/>
  <c r="AB608" i="1"/>
  <c r="C590" i="1"/>
  <c r="AJ599" i="1"/>
  <c r="F592" i="1"/>
  <c r="R590" i="1"/>
  <c r="M604" i="1"/>
  <c r="AL610" i="1"/>
  <c r="U590" i="1"/>
  <c r="Q622" i="1"/>
  <c r="P619" i="1"/>
  <c r="R599" i="1"/>
  <c r="N619" i="1"/>
  <c r="AJ618" i="1"/>
  <c r="AH592" i="1"/>
  <c r="AA622" i="1"/>
  <c r="AN619" i="1"/>
  <c r="AD606" i="1"/>
  <c r="AG609" i="1"/>
  <c r="AD619" i="1"/>
  <c r="D610" i="1"/>
  <c r="P599" i="1"/>
  <c r="AF590" i="1"/>
  <c r="Q618" i="1"/>
  <c r="F625" i="1"/>
  <c r="Z601" i="1"/>
  <c r="J615" i="1"/>
  <c r="D606" i="1"/>
  <c r="U596" i="1"/>
  <c r="AO617" i="1"/>
  <c r="D587" i="1"/>
  <c r="Y610" i="1"/>
  <c r="AC602" i="1"/>
  <c r="O606" i="1"/>
  <c r="H587" i="1"/>
  <c r="S610" i="1"/>
  <c r="AE617" i="1"/>
  <c r="K609" i="1"/>
  <c r="Z617" i="1"/>
  <c r="X608" i="1"/>
  <c r="J604" i="1"/>
  <c r="C610" i="1"/>
  <c r="T617" i="1"/>
  <c r="S615" i="1"/>
  <c r="AC610" i="1"/>
  <c r="AB606" i="1"/>
  <c r="F618" i="1"/>
  <c r="T622" i="1"/>
  <c r="M609" i="1"/>
  <c r="AL622" i="1"/>
  <c r="Z593" i="1"/>
  <c r="X587" i="1"/>
  <c r="R587" i="1"/>
  <c r="AO610" i="1"/>
  <c r="L606" i="1"/>
  <c r="Y587" i="1"/>
  <c r="C619" i="1"/>
  <c r="AH618" i="1"/>
  <c r="S590" i="1"/>
  <c r="K590" i="1"/>
  <c r="N608" i="1"/>
  <c r="AI615" i="1"/>
  <c r="AH619" i="1"/>
  <c r="E617" i="1"/>
  <c r="N620" i="1"/>
  <c r="M619" i="1"/>
  <c r="O608" i="1"/>
  <c r="AB601" i="1"/>
  <c r="AI608" i="1"/>
  <c r="AK622" i="1"/>
  <c r="N602" i="1"/>
  <c r="AE592" i="1"/>
  <c r="W606" i="1"/>
  <c r="AD617" i="1"/>
  <c r="W625" i="1"/>
  <c r="AG622" i="1"/>
  <c r="L625" i="1"/>
  <c r="AF610" i="1"/>
  <c r="P601" i="1"/>
  <c r="AL609" i="1"/>
  <c r="AD620" i="1"/>
  <c r="P609" i="1"/>
  <c r="L615" i="1"/>
  <c r="H618" i="1"/>
  <c r="U624" i="1" l="1"/>
  <c r="S624" i="1"/>
  <c r="Z624" i="1"/>
  <c r="N624" i="1"/>
  <c r="O624" i="1"/>
  <c r="AF624" i="1"/>
  <c r="F624" i="1"/>
  <c r="G624" i="1"/>
  <c r="D624" i="1"/>
  <c r="P624" i="1"/>
  <c r="L624" i="1"/>
  <c r="AK624" i="1"/>
  <c r="C624" i="1"/>
  <c r="AI624" i="1"/>
  <c r="AA624" i="1"/>
  <c r="K624" i="1"/>
  <c r="V607" i="1"/>
  <c r="I607" i="1"/>
  <c r="AO588" i="1"/>
  <c r="P607" i="1"/>
  <c r="AH607" i="1"/>
  <c r="C607" i="1"/>
  <c r="AM607" i="1"/>
  <c r="Y607" i="1"/>
  <c r="AJ588" i="1"/>
  <c r="X588" i="1"/>
  <c r="B588" i="1"/>
  <c r="J588" i="1"/>
  <c r="H588" i="1"/>
  <c r="AE588" i="1"/>
  <c r="Y588" i="1"/>
  <c r="AG588" i="1"/>
  <c r="AD588" i="1"/>
  <c r="M588" i="1"/>
  <c r="W588" i="1"/>
  <c r="AC588" i="1"/>
  <c r="T588" i="1"/>
  <c r="I588" i="1"/>
  <c r="P588" i="1"/>
  <c r="O588" i="1"/>
  <c r="E588" i="1"/>
  <c r="U588" i="1"/>
  <c r="D588" i="1"/>
  <c r="AN588" i="1"/>
  <c r="AL588" i="1"/>
  <c r="AF588" i="1"/>
  <c r="AA588" i="1"/>
  <c r="AM588" i="1"/>
  <c r="AH588" i="1"/>
  <c r="AK588" i="1"/>
  <c r="R588" i="1"/>
  <c r="AI588" i="1"/>
  <c r="F588" i="1"/>
  <c r="L588" i="1"/>
  <c r="N588" i="1"/>
  <c r="Q588" i="1"/>
  <c r="AB588" i="1"/>
  <c r="S588" i="1"/>
  <c r="K588" i="1"/>
  <c r="V588" i="1"/>
  <c r="G588" i="1"/>
  <c r="Z588" i="1"/>
  <c r="C588" i="1"/>
  <c r="B636" i="1" l="1" a="1"/>
  <c r="L636" i="1" s="1"/>
  <c r="U656" i="1" l="1"/>
  <c r="S670" i="1"/>
  <c r="X649" i="1"/>
  <c r="J636" i="1"/>
  <c r="AD665" i="1"/>
  <c r="Z652" i="1"/>
  <c r="R672" i="1"/>
  <c r="AL668" i="1"/>
  <c r="V645" i="1"/>
  <c r="AI673" i="1"/>
  <c r="Y654" i="1"/>
  <c r="AO669" i="1"/>
  <c r="R668" i="1"/>
  <c r="D661" i="1"/>
  <c r="AM666" i="1"/>
  <c r="AB649" i="1"/>
  <c r="P664" i="1"/>
  <c r="I661" i="1"/>
  <c r="X650" i="1"/>
  <c r="AN649" i="1"/>
  <c r="AN673" i="1"/>
  <c r="Y657" i="1"/>
  <c r="AJ657" i="1"/>
  <c r="G663" i="1"/>
  <c r="H650" i="1"/>
  <c r="AB672" i="1"/>
  <c r="B674" i="1"/>
  <c r="F656" i="1"/>
  <c r="U639" i="1"/>
  <c r="AG656" i="1"/>
  <c r="L669" i="1"/>
  <c r="W672" i="1"/>
  <c r="X637" i="1"/>
  <c r="AG665" i="1"/>
  <c r="W659" i="1"/>
  <c r="W645" i="1"/>
  <c r="W641" i="1"/>
  <c r="I657" i="1"/>
  <c r="N639" i="1"/>
  <c r="G651" i="1"/>
  <c r="I641" i="1"/>
  <c r="L655" i="1"/>
  <c r="AB646" i="1"/>
  <c r="W673" i="1"/>
  <c r="D643" i="1"/>
  <c r="AM672" i="1"/>
  <c r="AO645" i="1"/>
  <c r="AC636" i="1"/>
  <c r="K659" i="1"/>
  <c r="AK667" i="1"/>
  <c r="AH642" i="1"/>
  <c r="F663" i="1"/>
  <c r="AA654" i="1"/>
  <c r="AN667" i="1"/>
  <c r="AL655" i="1"/>
  <c r="AM659" i="1"/>
  <c r="Q652" i="1"/>
  <c r="B651" i="1"/>
  <c r="AL661" i="1"/>
  <c r="P661" i="1"/>
  <c r="O665" i="1"/>
  <c r="AH665" i="1"/>
  <c r="W656" i="1"/>
  <c r="U642" i="1"/>
  <c r="W660" i="1"/>
  <c r="AH643" i="1"/>
  <c r="Y639" i="1"/>
  <c r="P642" i="1"/>
  <c r="AL654" i="1"/>
  <c r="AA670" i="1"/>
  <c r="AJ649" i="1"/>
  <c r="Z655" i="1"/>
  <c r="Z672" i="1"/>
  <c r="E645" i="1"/>
  <c r="S669" i="1"/>
  <c r="Q670" i="1"/>
  <c r="V647" i="1"/>
  <c r="M647" i="1"/>
  <c r="F658" i="1"/>
  <c r="E660" i="1"/>
  <c r="K640" i="1"/>
  <c r="C672" i="1"/>
  <c r="AE660" i="1"/>
  <c r="N636" i="1"/>
  <c r="N641" i="1"/>
  <c r="AK643" i="1"/>
  <c r="F649" i="1"/>
  <c r="AL638" i="1"/>
  <c r="X648" i="1"/>
  <c r="Y652" i="1"/>
  <c r="AD647" i="1"/>
  <c r="AF673" i="1"/>
  <c r="S636" i="1"/>
  <c r="S649" i="1"/>
  <c r="Q648" i="1"/>
  <c r="P658" i="1"/>
  <c r="Z671" i="1"/>
  <c r="AB644" i="1"/>
  <c r="AM662" i="1"/>
  <c r="Z667" i="1"/>
  <c r="M637" i="1"/>
  <c r="W666" i="1"/>
  <c r="AI669" i="1"/>
  <c r="J652" i="1"/>
  <c r="I663" i="1"/>
  <c r="AG668" i="1"/>
  <c r="P641" i="1"/>
  <c r="D666" i="1"/>
  <c r="H642" i="1"/>
  <c r="P662" i="1"/>
  <c r="AO664" i="1"/>
  <c r="S667" i="1"/>
  <c r="N662" i="1"/>
  <c r="AO644" i="1"/>
  <c r="AO666" i="1"/>
  <c r="AH656" i="1"/>
  <c r="L646" i="1"/>
  <c r="AG667" i="1"/>
  <c r="L673" i="1"/>
  <c r="C644" i="1"/>
  <c r="C669" i="1"/>
  <c r="I655" i="1"/>
  <c r="G672" i="1"/>
  <c r="AM670" i="1"/>
  <c r="O664" i="1"/>
  <c r="AB659" i="1"/>
  <c r="AK672" i="1"/>
  <c r="AK669" i="1"/>
  <c r="I644" i="1"/>
  <c r="I665" i="1"/>
  <c r="S650" i="1"/>
  <c r="K642" i="1"/>
  <c r="AI649" i="1"/>
  <c r="AJ640" i="1"/>
  <c r="AL672" i="1"/>
  <c r="Y663" i="1"/>
  <c r="AC654" i="1"/>
  <c r="D639" i="1"/>
  <c r="G662" i="1"/>
  <c r="AO667" i="1"/>
  <c r="AC658" i="1"/>
  <c r="S654" i="1"/>
  <c r="P650" i="1"/>
  <c r="D648" i="1"/>
  <c r="AO638" i="1"/>
  <c r="AA674" i="1"/>
  <c r="Y640" i="1"/>
  <c r="K651" i="1"/>
  <c r="C671" i="1"/>
  <c r="D674" i="1"/>
  <c r="O671" i="1"/>
  <c r="J639" i="1"/>
  <c r="C636" i="1"/>
  <c r="W653" i="1"/>
  <c r="J675" i="1"/>
  <c r="B673" i="1"/>
  <c r="M654" i="1"/>
  <c r="K650" i="1"/>
  <c r="AA655" i="1"/>
  <c r="AH670" i="1"/>
  <c r="AO640" i="1"/>
  <c r="X654" i="1"/>
  <c r="AE661" i="1"/>
  <c r="U657" i="1"/>
  <c r="AM646" i="1"/>
  <c r="D659" i="1"/>
  <c r="D651" i="1"/>
  <c r="Y642" i="1"/>
  <c r="AK655" i="1"/>
  <c r="AN638" i="1"/>
  <c r="E639" i="1"/>
  <c r="AO641" i="1"/>
  <c r="I638" i="1"/>
  <c r="V652" i="1"/>
  <c r="K645" i="1"/>
  <c r="V675" i="1"/>
  <c r="AL667" i="1"/>
  <c r="AA651" i="1"/>
  <c r="AL647" i="1"/>
  <c r="V642" i="1"/>
  <c r="P647" i="1"/>
  <c r="F654" i="1"/>
  <c r="AK648" i="1"/>
  <c r="L659" i="1"/>
  <c r="C647" i="1"/>
  <c r="V668" i="1"/>
  <c r="B672" i="1"/>
  <c r="M664" i="1"/>
  <c r="Z642" i="1"/>
  <c r="AI662" i="1"/>
  <c r="T642" i="1"/>
  <c r="AE638" i="1"/>
  <c r="U666" i="1"/>
  <c r="Q655" i="1"/>
  <c r="E671" i="1"/>
  <c r="AO670" i="1"/>
  <c r="F650" i="1"/>
  <c r="O661" i="1"/>
  <c r="AA649" i="1"/>
  <c r="AK670" i="1"/>
  <c r="AL670" i="1"/>
  <c r="P674" i="1"/>
  <c r="U664" i="1"/>
  <c r="P646" i="1"/>
  <c r="AO659" i="1"/>
  <c r="Q641" i="1"/>
  <c r="AF671" i="1"/>
  <c r="L661" i="1"/>
  <c r="W669" i="1"/>
  <c r="W647" i="1"/>
  <c r="Y636" i="1"/>
  <c r="P667" i="1"/>
  <c r="AF644" i="1"/>
  <c r="P657" i="1"/>
  <c r="V657" i="1"/>
  <c r="N647" i="1"/>
  <c r="AB673" i="1"/>
  <c r="U638" i="1"/>
  <c r="AE645" i="1"/>
  <c r="I660" i="1"/>
  <c r="F667" i="1"/>
  <c r="AK649" i="1"/>
  <c r="B668" i="1"/>
  <c r="B637" i="1"/>
  <c r="V651" i="1"/>
  <c r="AF660" i="1"/>
  <c r="Q664" i="1"/>
  <c r="AA642" i="1"/>
  <c r="J663" i="1"/>
  <c r="S665" i="1"/>
  <c r="AB674" i="1"/>
  <c r="AN648" i="1"/>
  <c r="Z668" i="1"/>
  <c r="AI658" i="1"/>
  <c r="J661" i="1"/>
  <c r="K662" i="1"/>
  <c r="I675" i="1"/>
  <c r="J651" i="1"/>
  <c r="S653" i="1"/>
  <c r="U643" i="1"/>
  <c r="O643" i="1"/>
  <c r="U672" i="1"/>
  <c r="D668" i="1"/>
  <c r="F675" i="1"/>
  <c r="AD658" i="1"/>
  <c r="AG654" i="1"/>
  <c r="AA638" i="1"/>
  <c r="R664" i="1"/>
  <c r="I649" i="1"/>
  <c r="N665" i="1"/>
  <c r="AK650" i="1"/>
  <c r="W658" i="1"/>
  <c r="Y675" i="1"/>
  <c r="AG649" i="1"/>
  <c r="AI636" i="1"/>
  <c r="AN668" i="1"/>
  <c r="J645" i="1"/>
  <c r="O673" i="1"/>
  <c r="AM673" i="1"/>
  <c r="X653" i="1"/>
  <c r="F652" i="1"/>
  <c r="AG653" i="1"/>
  <c r="AC649" i="1"/>
  <c r="V646" i="1"/>
  <c r="AC637" i="1"/>
  <c r="F647" i="1"/>
  <c r="I671" i="1"/>
  <c r="Q644" i="1"/>
  <c r="P645" i="1"/>
  <c r="Q662" i="1"/>
  <c r="AB660" i="1"/>
  <c r="O666" i="1"/>
  <c r="U667" i="1"/>
  <c r="AA647" i="1"/>
  <c r="D673" i="1"/>
  <c r="Q646" i="1"/>
  <c r="C675" i="1"/>
  <c r="T653" i="1"/>
  <c r="Z663" i="1"/>
  <c r="AJ662" i="1"/>
  <c r="AL664" i="1"/>
  <c r="L666" i="1"/>
  <c r="E655" i="1"/>
  <c r="AM647" i="1"/>
  <c r="W643" i="1"/>
  <c r="T638" i="1"/>
  <c r="U670" i="1"/>
  <c r="F659" i="1"/>
  <c r="J641" i="1"/>
  <c r="G649" i="1"/>
  <c r="G646" i="1"/>
  <c r="AG661" i="1"/>
  <c r="J644" i="1"/>
  <c r="J638" i="1"/>
  <c r="AN645" i="1"/>
  <c r="AB650" i="1"/>
  <c r="R674" i="1"/>
  <c r="AH638" i="1"/>
  <c r="C661" i="1"/>
  <c r="E665" i="1"/>
  <c r="E664" i="1"/>
  <c r="AJ641" i="1"/>
  <c r="AC651" i="1"/>
  <c r="AD643" i="1"/>
  <c r="M651" i="1"/>
  <c r="AG657" i="1"/>
  <c r="AE666" i="1"/>
  <c r="D662" i="1"/>
  <c r="AB640" i="1"/>
  <c r="AC643" i="1"/>
  <c r="Y650" i="1"/>
  <c r="P663" i="1"/>
  <c r="AH674" i="1"/>
  <c r="U658" i="1"/>
  <c r="O660" i="1"/>
  <c r="L674" i="1"/>
  <c r="AD661" i="1"/>
  <c r="O659" i="1"/>
  <c r="I658" i="1"/>
  <c r="AF668" i="1"/>
  <c r="AI667" i="1"/>
  <c r="AO652" i="1"/>
  <c r="X670" i="1"/>
  <c r="J656" i="1"/>
  <c r="AI675" i="1"/>
  <c r="P670" i="1"/>
  <c r="S645" i="1"/>
  <c r="AO646" i="1"/>
  <c r="S647" i="1"/>
  <c r="AH645" i="1"/>
  <c r="Q674" i="1"/>
  <c r="AF659" i="1"/>
  <c r="Y662" i="1"/>
  <c r="AM644" i="1"/>
  <c r="L639" i="1"/>
  <c r="AN672" i="1"/>
  <c r="AD662" i="1"/>
  <c r="AB643" i="1"/>
  <c r="Q650" i="1"/>
  <c r="AE652" i="1"/>
  <c r="N654" i="1"/>
  <c r="AC666" i="1"/>
  <c r="AD636" i="1"/>
  <c r="AM648" i="1"/>
  <c r="D638" i="1"/>
  <c r="AD649" i="1"/>
  <c r="AB667" i="1"/>
  <c r="J657" i="1"/>
  <c r="T647" i="1"/>
  <c r="W674" i="1"/>
  <c r="AL648" i="1"/>
  <c r="AN669" i="1"/>
  <c r="D656" i="1"/>
  <c r="M666" i="1"/>
  <c r="AK663" i="1"/>
  <c r="N645" i="1"/>
  <c r="S641" i="1"/>
  <c r="AD641" i="1"/>
  <c r="L670" i="1"/>
  <c r="R645" i="1"/>
  <c r="Z639" i="1"/>
  <c r="F643" i="1"/>
  <c r="H663" i="1"/>
  <c r="AC640" i="1"/>
  <c r="R663" i="1"/>
  <c r="Q665" i="1"/>
  <c r="W636" i="1"/>
  <c r="AL662" i="1"/>
  <c r="P654" i="1"/>
  <c r="J646" i="1"/>
  <c r="T651" i="1"/>
  <c r="AL669" i="1"/>
  <c r="AC646" i="1"/>
  <c r="H673" i="1"/>
  <c r="K647" i="1"/>
  <c r="Y665" i="1"/>
  <c r="AO649" i="1"/>
  <c r="E644" i="1"/>
  <c r="W662" i="1"/>
  <c r="W651" i="1"/>
  <c r="O637" i="1"/>
  <c r="Z641" i="1"/>
  <c r="Y655" i="1"/>
  <c r="AJ654" i="1"/>
  <c r="AC659" i="1"/>
  <c r="AG643" i="1"/>
  <c r="AM656" i="1"/>
  <c r="V648" i="1"/>
  <c r="E647" i="1"/>
  <c r="F648" i="1"/>
  <c r="T668" i="1"/>
  <c r="X641" i="1"/>
  <c r="F673" i="1"/>
  <c r="AE674" i="1"/>
  <c r="AG639" i="1"/>
  <c r="Q661" i="1"/>
  <c r="AB654" i="1"/>
  <c r="V662" i="1"/>
  <c r="N671" i="1"/>
  <c r="L665" i="1"/>
  <c r="Y660" i="1"/>
  <c r="F645" i="1"/>
  <c r="E661" i="1"/>
  <c r="AJ660" i="1"/>
  <c r="F671" i="1"/>
  <c r="B647" i="1"/>
  <c r="O669" i="1"/>
  <c r="K672" i="1"/>
  <c r="B665" i="1"/>
  <c r="AM637" i="1"/>
  <c r="AB664" i="1"/>
  <c r="O636" i="1"/>
  <c r="P648" i="1"/>
  <c r="T649" i="1"/>
  <c r="Q637" i="1"/>
  <c r="T662" i="1"/>
  <c r="H647" i="1"/>
  <c r="AM667" i="1"/>
  <c r="D669" i="1"/>
  <c r="L653" i="1"/>
  <c r="K653" i="1"/>
  <c r="R654" i="1"/>
  <c r="F653" i="1"/>
  <c r="Z660" i="1"/>
  <c r="N666" i="1"/>
  <c r="AD673" i="1"/>
  <c r="X639" i="1"/>
  <c r="AF640" i="1"/>
  <c r="AC660" i="1"/>
  <c r="I670" i="1"/>
  <c r="E656" i="1"/>
  <c r="AD638" i="1"/>
  <c r="T640" i="1"/>
  <c r="W652" i="1"/>
  <c r="U663" i="1"/>
  <c r="I674" i="1"/>
  <c r="E662" i="1"/>
  <c r="AE643" i="1"/>
  <c r="Q658" i="1"/>
  <c r="AA653" i="1"/>
  <c r="AJ653" i="1"/>
  <c r="AM664" i="1"/>
  <c r="C646" i="1"/>
  <c r="O663" i="1"/>
  <c r="K643" i="1"/>
  <c r="AK674" i="1"/>
  <c r="AL653" i="1"/>
  <c r="G636" i="1"/>
  <c r="O648" i="1"/>
  <c r="AB669" i="1"/>
  <c r="T637" i="1"/>
  <c r="Y664" i="1"/>
  <c r="AI646" i="1"/>
  <c r="R658" i="1"/>
  <c r="U646" i="1"/>
  <c r="AF653" i="1"/>
  <c r="AH673" i="1"/>
  <c r="W650" i="1"/>
  <c r="J664" i="1"/>
  <c r="AE654" i="1"/>
  <c r="U655" i="1"/>
  <c r="O642" i="1"/>
  <c r="W675" i="1"/>
  <c r="AF638" i="1"/>
  <c r="K648" i="1"/>
  <c r="P649" i="1"/>
  <c r="AI645" i="1"/>
  <c r="H666" i="1"/>
  <c r="AG648" i="1"/>
  <c r="P653" i="1"/>
  <c r="J649" i="1"/>
  <c r="H638" i="1"/>
  <c r="B663" i="1"/>
  <c r="AH651" i="1"/>
  <c r="AG674" i="1"/>
  <c r="U653" i="1"/>
  <c r="W663" i="1"/>
  <c r="J659" i="1"/>
  <c r="S644" i="1"/>
  <c r="J640" i="1"/>
  <c r="J642" i="1"/>
  <c r="V665" i="1"/>
  <c r="C641" i="1"/>
  <c r="AF674" i="1"/>
  <c r="C667" i="1"/>
  <c r="AO657" i="1"/>
  <c r="S661" i="1"/>
  <c r="AM638" i="1"/>
  <c r="Z657" i="1"/>
  <c r="AA659" i="1"/>
  <c r="AI643" i="1"/>
  <c r="O670" i="1"/>
  <c r="X642" i="1"/>
  <c r="AL645" i="1"/>
  <c r="K665" i="1"/>
  <c r="AL644" i="1"/>
  <c r="AE663" i="1"/>
  <c r="N667" i="1"/>
  <c r="AK642" i="1"/>
  <c r="W638" i="1"/>
  <c r="AM640" i="1"/>
  <c r="AI655" i="1"/>
  <c r="AB639" i="1"/>
  <c r="Z637" i="1"/>
  <c r="AB641" i="1"/>
  <c r="AK640" i="1"/>
  <c r="AE671" i="1"/>
  <c r="R636" i="1"/>
  <c r="AM658" i="1"/>
  <c r="AL650" i="1"/>
  <c r="AG652" i="1"/>
  <c r="AK662" i="1"/>
  <c r="O654" i="1"/>
  <c r="X672" i="1"/>
  <c r="N675" i="1"/>
  <c r="N664" i="1"/>
  <c r="H651" i="1"/>
  <c r="AM660" i="1"/>
  <c r="C655" i="1"/>
  <c r="AG658" i="1"/>
  <c r="E653" i="1"/>
  <c r="AM636" i="1"/>
  <c r="J674" i="1"/>
  <c r="AA669" i="1"/>
  <c r="V660" i="1"/>
  <c r="AK659" i="1"/>
  <c r="AJ638" i="1"/>
  <c r="AF670" i="1"/>
  <c r="V656" i="1"/>
  <c r="AK636" i="1"/>
  <c r="V649" i="1"/>
  <c r="K658" i="1"/>
  <c r="J669" i="1"/>
  <c r="AG651" i="1"/>
  <c r="M663" i="1"/>
  <c r="AF637" i="1"/>
  <c r="H661" i="1"/>
  <c r="AC638" i="1"/>
  <c r="AE648" i="1"/>
  <c r="I639" i="1"/>
  <c r="G670" i="1"/>
  <c r="L638" i="1"/>
  <c r="AK637" i="1"/>
  <c r="X638" i="1"/>
  <c r="AG670" i="1"/>
  <c r="Q654" i="1"/>
  <c r="AC655" i="1"/>
  <c r="Q651" i="1"/>
  <c r="W655" i="1"/>
  <c r="AH661" i="1"/>
  <c r="AN644" i="1"/>
  <c r="AN657" i="1"/>
  <c r="AL657" i="1"/>
  <c r="I672" i="1"/>
  <c r="AJ637" i="1"/>
  <c r="AD674" i="1"/>
  <c r="O655" i="1"/>
  <c r="AO643" i="1"/>
  <c r="Z645" i="1"/>
  <c r="AE650" i="1"/>
  <c r="N643" i="1"/>
  <c r="AG641" i="1"/>
  <c r="D655" i="1"/>
  <c r="M674" i="1"/>
  <c r="AL666" i="1"/>
  <c r="AF656" i="1"/>
  <c r="E670" i="1"/>
  <c r="AL656" i="1"/>
  <c r="AF661" i="1"/>
  <c r="AB663" i="1"/>
  <c r="N637" i="1"/>
  <c r="O658" i="1"/>
  <c r="M641" i="1"/>
  <c r="AD668" i="1"/>
  <c r="AF655" i="1"/>
  <c r="W657" i="1"/>
  <c r="P656" i="1"/>
  <c r="S674" i="1"/>
  <c r="AD650" i="1"/>
  <c r="G659" i="1"/>
  <c r="B650" i="1"/>
  <c r="S643" i="1"/>
  <c r="L642" i="1"/>
  <c r="F639" i="1"/>
  <c r="AO653" i="1"/>
  <c r="D640" i="1"/>
  <c r="AH646" i="1"/>
  <c r="L668" i="1"/>
  <c r="AC652" i="1"/>
  <c r="AD648" i="1"/>
  <c r="AN658" i="1"/>
  <c r="E668" i="1"/>
  <c r="T648" i="1"/>
  <c r="T658" i="1"/>
  <c r="K669" i="1"/>
  <c r="M656" i="1"/>
  <c r="AJ645" i="1"/>
  <c r="M636" i="1"/>
  <c r="I673" i="1"/>
  <c r="M662" i="1"/>
  <c r="T656" i="1"/>
  <c r="AM650" i="1"/>
  <c r="I645" i="1"/>
  <c r="AK654" i="1"/>
  <c r="AM654" i="1"/>
  <c r="AC674" i="1"/>
  <c r="H654" i="1"/>
  <c r="AI664" i="1"/>
  <c r="S656" i="1"/>
  <c r="Q659" i="1"/>
  <c r="X657" i="1"/>
  <c r="R657" i="1"/>
  <c r="T673" i="1"/>
  <c r="F646" i="1"/>
  <c r="AF658" i="1"/>
  <c r="E674" i="1"/>
  <c r="O651" i="1"/>
  <c r="B649" i="1"/>
  <c r="Q663" i="1"/>
  <c r="N660" i="1"/>
  <c r="F662" i="1"/>
  <c r="K638" i="1"/>
  <c r="AG666" i="1"/>
  <c r="G644" i="1"/>
  <c r="AE669" i="1"/>
  <c r="I669" i="1"/>
  <c r="AN675" i="1"/>
  <c r="AA668" i="1"/>
  <c r="AL640" i="1"/>
  <c r="B652" i="1"/>
  <c r="AD644" i="1"/>
  <c r="O662" i="1"/>
  <c r="AO675" i="1"/>
  <c r="AD640" i="1"/>
  <c r="R659" i="1"/>
  <c r="AH675" i="1"/>
  <c r="AG636" i="1"/>
  <c r="AM668" i="1"/>
  <c r="AE646" i="1"/>
  <c r="AK664" i="1"/>
  <c r="AI663" i="1"/>
  <c r="Q666" i="1"/>
  <c r="U662" i="1"/>
  <c r="AA646" i="1"/>
  <c r="K646" i="1"/>
  <c r="S638" i="1"/>
  <c r="AO654" i="1"/>
  <c r="B648" i="1"/>
  <c r="C649" i="1"/>
  <c r="N663" i="1"/>
  <c r="D653" i="1"/>
  <c r="AE637" i="1"/>
  <c r="E641" i="1"/>
  <c r="G650" i="1"/>
  <c r="AD667" i="1"/>
  <c r="Y661" i="1"/>
  <c r="AL674" i="1"/>
  <c r="Q643" i="1"/>
  <c r="AN647" i="1"/>
  <c r="Q645" i="1"/>
  <c r="AC644" i="1"/>
  <c r="R639" i="1"/>
  <c r="AD655" i="1"/>
  <c r="E659" i="1"/>
  <c r="X640" i="1"/>
  <c r="X664" i="1"/>
  <c r="J666" i="1"/>
  <c r="Z647" i="1"/>
  <c r="AC665" i="1"/>
  <c r="AF651" i="1"/>
  <c r="P638" i="1"/>
  <c r="T671" i="1"/>
  <c r="M655" i="1"/>
  <c r="AE649" i="1"/>
  <c r="AG647" i="1"/>
  <c r="AD672" i="1"/>
  <c r="B653" i="1"/>
  <c r="T669" i="1"/>
  <c r="L657" i="1"/>
  <c r="R643" i="1"/>
  <c r="B662" i="1"/>
  <c r="AJ642" i="1"/>
  <c r="B655" i="1"/>
  <c r="D637" i="1"/>
  <c r="K649" i="1"/>
  <c r="S675" i="1"/>
  <c r="AC650" i="1"/>
  <c r="AB651" i="1"/>
  <c r="I648" i="1"/>
  <c r="V637" i="1"/>
  <c r="AK656" i="1"/>
  <c r="AK671" i="1"/>
  <c r="K674" i="1"/>
  <c r="AH667" i="1"/>
  <c r="B645" i="1"/>
  <c r="Y658" i="1"/>
  <c r="P666" i="1"/>
  <c r="V650" i="1"/>
  <c r="K667" i="1"/>
  <c r="N670" i="1"/>
  <c r="K671" i="1"/>
  <c r="O646" i="1"/>
  <c r="E657" i="1"/>
  <c r="B667" i="1"/>
  <c r="AC668" i="1"/>
  <c r="AN642" i="1"/>
  <c r="K660" i="1"/>
  <c r="AI657" i="1"/>
  <c r="P673" i="1"/>
  <c r="AK644" i="1"/>
  <c r="Q668" i="1"/>
  <c r="Y649" i="1"/>
  <c r="AA673" i="1"/>
  <c r="AF639" i="1"/>
  <c r="D654" i="1"/>
  <c r="AI671" i="1"/>
  <c r="AN640" i="1"/>
  <c r="M665" i="1"/>
  <c r="AJ655" i="1"/>
  <c r="AJ663" i="1"/>
  <c r="N673" i="1"/>
  <c r="T646" i="1"/>
  <c r="C651" i="1"/>
  <c r="T666" i="1"/>
  <c r="M661" i="1"/>
  <c r="E648" i="1"/>
  <c r="AG664" i="1"/>
  <c r="AN664" i="1"/>
  <c r="AN663" i="1"/>
  <c r="R644" i="1"/>
  <c r="Z656" i="1"/>
  <c r="W665" i="1"/>
  <c r="AN636" i="1"/>
  <c r="E658" i="1"/>
  <c r="B660" i="1"/>
  <c r="AF669" i="1"/>
  <c r="AN643" i="1"/>
  <c r="V654" i="1"/>
  <c r="F670" i="1"/>
  <c r="B657" i="1"/>
  <c r="AA637" i="1"/>
  <c r="L654" i="1"/>
  <c r="F657" i="1"/>
  <c r="E637" i="1"/>
  <c r="AK651" i="1"/>
  <c r="G655" i="1"/>
  <c r="M667" i="1"/>
  <c r="U661" i="1"/>
  <c r="F640" i="1"/>
  <c r="B658" i="1"/>
  <c r="O675" i="1"/>
  <c r="AM661" i="1"/>
  <c r="O652" i="1"/>
  <c r="AI654" i="1"/>
  <c r="E638" i="1"/>
  <c r="AH657" i="1"/>
  <c r="U650" i="1"/>
  <c r="W639" i="1"/>
  <c r="T639" i="1"/>
  <c r="V659" i="1"/>
  <c r="AK646" i="1"/>
  <c r="H655" i="1"/>
  <c r="AG663" i="1"/>
  <c r="AJ675" i="1"/>
  <c r="K644" i="1"/>
  <c r="G657" i="1"/>
  <c r="O639" i="1"/>
  <c r="D650" i="1"/>
  <c r="U668" i="1"/>
  <c r="D641" i="1"/>
  <c r="Z664" i="1"/>
  <c r="AD664" i="1"/>
  <c r="AN651" i="1"/>
  <c r="AB661" i="1"/>
  <c r="S652" i="1"/>
  <c r="AH658" i="1"/>
  <c r="L641" i="1"/>
  <c r="AE658" i="1"/>
  <c r="U651" i="1"/>
  <c r="AJ659" i="1"/>
  <c r="I659" i="1"/>
  <c r="AA657" i="1"/>
  <c r="L656" i="1"/>
  <c r="R642" i="1"/>
  <c r="J637" i="1"/>
  <c r="G642" i="1"/>
  <c r="G667" i="1"/>
  <c r="AA665" i="1"/>
  <c r="Z654" i="1"/>
  <c r="Q669" i="1"/>
  <c r="AF643" i="1"/>
  <c r="AH652" i="1"/>
  <c r="Z638" i="1"/>
  <c r="X643" i="1"/>
  <c r="P652" i="1"/>
  <c r="T650" i="1"/>
  <c r="AG650" i="1"/>
  <c r="C663" i="1"/>
  <c r="B640" i="1"/>
  <c r="E673" i="1"/>
  <c r="AN665" i="1"/>
  <c r="R637" i="1"/>
  <c r="AO674" i="1"/>
  <c r="M675" i="1"/>
  <c r="K652" i="1"/>
  <c r="AL658" i="1"/>
  <c r="AN641" i="1"/>
  <c r="J647" i="1"/>
  <c r="AN655" i="1"/>
  <c r="H644" i="1"/>
  <c r="X674" i="1"/>
  <c r="F668" i="1"/>
  <c r="W649" i="1"/>
  <c r="AO647" i="1"/>
  <c r="R648" i="1"/>
  <c r="AH648" i="1"/>
  <c r="AA675" i="1"/>
  <c r="X668" i="1"/>
  <c r="AG669" i="1"/>
  <c r="S655" i="1"/>
  <c r="AG662" i="1"/>
  <c r="I664" i="1"/>
  <c r="AD656" i="1"/>
  <c r="AO642" i="1"/>
  <c r="G658" i="1"/>
  <c r="AD663" i="1"/>
  <c r="AC647" i="1"/>
  <c r="T657" i="1"/>
  <c r="O649" i="1"/>
  <c r="AC656" i="1"/>
  <c r="AD652" i="1"/>
  <c r="D642" i="1"/>
  <c r="G675" i="1"/>
  <c r="P636" i="1"/>
  <c r="H664" i="1"/>
  <c r="AJ639" i="1"/>
  <c r="AM643" i="1"/>
  <c r="M644" i="1"/>
  <c r="AF648" i="1"/>
  <c r="K656" i="1"/>
  <c r="AK647" i="1"/>
  <c r="N638" i="1"/>
  <c r="T663" i="1"/>
  <c r="AE672" i="1"/>
  <c r="L664" i="1"/>
  <c r="Y644" i="1"/>
  <c r="D670" i="1"/>
  <c r="AD657" i="1"/>
  <c r="N674" i="1"/>
  <c r="L672" i="1"/>
  <c r="O668" i="1"/>
  <c r="AF663" i="1"/>
  <c r="K663" i="1"/>
  <c r="I640" i="1"/>
  <c r="G639" i="1"/>
  <c r="S651" i="1"/>
  <c r="G666" i="1"/>
  <c r="H674" i="1"/>
  <c r="AA639" i="1"/>
  <c r="AE665" i="1"/>
  <c r="AH644" i="1"/>
  <c r="S658" i="1"/>
  <c r="AA672" i="1"/>
  <c r="W642" i="1"/>
  <c r="AI660" i="1"/>
  <c r="AL637" i="1"/>
  <c r="P659" i="1"/>
  <c r="AF657" i="1"/>
  <c r="X651" i="1"/>
  <c r="AE642" i="1"/>
  <c r="U674" i="1"/>
  <c r="AN637" i="1"/>
  <c r="B669" i="1"/>
  <c r="V661" i="1"/>
  <c r="AF662" i="1"/>
  <c r="AK660" i="1"/>
  <c r="Q639" i="1"/>
  <c r="AK675" i="1"/>
  <c r="AJ652" i="1"/>
  <c r="AI652" i="1"/>
  <c r="C673" i="1"/>
  <c r="G638" i="1"/>
  <c r="B670" i="1"/>
  <c r="F674" i="1"/>
  <c r="AD639" i="1"/>
  <c r="AH668" i="1"/>
  <c r="AA661" i="1"/>
  <c r="G671" i="1"/>
  <c r="AB671" i="1"/>
  <c r="J653" i="1"/>
  <c r="E663" i="1"/>
  <c r="AG637" i="1"/>
  <c r="Y653" i="1"/>
  <c r="AI642" i="1"/>
  <c r="V667" i="1"/>
  <c r="R670" i="1"/>
  <c r="AF672" i="1"/>
  <c r="AI638" i="1"/>
  <c r="AC671" i="1"/>
  <c r="AA656" i="1"/>
  <c r="R638" i="1"/>
  <c r="AA660" i="1"/>
  <c r="AB636" i="1"/>
  <c r="V643" i="1"/>
  <c r="Y641" i="1"/>
  <c r="F636" i="1"/>
  <c r="B654" i="1"/>
  <c r="AO656" i="1"/>
  <c r="U673" i="1"/>
  <c r="AJ658" i="1"/>
  <c r="I643" i="1"/>
  <c r="P665" i="1"/>
  <c r="AO639" i="1"/>
  <c r="AM657" i="1"/>
  <c r="S666" i="1"/>
  <c r="M638" i="1"/>
  <c r="AB645" i="1"/>
  <c r="M639" i="1"/>
  <c r="D665" i="1"/>
  <c r="AK668" i="1"/>
  <c r="Z670" i="1"/>
  <c r="U660" i="1"/>
  <c r="AK652" i="1"/>
  <c r="Q667" i="1"/>
  <c r="Z669" i="1"/>
  <c r="AN650" i="1"/>
  <c r="L649" i="1"/>
  <c r="I642" i="1"/>
  <c r="V636" i="1"/>
  <c r="W661" i="1"/>
  <c r="AC642" i="1"/>
  <c r="E642" i="1"/>
  <c r="M643" i="1"/>
  <c r="O647" i="1"/>
  <c r="T636" i="1"/>
  <c r="G641" i="1"/>
  <c r="AF675" i="1"/>
  <c r="K668" i="1"/>
  <c r="AC645" i="1"/>
  <c r="AG660" i="1"/>
  <c r="I654" i="1"/>
  <c r="I636" i="1"/>
  <c r="Q638" i="1"/>
  <c r="AN666" i="1"/>
  <c r="W670" i="1"/>
  <c r="Z659" i="1"/>
  <c r="AM675" i="1"/>
  <c r="I667" i="1"/>
  <c r="M646" i="1"/>
  <c r="B661" i="1"/>
  <c r="T661" i="1"/>
  <c r="N652" i="1"/>
  <c r="X662" i="1"/>
  <c r="S639" i="1"/>
  <c r="V664" i="1"/>
  <c r="J670" i="1"/>
  <c r="W648" i="1"/>
  <c r="V644" i="1"/>
  <c r="V638" i="1"/>
  <c r="N653" i="1"/>
  <c r="M671" i="1"/>
  <c r="AJ644" i="1"/>
  <c r="P668" i="1"/>
  <c r="W654" i="1"/>
  <c r="AB670" i="1"/>
  <c r="D664" i="1"/>
  <c r="W668" i="1"/>
  <c r="F661" i="1"/>
  <c r="Z653" i="1"/>
  <c r="V672" i="1"/>
  <c r="AH655" i="1"/>
  <c r="C656" i="1"/>
  <c r="S637" i="1"/>
  <c r="Y671" i="1"/>
  <c r="J672" i="1"/>
  <c r="AN654" i="1"/>
  <c r="X656" i="1"/>
  <c r="AC653" i="1"/>
  <c r="C654" i="1"/>
  <c r="C648" i="1"/>
  <c r="R673" i="1"/>
  <c r="AN656" i="1"/>
  <c r="AL663" i="1"/>
  <c r="G647" i="1"/>
  <c r="X673" i="1"/>
  <c r="H665" i="1"/>
  <c r="AK645" i="1"/>
  <c r="O645" i="1"/>
  <c r="H662" i="1"/>
  <c r="D636" i="1"/>
  <c r="AB658" i="1"/>
  <c r="C662" i="1"/>
  <c r="AI650" i="1"/>
  <c r="C643" i="1"/>
  <c r="B636" i="1"/>
  <c r="AN671" i="1"/>
  <c r="AC669" i="1"/>
  <c r="AI670" i="1"/>
  <c r="AA658" i="1"/>
  <c r="J655" i="1"/>
  <c r="AK658" i="1"/>
  <c r="V669" i="1"/>
  <c r="AF647" i="1"/>
  <c r="P669" i="1"/>
  <c r="AC648" i="1"/>
  <c r="C657" i="1"/>
  <c r="U671" i="1"/>
  <c r="AM674" i="1"/>
  <c r="AD646" i="1"/>
  <c r="T667" i="1"/>
  <c r="J673" i="1"/>
  <c r="AF636" i="1"/>
  <c r="H672" i="1"/>
  <c r="AJ674" i="1"/>
  <c r="Z666" i="1"/>
  <c r="N640" i="1"/>
  <c r="AJ646" i="1"/>
  <c r="F641" i="1"/>
  <c r="Y672" i="1"/>
  <c r="L644" i="1"/>
  <c r="U640" i="1"/>
  <c r="N668" i="1"/>
  <c r="C650" i="1"/>
  <c r="AJ661" i="1"/>
  <c r="AL649" i="1"/>
  <c r="AO672" i="1"/>
  <c r="X671" i="1"/>
  <c r="AL671" i="1"/>
  <c r="AA663" i="1"/>
  <c r="K675" i="1"/>
  <c r="U654" i="1"/>
  <c r="S659" i="1"/>
  <c r="S657" i="1"/>
  <c r="X644" i="1"/>
  <c r="H636" i="1"/>
  <c r="M668" i="1"/>
  <c r="L667" i="1"/>
  <c r="AB665" i="1"/>
  <c r="U659" i="1"/>
  <c r="Q653" i="1"/>
  <c r="G653" i="1"/>
  <c r="Y674" i="1"/>
  <c r="Z675" i="1"/>
  <c r="I651" i="1"/>
  <c r="H669" i="1"/>
  <c r="J654" i="1"/>
  <c r="C640" i="1"/>
  <c r="B671" i="1"/>
  <c r="T655" i="1"/>
  <c r="AK673" i="1"/>
  <c r="AJ670" i="1"/>
  <c r="AH663" i="1"/>
  <c r="AF645" i="1"/>
  <c r="P671" i="1"/>
  <c r="H637" i="1"/>
  <c r="O653" i="1"/>
  <c r="K639" i="1"/>
  <c r="G654" i="1"/>
  <c r="AA641" i="1"/>
  <c r="I650" i="1"/>
  <c r="J643" i="1"/>
  <c r="W646" i="1"/>
  <c r="AE653" i="1"/>
  <c r="G674" i="1"/>
  <c r="E650" i="1"/>
  <c r="H658" i="1"/>
  <c r="C642" i="1"/>
  <c r="M650" i="1"/>
  <c r="AE664" i="1"/>
  <c r="D672" i="1"/>
  <c r="L650" i="1"/>
  <c r="AL643" i="1"/>
  <c r="G643" i="1"/>
  <c r="AF642" i="1"/>
  <c r="AK653" i="1"/>
  <c r="U648" i="1"/>
  <c r="R647" i="1"/>
  <c r="Z648" i="1"/>
  <c r="B659" i="1"/>
  <c r="AO665" i="1"/>
  <c r="AD671" i="1"/>
  <c r="AC657" i="1"/>
  <c r="N657" i="1"/>
  <c r="AD645" i="1"/>
  <c r="AF654" i="1"/>
  <c r="M649" i="1"/>
  <c r="R652" i="1"/>
  <c r="P644" i="1"/>
  <c r="R649" i="1"/>
  <c r="T641" i="1"/>
  <c r="H667" i="1"/>
  <c r="G648" i="1"/>
  <c r="AI647" i="1"/>
  <c r="G669" i="1"/>
  <c r="AD642" i="1"/>
  <c r="AH649" i="1"/>
  <c r="AO671" i="1"/>
  <c r="O640" i="1"/>
  <c r="H653" i="1"/>
  <c r="AH654" i="1"/>
  <c r="H641" i="1"/>
  <c r="AE673" i="1"/>
  <c r="AH640" i="1"/>
  <c r="N646" i="1"/>
  <c r="E654" i="1"/>
  <c r="O638" i="1"/>
  <c r="G656" i="1"/>
  <c r="M652" i="1"/>
  <c r="AH662" i="1"/>
  <c r="Y645" i="1"/>
  <c r="AI637" i="1"/>
  <c r="AD651" i="1"/>
  <c r="AM639" i="1"/>
  <c r="AN674" i="1"/>
  <c r="AH669" i="1"/>
  <c r="Q660" i="1"/>
  <c r="Z636" i="1"/>
  <c r="AB642" i="1"/>
  <c r="E675" i="1"/>
  <c r="K636" i="1"/>
  <c r="C653" i="1"/>
  <c r="C660" i="1"/>
  <c r="H645" i="1"/>
  <c r="Q656" i="1"/>
  <c r="AG672" i="1"/>
  <c r="AA644" i="1"/>
  <c r="AL642" i="1"/>
  <c r="AC641" i="1"/>
  <c r="AK665" i="1"/>
  <c r="AI674" i="1"/>
  <c r="AO658" i="1"/>
  <c r="X647" i="1"/>
  <c r="L648" i="1"/>
  <c r="AG640" i="1"/>
  <c r="L660" i="1"/>
  <c r="AO662" i="1"/>
  <c r="J660" i="1"/>
  <c r="M653" i="1"/>
  <c r="J667" i="1"/>
  <c r="C670" i="1"/>
  <c r="AG655" i="1"/>
  <c r="R665" i="1"/>
  <c r="G673" i="1"/>
  <c r="R650" i="1"/>
  <c r="AM669" i="1"/>
  <c r="AA667" i="1"/>
  <c r="I668" i="1"/>
  <c r="F664" i="1"/>
  <c r="Z673" i="1"/>
  <c r="AK638" i="1"/>
  <c r="AM671" i="1"/>
  <c r="U669" i="1"/>
  <c r="AN670" i="1"/>
  <c r="D658" i="1"/>
  <c r="D671" i="1"/>
  <c r="V640" i="1"/>
  <c r="AD660" i="1"/>
  <c r="AF641" i="1"/>
  <c r="I652" i="1"/>
  <c r="B675" i="1"/>
  <c r="V673" i="1"/>
  <c r="AL641" i="1"/>
  <c r="X666" i="1"/>
  <c r="AC663" i="1"/>
  <c r="AH641" i="1"/>
  <c r="D657" i="1"/>
  <c r="F672" i="1"/>
  <c r="AI644" i="1"/>
  <c r="F660" i="1"/>
  <c r="Z662" i="1"/>
  <c r="M658" i="1"/>
  <c r="R667" i="1"/>
  <c r="AB668" i="1"/>
  <c r="O656" i="1"/>
  <c r="Y651" i="1"/>
  <c r="O657" i="1"/>
  <c r="X659" i="1"/>
  <c r="AK661" i="1"/>
  <c r="H660" i="1"/>
  <c r="H639" i="1"/>
  <c r="AA648" i="1"/>
  <c r="T659" i="1"/>
  <c r="AG642" i="1"/>
  <c r="AE668" i="1"/>
  <c r="AM642" i="1"/>
  <c r="Z640" i="1"/>
  <c r="AC672" i="1"/>
  <c r="AH639" i="1"/>
  <c r="AE675" i="1"/>
  <c r="S660" i="1"/>
  <c r="AD659" i="1"/>
  <c r="AE641" i="1"/>
  <c r="Q647" i="1"/>
  <c r="AI659" i="1"/>
  <c r="AG638" i="1"/>
  <c r="AN662" i="1"/>
  <c r="J650" i="1"/>
  <c r="R646" i="1"/>
  <c r="AA662" i="1"/>
  <c r="U652" i="1"/>
  <c r="M657" i="1"/>
  <c r="AA671" i="1"/>
  <c r="O644" i="1"/>
  <c r="J668" i="1"/>
  <c r="AM641" i="1"/>
  <c r="S664" i="1"/>
  <c r="N656" i="1"/>
  <c r="N672" i="1"/>
  <c r="E640" i="1"/>
  <c r="AJ667" i="1"/>
  <c r="K657" i="1"/>
  <c r="Z646" i="1"/>
  <c r="O641" i="1"/>
  <c r="D667" i="1"/>
  <c r="I653" i="1"/>
  <c r="T654" i="1"/>
  <c r="H671" i="1"/>
  <c r="I656" i="1"/>
  <c r="M645" i="1"/>
  <c r="G645" i="1"/>
  <c r="AK639" i="1"/>
  <c r="X646" i="1"/>
  <c r="C659" i="1"/>
  <c r="P640" i="1"/>
  <c r="AJ673" i="1"/>
  <c r="B639" i="1"/>
  <c r="G668" i="1"/>
  <c r="AO655" i="1"/>
  <c r="J662" i="1"/>
  <c r="AO663" i="1"/>
  <c r="AD669" i="1"/>
  <c r="U649" i="1"/>
  <c r="J658" i="1"/>
  <c r="AJ647" i="1"/>
  <c r="X645" i="1"/>
  <c r="I662" i="1"/>
  <c r="Q642" i="1"/>
  <c r="E672" i="1"/>
  <c r="P672" i="1"/>
  <c r="S671" i="1"/>
  <c r="Z643" i="1"/>
  <c r="D645" i="1"/>
  <c r="N669" i="1"/>
  <c r="G637" i="1"/>
  <c r="Y670" i="1"/>
  <c r="X658" i="1"/>
  <c r="AN652" i="1"/>
  <c r="AI641" i="1"/>
  <c r="G640" i="1"/>
  <c r="L645" i="1"/>
  <c r="AE636" i="1"/>
  <c r="B666" i="1"/>
  <c r="AB638" i="1"/>
  <c r="Y659" i="1"/>
  <c r="AH666" i="1"/>
  <c r="M669" i="1"/>
  <c r="AM651" i="1"/>
  <c r="H643" i="1"/>
  <c r="AN653" i="1"/>
  <c r="G660" i="1"/>
  <c r="AL675" i="1"/>
  <c r="K670" i="1"/>
  <c r="AF646" i="1"/>
  <c r="AM665" i="1"/>
  <c r="V663" i="1"/>
  <c r="AE640" i="1"/>
  <c r="AL639" i="1"/>
  <c r="AA636" i="1"/>
  <c r="E669" i="1"/>
  <c r="J671" i="1"/>
  <c r="F638" i="1"/>
  <c r="V658" i="1"/>
  <c r="AB647" i="1"/>
  <c r="AH650" i="1"/>
  <c r="AM645" i="1"/>
  <c r="V671" i="1"/>
  <c r="AO668" i="1"/>
  <c r="AG659" i="1"/>
  <c r="AK666" i="1"/>
  <c r="T643" i="1"/>
  <c r="AG645" i="1"/>
  <c r="T670" i="1"/>
  <c r="N655" i="1"/>
  <c r="Z665" i="1"/>
  <c r="F655" i="1"/>
  <c r="AB652" i="1"/>
  <c r="M660" i="1"/>
  <c r="L637" i="1"/>
  <c r="M648" i="1"/>
  <c r="R656" i="1"/>
  <c r="AC661" i="1"/>
  <c r="AC667" i="1"/>
  <c r="AJ636" i="1"/>
  <c r="AB675" i="1"/>
  <c r="H648" i="1"/>
  <c r="AF664" i="1"/>
  <c r="S662" i="1"/>
  <c r="N649" i="1"/>
  <c r="Z674" i="1"/>
  <c r="E652" i="1"/>
  <c r="M659" i="1"/>
  <c r="AD670" i="1"/>
  <c r="M642" i="1"/>
  <c r="AL646" i="1"/>
  <c r="E666" i="1"/>
  <c r="AI653" i="1"/>
  <c r="G661" i="1"/>
  <c r="AJ656" i="1"/>
  <c r="R655" i="1"/>
  <c r="R662" i="1"/>
  <c r="AF666" i="1"/>
  <c r="Y668" i="1"/>
  <c r="S648" i="1"/>
  <c r="T674" i="1"/>
  <c r="AG646" i="1"/>
  <c r="R640" i="1"/>
  <c r="AO661" i="1"/>
  <c r="K637" i="1"/>
  <c r="AM649" i="1"/>
  <c r="AI668" i="1"/>
  <c r="AE655" i="1"/>
  <c r="Y673" i="1"/>
  <c r="J665" i="1"/>
  <c r="H657" i="1"/>
  <c r="AB648" i="1"/>
  <c r="R661" i="1"/>
  <c r="B643" i="1"/>
  <c r="AB666" i="1"/>
  <c r="AH647" i="1"/>
  <c r="AA650" i="1"/>
  <c r="AI656" i="1"/>
  <c r="M672" i="1"/>
  <c r="AI648" i="1"/>
  <c r="L662" i="1"/>
  <c r="Q649" i="1"/>
  <c r="AA664" i="1"/>
  <c r="Q675" i="1"/>
  <c r="J648" i="1"/>
  <c r="C652" i="1"/>
  <c r="AC662" i="1"/>
  <c r="D660" i="1"/>
  <c r="AI666" i="1"/>
  <c r="E667" i="1"/>
  <c r="C637" i="1"/>
  <c r="AD675" i="1"/>
  <c r="X652" i="1"/>
  <c r="G665" i="1"/>
  <c r="R669" i="1"/>
  <c r="AJ669" i="1"/>
  <c r="P660" i="1"/>
  <c r="Y637" i="1"/>
  <c r="V639" i="1"/>
  <c r="AI639" i="1"/>
  <c r="Y666" i="1"/>
  <c r="U647" i="1"/>
  <c r="L652" i="1"/>
  <c r="AB662" i="1"/>
  <c r="AD637" i="1"/>
  <c r="AJ650" i="1"/>
  <c r="AC639" i="1"/>
  <c r="AK657" i="1"/>
  <c r="O674" i="1"/>
  <c r="Q673" i="1"/>
  <c r="AD666" i="1"/>
  <c r="H670" i="1"/>
  <c r="AJ672" i="1"/>
  <c r="U665" i="1"/>
  <c r="C639" i="1"/>
  <c r="AO651" i="1"/>
  <c r="L651" i="1"/>
  <c r="AE651" i="1"/>
  <c r="D647" i="1"/>
  <c r="AJ671" i="1"/>
  <c r="AL660" i="1"/>
  <c r="AO648" i="1"/>
  <c r="AL652" i="1"/>
  <c r="S646" i="1"/>
  <c r="E636" i="1"/>
  <c r="AK641" i="1"/>
  <c r="X669" i="1"/>
  <c r="Z661" i="1"/>
  <c r="E646" i="1"/>
  <c r="R641" i="1"/>
  <c r="AF667" i="1"/>
  <c r="AI665" i="1"/>
  <c r="L671" i="1"/>
  <c r="R660" i="1"/>
  <c r="AF652" i="1"/>
  <c r="H646" i="1"/>
  <c r="N648" i="1"/>
  <c r="W667" i="1"/>
  <c r="W637" i="1"/>
  <c r="AJ651" i="1"/>
  <c r="D652" i="1"/>
  <c r="I666" i="1"/>
  <c r="AB655" i="1"/>
  <c r="AB653" i="1"/>
  <c r="Z650" i="1"/>
  <c r="AO673" i="1"/>
  <c r="AH671" i="1"/>
  <c r="AJ664" i="1"/>
  <c r="AN660" i="1"/>
  <c r="L663" i="1"/>
  <c r="AL651" i="1"/>
  <c r="S672" i="1"/>
  <c r="Z649" i="1"/>
  <c r="X665" i="1"/>
  <c r="B664" i="1"/>
  <c r="AH659" i="1"/>
  <c r="AM653" i="1"/>
  <c r="AN639" i="1"/>
  <c r="Y667" i="1"/>
  <c r="AH636" i="1"/>
  <c r="X655" i="1"/>
  <c r="H656" i="1"/>
  <c r="U645" i="1"/>
  <c r="D646" i="1"/>
  <c r="K661" i="1"/>
  <c r="P655" i="1"/>
  <c r="AI661" i="1"/>
  <c r="Y656" i="1"/>
  <c r="AE656" i="1"/>
  <c r="Q672" i="1"/>
  <c r="H659" i="1"/>
  <c r="Z651" i="1"/>
  <c r="AJ665" i="1"/>
  <c r="P675" i="1"/>
  <c r="H652" i="1"/>
  <c r="Q636" i="1"/>
  <c r="AA645" i="1"/>
  <c r="R651" i="1"/>
  <c r="V674" i="1"/>
  <c r="X636" i="1"/>
  <c r="F642" i="1"/>
  <c r="S673" i="1"/>
  <c r="C674" i="1"/>
  <c r="N644" i="1"/>
  <c r="X661" i="1"/>
  <c r="AM663" i="1"/>
  <c r="T672" i="1"/>
  <c r="C638" i="1"/>
  <c r="N650" i="1"/>
  <c r="V655" i="1"/>
  <c r="O650" i="1"/>
  <c r="AB637" i="1"/>
  <c r="Y647" i="1"/>
  <c r="O667" i="1"/>
  <c r="W640" i="1"/>
  <c r="C666" i="1"/>
  <c r="F644" i="1"/>
  <c r="AF665" i="1"/>
  <c r="N651" i="1"/>
  <c r="E651" i="1"/>
  <c r="G652" i="1"/>
  <c r="T665" i="1"/>
  <c r="N661" i="1"/>
  <c r="AH637" i="1"/>
  <c r="AO650" i="1"/>
  <c r="C658" i="1"/>
  <c r="C665" i="1"/>
  <c r="AH660" i="1"/>
  <c r="K664" i="1"/>
  <c r="S663" i="1"/>
  <c r="AJ648" i="1"/>
  <c r="U641" i="1"/>
  <c r="D663" i="1"/>
  <c r="V653" i="1"/>
  <c r="Y643" i="1"/>
  <c r="AE647" i="1"/>
  <c r="AD653" i="1"/>
  <c r="C645" i="1"/>
  <c r="AL636" i="1"/>
  <c r="H649" i="1"/>
  <c r="AB656" i="1"/>
  <c r="AI640" i="1"/>
  <c r="B642" i="1"/>
  <c r="N659" i="1"/>
  <c r="I647" i="1"/>
  <c r="AI672" i="1"/>
  <c r="AF649" i="1"/>
  <c r="S640" i="1"/>
  <c r="P651" i="1"/>
  <c r="AJ668" i="1"/>
  <c r="Y648" i="1"/>
  <c r="AG675" i="1"/>
  <c r="AE657" i="1"/>
  <c r="K666" i="1"/>
  <c r="P639" i="1"/>
  <c r="B656" i="1"/>
  <c r="Q640" i="1"/>
  <c r="L658" i="1"/>
  <c r="Z644" i="1"/>
  <c r="U637" i="1"/>
  <c r="D644" i="1"/>
  <c r="AG644" i="1"/>
  <c r="T652" i="1"/>
  <c r="R675" i="1"/>
  <c r="L643" i="1"/>
  <c r="AH672" i="1"/>
  <c r="T644" i="1"/>
  <c r="F637" i="1"/>
  <c r="T675" i="1"/>
  <c r="Z658" i="1"/>
  <c r="R653" i="1"/>
  <c r="H668" i="1"/>
  <c r="AL665" i="1"/>
  <c r="K673" i="1"/>
  <c r="L675" i="1"/>
  <c r="C668" i="1"/>
  <c r="W644" i="1"/>
  <c r="W671" i="1"/>
  <c r="V670" i="1"/>
  <c r="AE667" i="1"/>
  <c r="R666" i="1"/>
  <c r="AH664" i="1"/>
  <c r="X660" i="1"/>
  <c r="F651" i="1"/>
  <c r="M673" i="1"/>
  <c r="AA643" i="1"/>
  <c r="B638" i="1"/>
  <c r="AL659" i="1"/>
  <c r="C664" i="1"/>
  <c r="AM652" i="1"/>
  <c r="AO637" i="1"/>
  <c r="H675" i="1"/>
  <c r="AA640" i="1"/>
  <c r="AM655" i="1"/>
  <c r="AB657" i="1"/>
  <c r="AF650" i="1"/>
  <c r="P643" i="1"/>
  <c r="T645" i="1"/>
  <c r="K655" i="1"/>
  <c r="U675" i="1"/>
  <c r="Y646" i="1"/>
  <c r="G664" i="1"/>
  <c r="AC664" i="1"/>
  <c r="AN661" i="1"/>
  <c r="N658" i="1"/>
  <c r="S668" i="1"/>
  <c r="B644" i="1"/>
  <c r="B641" i="1"/>
  <c r="AO660" i="1"/>
  <c r="AE639" i="1"/>
  <c r="I646" i="1"/>
  <c r="L647" i="1"/>
  <c r="R671" i="1"/>
  <c r="AO636" i="1"/>
  <c r="E649" i="1"/>
  <c r="V641" i="1"/>
  <c r="D649" i="1"/>
  <c r="F666" i="1"/>
  <c r="D675" i="1"/>
  <c r="L640" i="1"/>
  <c r="AN646" i="1"/>
  <c r="E643" i="1"/>
  <c r="Q671" i="1"/>
  <c r="I637" i="1"/>
  <c r="N642" i="1"/>
  <c r="O672" i="1"/>
  <c r="S642" i="1"/>
  <c r="Q657" i="1"/>
  <c r="AL673" i="1"/>
  <c r="AE670" i="1"/>
  <c r="T664" i="1"/>
  <c r="AN659" i="1"/>
  <c r="AE659" i="1"/>
  <c r="M640" i="1"/>
  <c r="X663" i="1"/>
  <c r="Y669" i="1"/>
  <c r="AA652" i="1"/>
  <c r="X675" i="1"/>
  <c r="AH653" i="1"/>
  <c r="AI651" i="1"/>
  <c r="AC673" i="1"/>
  <c r="K654" i="1"/>
  <c r="P637" i="1"/>
  <c r="F669" i="1"/>
  <c r="Y638" i="1"/>
  <c r="M670" i="1"/>
  <c r="K641" i="1"/>
  <c r="AG671" i="1"/>
  <c r="AJ643" i="1"/>
  <c r="AG673" i="1"/>
  <c r="AC670" i="1"/>
  <c r="AC675" i="1"/>
  <c r="AA666" i="1"/>
  <c r="U636" i="1"/>
  <c r="T660" i="1"/>
  <c r="AD654" i="1"/>
  <c r="X667" i="1"/>
  <c r="AJ666" i="1"/>
  <c r="V666" i="1"/>
  <c r="H640" i="1"/>
  <c r="AE662" i="1"/>
  <c r="B646" i="1"/>
  <c r="U644" i="1"/>
  <c r="W664" i="1"/>
  <c r="AE644" i="1"/>
  <c r="F665" i="1"/>
  <c r="AT636" i="1" l="1" a="1"/>
  <c r="AT647" i="1" s="1"/>
  <c r="M116" i="1" s="1"/>
  <c r="M123" i="1" s="1"/>
  <c r="AT659" i="1" l="1"/>
  <c r="Y116" i="1" s="1"/>
  <c r="Y123" i="1" s="1"/>
  <c r="AT674" i="1"/>
  <c r="AN116" i="1" s="1"/>
  <c r="AN119" i="1" s="1"/>
  <c r="M135" i="1"/>
  <c r="AT672" i="1"/>
  <c r="AL116" i="1" s="1"/>
  <c r="AV188" i="1" s="1"/>
  <c r="AT667" i="1"/>
  <c r="AG116" i="1" s="1"/>
  <c r="AQ188" i="1" s="1"/>
  <c r="AT669" i="1"/>
  <c r="AI116" i="1" s="1"/>
  <c r="AI123" i="1" s="1"/>
  <c r="AT644" i="1"/>
  <c r="J116" i="1" s="1"/>
  <c r="AT662" i="1"/>
  <c r="AB116" i="1" s="1"/>
  <c r="AL188" i="1" s="1"/>
  <c r="AT668" i="1"/>
  <c r="AH116" i="1" s="1"/>
  <c r="AH123" i="1" s="1"/>
  <c r="AT646" i="1"/>
  <c r="L116" i="1" s="1"/>
  <c r="L119" i="1" s="1"/>
  <c r="L130" i="1" s="1"/>
  <c r="AT653" i="1"/>
  <c r="S116" i="1" s="1"/>
  <c r="S135" i="1" s="1"/>
  <c r="AT640" i="1"/>
  <c r="F116" i="1" s="1"/>
  <c r="AT655" i="1"/>
  <c r="U116" i="1" s="1"/>
  <c r="U123" i="1" s="1"/>
  <c r="AT645" i="1"/>
  <c r="K116" i="1" s="1"/>
  <c r="K119" i="1" s="1"/>
  <c r="AT660" i="1"/>
  <c r="Z116" i="1" s="1"/>
  <c r="Z119" i="1" s="1"/>
  <c r="Z130" i="1" s="1"/>
  <c r="AT657" i="1"/>
  <c r="W116" i="1" s="1"/>
  <c r="AG188" i="1" s="1"/>
  <c r="AT670" i="1"/>
  <c r="AJ116" i="1" s="1"/>
  <c r="AJ119" i="1" s="1"/>
  <c r="AJ130" i="1" s="1"/>
  <c r="AT651" i="1"/>
  <c r="Q116" i="1" s="1"/>
  <c r="W188" i="1"/>
  <c r="AT638" i="1"/>
  <c r="D116" i="1" s="1"/>
  <c r="D123" i="1" s="1"/>
  <c r="AT658" i="1"/>
  <c r="X116" i="1" s="1"/>
  <c r="X119" i="1" s="1"/>
  <c r="X133" i="1" s="1"/>
  <c r="AT650" i="1"/>
  <c r="P116" i="1" s="1"/>
  <c r="P135" i="1" s="1"/>
  <c r="AT666" i="1"/>
  <c r="AF116" i="1" s="1"/>
  <c r="AP188" i="1" s="1"/>
  <c r="AT671" i="1"/>
  <c r="AK116" i="1" s="1"/>
  <c r="AK119" i="1" s="1"/>
  <c r="AK130" i="1" s="1"/>
  <c r="AT675" i="1"/>
  <c r="AO116" i="1" s="1"/>
  <c r="AO123" i="1" s="1"/>
  <c r="AT656" i="1"/>
  <c r="V116" i="1" s="1"/>
  <c r="AF188" i="1" s="1"/>
  <c r="AT643" i="1"/>
  <c r="I116" i="1" s="1"/>
  <c r="I123" i="1" s="1"/>
  <c r="AT636" i="1"/>
  <c r="B116" i="1" s="1"/>
  <c r="B135" i="1" s="1"/>
  <c r="AT664" i="1"/>
  <c r="AD116" i="1" s="1"/>
  <c r="AD119" i="1" s="1"/>
  <c r="AT652" i="1"/>
  <c r="R116" i="1" s="1"/>
  <c r="R119" i="1" s="1"/>
  <c r="AT642" i="1"/>
  <c r="H116" i="1" s="1"/>
  <c r="R188" i="1" s="1"/>
  <c r="AT665" i="1"/>
  <c r="AE116" i="1" s="1"/>
  <c r="AE123" i="1" s="1"/>
  <c r="AT673" i="1"/>
  <c r="AM116" i="1" s="1"/>
  <c r="AT661" i="1"/>
  <c r="AA116" i="1" s="1"/>
  <c r="AT654" i="1"/>
  <c r="T116" i="1" s="1"/>
  <c r="AT641" i="1"/>
  <c r="G116" i="1" s="1"/>
  <c r="G119" i="1" s="1"/>
  <c r="G133" i="1" s="1"/>
  <c r="AT649" i="1"/>
  <c r="O116" i="1" s="1"/>
  <c r="AT639" i="1"/>
  <c r="E116" i="1" s="1"/>
  <c r="E135" i="1" s="1"/>
  <c r="M119" i="1"/>
  <c r="M130" i="1" s="1"/>
  <c r="AT648" i="1"/>
  <c r="N116" i="1" s="1"/>
  <c r="AT663" i="1"/>
  <c r="AC116" i="1" s="1"/>
  <c r="AT637" i="1"/>
  <c r="C116" i="1" s="1"/>
  <c r="E136" i="1" s="1"/>
  <c r="AK188" i="1"/>
  <c r="AO188" i="1"/>
  <c r="AE119" i="1"/>
  <c r="AE130" i="1" s="1"/>
  <c r="AM119" i="1"/>
  <c r="AM133" i="1" s="1"/>
  <c r="AE188" i="1"/>
  <c r="U135" i="1"/>
  <c r="V119" i="1"/>
  <c r="V130" i="1" s="1"/>
  <c r="B123" i="1"/>
  <c r="B119" i="1"/>
  <c r="B130" i="1" s="1"/>
  <c r="AX188" i="1"/>
  <c r="AN123" i="1"/>
  <c r="AL119" i="1"/>
  <c r="AL133" i="1" s="1"/>
  <c r="I135" i="1"/>
  <c r="AL123" i="1"/>
  <c r="AH119" i="1"/>
  <c r="AH130" i="1" s="1"/>
  <c r="AR188" i="1"/>
  <c r="AN188" i="1"/>
  <c r="S123" i="1"/>
  <c r="I119" i="1"/>
  <c r="I130" i="1" s="1"/>
  <c r="S188" i="1"/>
  <c r="AS188" i="1"/>
  <c r="Y119" i="1"/>
  <c r="Y133" i="1" s="1"/>
  <c r="AY188" i="1"/>
  <c r="AO119" i="1"/>
  <c r="AO133" i="1" s="1"/>
  <c r="AI119" i="1"/>
  <c r="AI133" i="1" s="1"/>
  <c r="AI188" i="1"/>
  <c r="V123" i="1"/>
  <c r="L133" i="1"/>
  <c r="R133" i="1"/>
  <c r="R130" i="1"/>
  <c r="AD130" i="1"/>
  <c r="AD133" i="1"/>
  <c r="K130" i="1"/>
  <c r="K133" i="1"/>
  <c r="AN130" i="1"/>
  <c r="AN133" i="1"/>
  <c r="D135" i="1" l="1"/>
  <c r="O188" i="1"/>
  <c r="AD123" i="1"/>
  <c r="E123" i="1"/>
  <c r="AB123" i="1"/>
  <c r="L188" i="1"/>
  <c r="P123" i="1"/>
  <c r="AB188" i="1"/>
  <c r="AB119" i="1"/>
  <c r="AB133" i="1" s="1"/>
  <c r="AG119" i="1"/>
  <c r="AG130" i="1" s="1"/>
  <c r="H135" i="1"/>
  <c r="F123" i="1"/>
  <c r="F135" i="1"/>
  <c r="F119" i="1"/>
  <c r="P188" i="1"/>
  <c r="X123" i="1"/>
  <c r="AJ123" i="1"/>
  <c r="Q119" i="1"/>
  <c r="Q135" i="1"/>
  <c r="AA188" i="1"/>
  <c r="Q123" i="1"/>
  <c r="T123" i="1"/>
  <c r="AD188" i="1"/>
  <c r="T119" i="1"/>
  <c r="P119" i="1"/>
  <c r="P130" i="1" s="1"/>
  <c r="X188" i="1"/>
  <c r="N135" i="1"/>
  <c r="N119" i="1"/>
  <c r="N123" i="1"/>
  <c r="AA119" i="1"/>
  <c r="AA123" i="1"/>
  <c r="H123" i="1"/>
  <c r="U188" i="1"/>
  <c r="D119" i="1"/>
  <c r="D130" i="1" s="1"/>
  <c r="O123" i="1"/>
  <c r="O119" i="1"/>
  <c r="Y188" i="1"/>
  <c r="N188" i="1"/>
  <c r="H119" i="1"/>
  <c r="R123" i="1"/>
  <c r="Z133" i="1"/>
  <c r="W123" i="1"/>
  <c r="K135" i="1"/>
  <c r="AK123" i="1"/>
  <c r="AU188" i="1"/>
  <c r="AC123" i="1"/>
  <c r="AC119" i="1"/>
  <c r="AM188" i="1"/>
  <c r="AF123" i="1"/>
  <c r="W119" i="1"/>
  <c r="W130" i="1" s="1"/>
  <c r="AJ188" i="1"/>
  <c r="AM130" i="1"/>
  <c r="L135" i="1"/>
  <c r="AM123" i="1"/>
  <c r="AW188" i="1"/>
  <c r="AE133" i="1"/>
  <c r="V188" i="1"/>
  <c r="J119" i="1"/>
  <c r="T188" i="1"/>
  <c r="J123" i="1"/>
  <c r="J135" i="1"/>
  <c r="X130" i="1"/>
  <c r="E119" i="1"/>
  <c r="E130" i="1" s="1"/>
  <c r="O135" i="1"/>
  <c r="AJ133" i="1"/>
  <c r="AG123" i="1"/>
  <c r="T135" i="1"/>
  <c r="Z188" i="1"/>
  <c r="C123" i="1"/>
  <c r="C119" i="1"/>
  <c r="M188" i="1"/>
  <c r="C135" i="1"/>
  <c r="B136" i="1" s="1"/>
  <c r="J137" i="1" s="1"/>
  <c r="AH188" i="1"/>
  <c r="Q188" i="1"/>
  <c r="G123" i="1"/>
  <c r="G135" i="1"/>
  <c r="L123" i="1"/>
  <c r="S119" i="1"/>
  <c r="S133" i="1" s="1"/>
  <c r="Z123" i="1"/>
  <c r="AC188" i="1"/>
  <c r="K123" i="1"/>
  <c r="AT188" i="1"/>
  <c r="M133" i="1"/>
  <c r="R135" i="1"/>
  <c r="AF119" i="1"/>
  <c r="AF130" i="1" s="1"/>
  <c r="U119" i="1"/>
  <c r="U133" i="1" s="1"/>
  <c r="AL130" i="1"/>
  <c r="U130" i="1"/>
  <c r="V133" i="1"/>
  <c r="B133" i="1"/>
  <c r="AO130" i="1"/>
  <c r="G130" i="1"/>
  <c r="E133" i="1"/>
  <c r="AB130" i="1"/>
  <c r="AI130" i="1"/>
  <c r="AH133" i="1"/>
  <c r="Y130" i="1"/>
  <c r="I133" i="1"/>
  <c r="W133" i="1"/>
  <c r="AK133" i="1"/>
  <c r="A127" i="1" l="1"/>
  <c r="AI124" i="1" s="1"/>
  <c r="J188" i="1"/>
  <c r="AG133" i="1"/>
  <c r="AF133" i="1"/>
  <c r="AA130" i="1"/>
  <c r="AA133" i="1"/>
  <c r="C133" i="1"/>
  <c r="C130" i="1"/>
  <c r="D133" i="1"/>
  <c r="T133" i="1"/>
  <c r="T130" i="1"/>
  <c r="Q130" i="1"/>
  <c r="Q133" i="1"/>
  <c r="N133" i="1"/>
  <c r="N130" i="1"/>
  <c r="H133" i="1"/>
  <c r="H130" i="1"/>
  <c r="J130" i="1"/>
  <c r="J133" i="1"/>
  <c r="AC130" i="1"/>
  <c r="AC133" i="1"/>
  <c r="S130" i="1"/>
  <c r="P133" i="1"/>
  <c r="F133" i="1"/>
  <c r="B30" i="1" s="1"/>
  <c r="F130" i="1"/>
  <c r="O133" i="1"/>
  <c r="O130" i="1"/>
  <c r="D137" i="1"/>
  <c r="K137" i="1"/>
  <c r="H136" i="1"/>
  <c r="T137" i="1"/>
  <c r="Y124" i="1"/>
  <c r="AN124" i="1"/>
  <c r="B124" i="1"/>
  <c r="U124" i="1"/>
  <c r="C124" i="1"/>
  <c r="J124" i="1"/>
  <c r="W124" i="1"/>
  <c r="Q124" i="1"/>
  <c r="AL124" i="1"/>
  <c r="AF124" i="1"/>
  <c r="G137" i="1"/>
  <c r="T124" i="1"/>
  <c r="P124" i="1"/>
  <c r="N137" i="1"/>
  <c r="AA124" i="1"/>
  <c r="O124" i="1"/>
  <c r="M124" i="1"/>
  <c r="AO124" i="1"/>
  <c r="K124" i="1"/>
  <c r="R124" i="1"/>
  <c r="AG124" i="1"/>
  <c r="I124" i="1"/>
  <c r="AE124" i="1"/>
  <c r="S137" i="1"/>
  <c r="Q137" i="1"/>
  <c r="AD124" i="1"/>
  <c r="V124" i="1"/>
  <c r="L124" i="1"/>
  <c r="AJ124" i="1"/>
  <c r="AB124" i="1"/>
  <c r="X124" i="1"/>
  <c r="F124" i="1"/>
  <c r="O137" i="1"/>
  <c r="E137" i="1"/>
  <c r="M137" i="1"/>
  <c r="G124" i="1"/>
  <c r="AC124" i="1"/>
  <c r="E124" i="1"/>
  <c r="B137" i="1"/>
  <c r="I137" i="1"/>
  <c r="P137" i="1"/>
  <c r="D124" i="1"/>
  <c r="AM124" i="1"/>
  <c r="L137" i="1"/>
  <c r="Z124" i="1"/>
  <c r="H124" i="1"/>
  <c r="F137" i="1"/>
  <c r="R137" i="1"/>
  <c r="H137" i="1"/>
  <c r="AH124" i="1"/>
  <c r="N124" i="1"/>
  <c r="U137" i="1"/>
  <c r="C137" i="1"/>
  <c r="AK124" i="1"/>
  <c r="S124" i="1"/>
  <c r="B7" i="1" l="1"/>
  <c r="A128" i="1"/>
</calcChain>
</file>

<file path=xl/sharedStrings.xml><?xml version="1.0" encoding="utf-8"?>
<sst xmlns="http://schemas.openxmlformats.org/spreadsheetml/2006/main" count="213" uniqueCount="133">
  <si>
    <t>John Hazel's Lift and Cl calculator for wings. (thanks to Bas Breijer for color formatting and adding individual sweep on 4 panels with 40 vortexes)</t>
  </si>
  <si>
    <t>The Local Cl graph can help find where the wing will stall first.</t>
  </si>
  <si>
    <t>Use the Lift Distribution and Ellipse graph to compare the lift of the wing to the elliptical ideal.</t>
  </si>
  <si>
    <t>Twist is angle of attack relative to the root. Positive is wash in.</t>
  </si>
  <si>
    <t>area:</t>
  </si>
  <si>
    <t>AR:</t>
  </si>
  <si>
    <t>av/mx Cl:</t>
  </si>
  <si>
    <t>INPUT AREA</t>
  </si>
  <si>
    <t>number</t>
  </si>
  <si>
    <t>Span location</t>
  </si>
  <si>
    <t>Cord</t>
  </si>
  <si>
    <t>Sweep</t>
  </si>
  <si>
    <t>Twist</t>
  </si>
  <si>
    <t>OUTPUT</t>
  </si>
  <si>
    <t>X1,Y1,Y3  are coordinates of left corner for horseshoe vortex.   X2,Y2,Z3 are right corner coordinates.   X3,Y3,Z3 are coordinates for panel 3/4 cord point.</t>
  </si>
  <si>
    <t>1 (Root)</t>
  </si>
  <si>
    <t>[deg]</t>
  </si>
  <si>
    <t>cords calculation</t>
  </si>
  <si>
    <t>Cord start</t>
  </si>
  <si>
    <t>Y start</t>
  </si>
  <si>
    <t>Cord end</t>
  </si>
  <si>
    <t>Y end</t>
  </si>
  <si>
    <t>X-axis inter</t>
  </si>
  <si>
    <t>dC/dY slope</t>
  </si>
  <si>
    <t>Panel A</t>
  </si>
  <si>
    <t>5 (Tip)</t>
  </si>
  <si>
    <t>Panel B</t>
  </si>
  <si>
    <t>AOA:</t>
  </si>
  <si>
    <t>Panel C</t>
  </si>
  <si>
    <t>Panel D</t>
  </si>
  <si>
    <t>Control Surface Modeling</t>
  </si>
  <si>
    <t>Planform Graph</t>
  </si>
  <si>
    <t>Panel</t>
  </si>
  <si>
    <t>Change in AOA</t>
  </si>
  <si>
    <t>Left Tip</t>
  </si>
  <si>
    <t>These values are the effective change in AOA due to control surface deflection.</t>
  </si>
  <si>
    <t>L Mid Out</t>
  </si>
  <si>
    <t>For example if wind tunnel data shows that a control surface deflection of 10 degrees has the same effect</t>
  </si>
  <si>
    <t>L Mid In</t>
  </si>
  <si>
    <t>as changing AOA by 4 degrees, you could model a 5 degree deflection by inputting 2 degrees here.</t>
  </si>
  <si>
    <t>L center</t>
  </si>
  <si>
    <t>Warning: the sum of twist, AOA, roll rate, and deflection should not be more than 20 degrees at any point on the wing.</t>
  </si>
  <si>
    <t>R center</t>
  </si>
  <si>
    <t>R Mid iIn</t>
  </si>
  <si>
    <t>For help, try http://www.geocities.com/jebbushell/COOKBOOK.htm</t>
  </si>
  <si>
    <t>R Mid Out</t>
  </si>
  <si>
    <t>Actual modeled planform using calculated local cords at control points</t>
  </si>
  <si>
    <t>Right Tip</t>
  </si>
  <si>
    <t>Roll Rate</t>
  </si>
  <si>
    <t>This value is the change in AOA made by the right tip due to rolling motion of the wing</t>
  </si>
  <si>
    <t>The left tip experiences the negative of this value and the root has no change in AOA due to rolling.</t>
  </si>
  <si>
    <t>roll moment</t>
  </si>
  <si>
    <t>Steady rolling is indicated when this value = 0. Adjust control surfaces or roll rate to get 0.</t>
  </si>
  <si>
    <t>LE</t>
  </si>
  <si>
    <t>Normalization of input</t>
  </si>
  <si>
    <t>TE</t>
  </si>
  <si>
    <t>1 (root)</t>
  </si>
  <si>
    <t>rad</t>
  </si>
  <si>
    <t>5 (tip)</t>
  </si>
  <si>
    <t>Normalized Control Surface Modeling</t>
  </si>
  <si>
    <t>Calculation of cord values</t>
  </si>
  <si>
    <t>Local cord</t>
  </si>
  <si>
    <t>left corners</t>
  </si>
  <si>
    <t>rt corners</t>
  </si>
  <si>
    <t>control pts</t>
  </si>
  <si>
    <t xml:space="preserve">X values </t>
  </si>
  <si>
    <t>x1</t>
  </si>
  <si>
    <t>x2</t>
  </si>
  <si>
    <t>x3</t>
  </si>
  <si>
    <t>Calculation of Downwash</t>
  </si>
  <si>
    <t>dTwist/dY</t>
  </si>
  <si>
    <t>twist start</t>
  </si>
  <si>
    <t>Ystart</t>
  </si>
  <si>
    <t>twist end</t>
  </si>
  <si>
    <t>X-axis twist</t>
  </si>
  <si>
    <t>twist slope</t>
  </si>
  <si>
    <t>downwash</t>
  </si>
  <si>
    <t>control surf deflections</t>
  </si>
  <si>
    <t>L tip</t>
  </si>
  <si>
    <t>L mid out</t>
  </si>
  <si>
    <t>L mid in</t>
  </si>
  <si>
    <t>L flap</t>
  </si>
  <si>
    <t>R flap</t>
  </si>
  <si>
    <t>R mid in</t>
  </si>
  <si>
    <t>Rolling AOA</t>
  </si>
  <si>
    <t>abs value y1</t>
  </si>
  <si>
    <t xml:space="preserve">abs value y2 </t>
  </si>
  <si>
    <t>abs value y3</t>
  </si>
  <si>
    <t>rt tip</t>
  </si>
  <si>
    <t>vortex#</t>
  </si>
  <si>
    <t>x1 sweep</t>
  </si>
  <si>
    <t>x2sweep</t>
  </si>
  <si>
    <t>x3sweep</t>
  </si>
  <si>
    <t>y1 yawed</t>
  </si>
  <si>
    <t>y1yawed</t>
  </si>
  <si>
    <t>x2 yawed</t>
  </si>
  <si>
    <t>y2 yawed</t>
  </si>
  <si>
    <t>x3 yawed</t>
  </si>
  <si>
    <t>y3 yawed</t>
  </si>
  <si>
    <t>local cord</t>
  </si>
  <si>
    <t>local dn wash</t>
  </si>
  <si>
    <t>local downwash</t>
  </si>
  <si>
    <t>span station</t>
  </si>
  <si>
    <t>CIRCULATION</t>
  </si>
  <si>
    <t>LOCAL Cl</t>
  </si>
  <si>
    <t>LIFT</t>
  </si>
  <si>
    <t>ELLIPSE</t>
  </si>
  <si>
    <t>Cl*loc_cord</t>
  </si>
  <si>
    <t>Roll moment</t>
  </si>
  <si>
    <t>bend mom</t>
  </si>
  <si>
    <t>bend tot</t>
  </si>
  <si>
    <t>lift</t>
  </si>
  <si>
    <t>centroid</t>
  </si>
  <si>
    <t>r0x</t>
  </si>
  <si>
    <t>inches</t>
  </si>
  <si>
    <t>meters</t>
  </si>
  <si>
    <t>rolling moment due to lift</t>
  </si>
  <si>
    <t>tip</t>
  </si>
  <si>
    <t>sum of all (local lift *Y3)=</t>
  </si>
  <si>
    <t>break.6</t>
  </si>
  <si>
    <t>root</t>
  </si>
  <si>
    <t>r0y</t>
  </si>
  <si>
    <t>r1x</t>
  </si>
  <si>
    <t>r1y</t>
  </si>
  <si>
    <t>r2x</t>
  </si>
  <si>
    <t>r2y</t>
  </si>
  <si>
    <t>INFLUNCE AB</t>
  </si>
  <si>
    <t>INFLUENCE A-inf</t>
  </si>
  <si>
    <t>INFLUENCE B-inf</t>
  </si>
  <si>
    <t>INFLUENCE MATRIX</t>
  </si>
  <si>
    <t>Local AOA</t>
  </si>
  <si>
    <t>LOCAL CIRCULATION</t>
  </si>
  <si>
    <t>INFLUENCE 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</si>
</sst>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0"/>
      <name val="Geneva"/>
    </font>
    <font>
      <b/>
      <sz val="10"/>
      <name val="Geneva"/>
    </font>
    <font>
      <sz val="10"/>
      <name val="Geneva"/>
    </font>
    <font>
      <b/>
      <sz val="12"/>
      <name val="Geneva"/>
    </font>
    <font>
      <b/>
      <sz val="10"/>
      <color indexed="10"/>
      <name val="Geneva"/>
    </font>
    <font>
      <sz val="10"/>
      <name val="Geneva"/>
    </font>
    <font>
      <sz val="10"/>
      <name val="Geneva"/>
    </font>
    <font>
      <sz val="10"/>
      <color indexed="10"/>
      <name val="Geneva"/>
    </font>
    <font>
      <b/>
      <sz val="10"/>
      <color indexed="9"/>
      <name val="Geneva"/>
    </font>
    <font>
      <sz val="12"/>
      <name val="Geneva"/>
    </font>
    <font>
      <sz val="11"/>
      <color indexed="16"/>
      <name val="Geneva"/>
    </font>
    <font>
      <sz val="10"/>
      <color indexed="18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65" fontId="2" fillId="0" borderId="0" xfId="0" applyNumberFormat="1" applyFont="1"/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1" xfId="0" applyNumberFormat="1" applyFont="1" applyBorder="1"/>
    <xf numFmtId="165" fontId="2" fillId="0" borderId="6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3" xfId="0" applyNumberFormat="1" applyFont="1" applyBorder="1"/>
    <xf numFmtId="165" fontId="2" fillId="0" borderId="9" xfId="0" applyNumberFormat="1" applyFont="1" applyBorder="1"/>
    <xf numFmtId="165" fontId="2" fillId="0" borderId="4" xfId="0" applyNumberFormat="1" applyFont="1" applyBorder="1"/>
    <xf numFmtId="0" fontId="1" fillId="2" borderId="8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10" xfId="0" applyFont="1" applyFill="1" applyBorder="1"/>
    <xf numFmtId="0" fontId="0" fillId="3" borderId="11" xfId="0" applyFill="1" applyBorder="1"/>
    <xf numFmtId="0" fontId="3" fillId="3" borderId="11" xfId="0" applyFont="1" applyFill="1" applyBorder="1"/>
    <xf numFmtId="0" fontId="1" fillId="3" borderId="11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8" fillId="4" borderId="7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6" fillId="0" borderId="15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6" fillId="0" borderId="1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6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6" fillId="0" borderId="13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5" fontId="6" fillId="0" borderId="0" xfId="0" applyNumberFormat="1" applyFont="1"/>
    <xf numFmtId="165" fontId="1" fillId="0" borderId="0" xfId="0" applyNumberFormat="1" applyFont="1"/>
    <xf numFmtId="0" fontId="8" fillId="5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165" fontId="2" fillId="0" borderId="12" xfId="0" applyNumberFormat="1" applyFont="1" applyBorder="1" applyAlignment="1">
      <alignment horizontal="left"/>
    </xf>
    <xf numFmtId="0" fontId="1" fillId="2" borderId="7" xfId="0" applyFont="1" applyFill="1" applyBorder="1"/>
    <xf numFmtId="2" fontId="1" fillId="2" borderId="20" xfId="0" applyNumberFormat="1" applyFont="1" applyFill="1" applyBorder="1"/>
    <xf numFmtId="0" fontId="1" fillId="2" borderId="8" xfId="0" applyFont="1" applyFill="1" applyBorder="1"/>
    <xf numFmtId="164" fontId="1" fillId="2" borderId="21" xfId="0" applyNumberFormat="1" applyFont="1" applyFill="1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US"/>
              <a:t>planform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LIFTROLL!$Z$97:$AL$97</c:f>
              <c:numCache>
                <c:formatCode>General</c:formatCode>
                <c:ptCount val="13"/>
                <c:pt idx="0">
                  <c:v>0.25</c:v>
                </c:pt>
                <c:pt idx="1">
                  <c:v>0.3</c:v>
                </c:pt>
                <c:pt idx="2" formatCode="0.0000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 formatCode="0.0000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 formatCode="0.0000">
                  <c:v>0.75</c:v>
                </c:pt>
                <c:pt idx="11">
                  <c:v>0.8</c:v>
                </c:pt>
                <c:pt idx="12">
                  <c:v>0.85</c:v>
                </c:pt>
              </c:numCache>
            </c:numRef>
          </c:xVal>
          <c:yVal>
            <c:numRef>
              <c:f>LIFTROLL!$X$96:$AJ$96</c:f>
              <c:numCache>
                <c:formatCode>General</c:formatCode>
                <c:ptCount val="1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5-42B6-9F42-5AE7547CA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883151"/>
        <c:axId val="1"/>
      </c:scatterChart>
      <c:valAx>
        <c:axId val="1628883151"/>
        <c:scaling>
          <c:orientation val="minMax"/>
          <c:max val="1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5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8315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Local Cl</a:t>
            </a:r>
          </a:p>
        </c:rich>
      </c:tx>
      <c:layout>
        <c:manualLayout>
          <c:xMode val="edge"/>
          <c:yMode val="edge"/>
          <c:x val="0.46187492866643975"/>
          <c:y val="3.41737103965326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608022313695713E-2"/>
          <c:y val="0.17986163366596136"/>
          <c:w val="0.87986128945054809"/>
          <c:h val="0.68527282426731273"/>
        </c:manualLayout>
      </c:layout>
      <c:scatterChart>
        <c:scatterStyle val="lineMarker"/>
        <c:varyColors val="0"/>
        <c:ser>
          <c:idx val="0"/>
          <c:order val="0"/>
          <c:tx>
            <c:strRef>
              <c:f>LIFTROLL!$A$119</c:f>
              <c:strCache>
                <c:ptCount val="1"/>
                <c:pt idx="0">
                  <c:v>LOCAL Cl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LIFTROLL!$B$117:$AO$117</c:f>
              <c:numCache>
                <c:formatCode>0.0000</c:formatCode>
                <c:ptCount val="40"/>
                <c:pt idx="0">
                  <c:v>-0.97499999999999998</c:v>
                </c:pt>
                <c:pt idx="1">
                  <c:v>-0.92500000000000004</c:v>
                </c:pt>
                <c:pt idx="2">
                  <c:v>-0.875</c:v>
                </c:pt>
                <c:pt idx="3">
                  <c:v>-0.82499999999999996</c:v>
                </c:pt>
                <c:pt idx="4">
                  <c:v>-0.77500000000000002</c:v>
                </c:pt>
                <c:pt idx="5">
                  <c:v>-0.72499999999999998</c:v>
                </c:pt>
                <c:pt idx="6">
                  <c:v>-0.67500000000000004</c:v>
                </c:pt>
                <c:pt idx="7">
                  <c:v>-0.625</c:v>
                </c:pt>
                <c:pt idx="8">
                  <c:v>-0.57499999999999996</c:v>
                </c:pt>
                <c:pt idx="9">
                  <c:v>-0.52500000000000002</c:v>
                </c:pt>
                <c:pt idx="10">
                  <c:v>-0.47499999999999998</c:v>
                </c:pt>
                <c:pt idx="11">
                  <c:v>-0.42499999999999999</c:v>
                </c:pt>
                <c:pt idx="12">
                  <c:v>-0.375</c:v>
                </c:pt>
                <c:pt idx="13">
                  <c:v>-0.32500000000000001</c:v>
                </c:pt>
                <c:pt idx="14">
                  <c:v>-0.27500000000000002</c:v>
                </c:pt>
                <c:pt idx="15">
                  <c:v>-0.22500000000000001</c:v>
                </c:pt>
                <c:pt idx="16">
                  <c:v>-0.17499999999999999</c:v>
                </c:pt>
                <c:pt idx="17">
                  <c:v>-0.125</c:v>
                </c:pt>
                <c:pt idx="18">
                  <c:v>-7.4999999999999997E-2</c:v>
                </c:pt>
                <c:pt idx="19">
                  <c:v>-2.5000000000000001E-2</c:v>
                </c:pt>
                <c:pt idx="20">
                  <c:v>2.5000000000000001E-2</c:v>
                </c:pt>
                <c:pt idx="21">
                  <c:v>7.4999999999999997E-2</c:v>
                </c:pt>
                <c:pt idx="22">
                  <c:v>0.125</c:v>
                </c:pt>
                <c:pt idx="23">
                  <c:v>0.17499999999999999</c:v>
                </c:pt>
                <c:pt idx="24">
                  <c:v>0.22500000000000001</c:v>
                </c:pt>
                <c:pt idx="25">
                  <c:v>0.27500000000000002</c:v>
                </c:pt>
                <c:pt idx="26">
                  <c:v>0.32500000000000001</c:v>
                </c:pt>
                <c:pt idx="27">
                  <c:v>0.375</c:v>
                </c:pt>
                <c:pt idx="28">
                  <c:v>0.42499999999999999</c:v>
                </c:pt>
                <c:pt idx="29">
                  <c:v>0.47499999999999998</c:v>
                </c:pt>
                <c:pt idx="30">
                  <c:v>0.52500000000000002</c:v>
                </c:pt>
                <c:pt idx="31">
                  <c:v>0.57499999999999996</c:v>
                </c:pt>
                <c:pt idx="32">
                  <c:v>0.625</c:v>
                </c:pt>
                <c:pt idx="33">
                  <c:v>0.67500000000000004</c:v>
                </c:pt>
                <c:pt idx="34">
                  <c:v>0.72499999999999998</c:v>
                </c:pt>
                <c:pt idx="35">
                  <c:v>0.77500000000000002</c:v>
                </c:pt>
                <c:pt idx="36">
                  <c:v>0.82499999999999996</c:v>
                </c:pt>
                <c:pt idx="37">
                  <c:v>0.875</c:v>
                </c:pt>
                <c:pt idx="38">
                  <c:v>0.92500000000000004</c:v>
                </c:pt>
                <c:pt idx="39">
                  <c:v>0.97499999999999998</c:v>
                </c:pt>
              </c:numCache>
            </c:numRef>
          </c:xVal>
          <c:yVal>
            <c:numRef>
              <c:f>LIFTROLL!$B$119:$AO$119</c:f>
              <c:numCache>
                <c:formatCode>0.0000</c:formatCode>
                <c:ptCount val="40"/>
                <c:pt idx="0">
                  <c:v>0.66747801837202314</c:v>
                </c:pt>
                <c:pt idx="1">
                  <c:v>0.83568721093965492</c:v>
                </c:pt>
                <c:pt idx="2">
                  <c:v>0.90015224878480415</c:v>
                </c:pt>
                <c:pt idx="3">
                  <c:v>0.92508589881078462</c:v>
                </c:pt>
                <c:pt idx="4">
                  <c:v>0.93221889048848272</c:v>
                </c:pt>
                <c:pt idx="5">
                  <c:v>0.94083328630972929</c:v>
                </c:pt>
                <c:pt idx="6">
                  <c:v>0.9524045767737811</c:v>
                </c:pt>
                <c:pt idx="7">
                  <c:v>0.95754624176384728</c:v>
                </c:pt>
                <c:pt idx="8">
                  <c:v>0.95808175085807812</c:v>
                </c:pt>
                <c:pt idx="9">
                  <c:v>0.9549848507504175</c:v>
                </c:pt>
                <c:pt idx="10">
                  <c:v>0.94869098871935209</c:v>
                </c:pt>
                <c:pt idx="11">
                  <c:v>0.93923168267432411</c:v>
                </c:pt>
                <c:pt idx="12">
                  <c:v>0.93844015558491611</c:v>
                </c:pt>
                <c:pt idx="13">
                  <c:v>0.94755631127906614</c:v>
                </c:pt>
                <c:pt idx="14">
                  <c:v>0.9560356385575367</c:v>
                </c:pt>
                <c:pt idx="15">
                  <c:v>0.96201581173387374</c:v>
                </c:pt>
                <c:pt idx="16">
                  <c:v>0.96594320697760205</c:v>
                </c:pt>
                <c:pt idx="17">
                  <c:v>0.96808326523266586</c:v>
                </c:pt>
                <c:pt idx="18">
                  <c:v>0.96857178137926048</c:v>
                </c:pt>
                <c:pt idx="19">
                  <c:v>0.96746061206850631</c:v>
                </c:pt>
                <c:pt idx="20">
                  <c:v>0.96746061206850664</c:v>
                </c:pt>
                <c:pt idx="21">
                  <c:v>0.96857178137926137</c:v>
                </c:pt>
                <c:pt idx="22">
                  <c:v>0.9680832652326663</c:v>
                </c:pt>
                <c:pt idx="23">
                  <c:v>0.96594320697760216</c:v>
                </c:pt>
                <c:pt idx="24">
                  <c:v>0.96201581173387318</c:v>
                </c:pt>
                <c:pt idx="25">
                  <c:v>0.95603563855753715</c:v>
                </c:pt>
                <c:pt idx="26">
                  <c:v>0.94755631127906592</c:v>
                </c:pt>
                <c:pt idx="27">
                  <c:v>0.93844015558491545</c:v>
                </c:pt>
                <c:pt idx="28">
                  <c:v>0.93923168267432289</c:v>
                </c:pt>
                <c:pt idx="29">
                  <c:v>0.94869098871935198</c:v>
                </c:pt>
                <c:pt idx="30">
                  <c:v>0.95498485075041739</c:v>
                </c:pt>
                <c:pt idx="31">
                  <c:v>0.95808175085807723</c:v>
                </c:pt>
                <c:pt idx="32">
                  <c:v>0.95754624176384684</c:v>
                </c:pt>
                <c:pt idx="33">
                  <c:v>0.95240457677378054</c:v>
                </c:pt>
                <c:pt idx="34">
                  <c:v>0.94083328630972884</c:v>
                </c:pt>
                <c:pt idx="35">
                  <c:v>0.93221889048848217</c:v>
                </c:pt>
                <c:pt idx="36">
                  <c:v>0.92508589881078451</c:v>
                </c:pt>
                <c:pt idx="37">
                  <c:v>0.90015224878480427</c:v>
                </c:pt>
                <c:pt idx="38">
                  <c:v>0.83568721093965614</c:v>
                </c:pt>
                <c:pt idx="39">
                  <c:v>0.6674780183720237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4939-AE1C-C01D42291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897535"/>
        <c:axId val="1"/>
      </c:scatterChart>
      <c:valAx>
        <c:axId val="1628897535"/>
        <c:scaling>
          <c:orientation val="minMax"/>
          <c:max val="1"/>
          <c:min val="-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  <c:majorUnit val="0.2"/>
        <c:minorUnit val="0.04"/>
      </c:valAx>
      <c:valAx>
        <c:axId val="1"/>
        <c:scaling>
          <c:orientation val="minMax"/>
          <c:max val="1"/>
          <c:min val="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000" sourceLinked="1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62889753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" r="0.75" t="1" header="0.5" footer="0.5"/>
    <c:pageSetup paperSize="9" orientation="landscape" horizontalDpi="120" verticalDpi="144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Planform</a:t>
            </a:r>
          </a:p>
        </c:rich>
      </c:tx>
      <c:layout>
        <c:manualLayout>
          <c:xMode val="edge"/>
          <c:yMode val="edge"/>
          <c:x val="0.45294343043481189"/>
          <c:y val="5.3499783355416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5565996847075301E-2"/>
          <c:y val="0.27161428472749877"/>
          <c:w val="0.92994621167793945"/>
          <c:h val="0.48561341814916453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LIFTROLL!$N$19:$AF$19</c:f>
              <c:numCache>
                <c:formatCode>General</c:formatCode>
                <c:ptCount val="19"/>
                <c:pt idx="0">
                  <c:v>-40.1</c:v>
                </c:pt>
                <c:pt idx="1">
                  <c:v>-40.099999999999994</c:v>
                </c:pt>
                <c:pt idx="2">
                  <c:v>-30.299999999999997</c:v>
                </c:pt>
                <c:pt idx="3">
                  <c:v>-15.7</c:v>
                </c:pt>
                <c:pt idx="4">
                  <c:v>0</c:v>
                </c:pt>
                <c:pt idx="5">
                  <c:v>15.7</c:v>
                </c:pt>
                <c:pt idx="6">
                  <c:v>30.299999999999997</c:v>
                </c:pt>
                <c:pt idx="7">
                  <c:v>40.099999999999994</c:v>
                </c:pt>
                <c:pt idx="8">
                  <c:v>40.1</c:v>
                </c:pt>
                <c:pt idx="9">
                  <c:v>40.1</c:v>
                </c:pt>
                <c:pt idx="10">
                  <c:v>40.099999999999994</c:v>
                </c:pt>
                <c:pt idx="11">
                  <c:v>30.299999999999997</c:v>
                </c:pt>
                <c:pt idx="12">
                  <c:v>15.7</c:v>
                </c:pt>
                <c:pt idx="13">
                  <c:v>0</c:v>
                </c:pt>
                <c:pt idx="14">
                  <c:v>-15.7</c:v>
                </c:pt>
                <c:pt idx="15">
                  <c:v>-30.299999999999997</c:v>
                </c:pt>
                <c:pt idx="16">
                  <c:v>-40.099999999999994</c:v>
                </c:pt>
                <c:pt idx="17">
                  <c:v>-40.1</c:v>
                </c:pt>
                <c:pt idx="18">
                  <c:v>-40.1</c:v>
                </c:pt>
              </c:numCache>
            </c:numRef>
          </c:xVal>
          <c:yVal>
            <c:numRef>
              <c:f>LIFTROLL!$N$20:$AF$20</c:f>
              <c:numCache>
                <c:formatCode>General</c:formatCode>
                <c:ptCount val="19"/>
                <c:pt idx="0">
                  <c:v>1.9</c:v>
                </c:pt>
                <c:pt idx="1">
                  <c:v>1.9</c:v>
                </c:pt>
                <c:pt idx="2">
                  <c:v>0.98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0.98</c:v>
                </c:pt>
                <c:pt idx="7">
                  <c:v>1.9</c:v>
                </c:pt>
                <c:pt idx="8">
                  <c:v>1.9</c:v>
                </c:pt>
                <c:pt idx="9">
                  <c:v>5.6</c:v>
                </c:pt>
                <c:pt idx="10">
                  <c:v>5.6</c:v>
                </c:pt>
                <c:pt idx="11">
                  <c:v>6.8800000000000008</c:v>
                </c:pt>
                <c:pt idx="12">
                  <c:v>7.9</c:v>
                </c:pt>
                <c:pt idx="13">
                  <c:v>8.07</c:v>
                </c:pt>
                <c:pt idx="14">
                  <c:v>7.9</c:v>
                </c:pt>
                <c:pt idx="15" formatCode="0.0000">
                  <c:v>6.8800000000000008</c:v>
                </c:pt>
                <c:pt idx="16">
                  <c:v>5.6</c:v>
                </c:pt>
                <c:pt idx="17">
                  <c:v>5.6</c:v>
                </c:pt>
                <c:pt idx="18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5-42C9-8827-D164A89EB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889103"/>
        <c:axId val="1"/>
      </c:scatterChart>
      <c:valAx>
        <c:axId val="162888910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ysDash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ysDash"/>
          </a:ln>
        </c:spPr>
        <c:crossAx val="162888910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 orientation="landscape" horizontalDpi="-4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Lift Distribution and Ellipse</a:t>
            </a:r>
          </a:p>
        </c:rich>
      </c:tx>
      <c:layout>
        <c:manualLayout>
          <c:xMode val="edge"/>
          <c:yMode val="edge"/>
          <c:x val="0.36298237958632734"/>
          <c:y val="3.51978304646088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348995270612945E-2"/>
          <c:y val="0.15735500678295736"/>
          <c:w val="0.75839257982734098"/>
          <c:h val="0.72673167606339517"/>
        </c:manualLayout>
      </c:layout>
      <c:scatterChart>
        <c:scatterStyle val="lineMarker"/>
        <c:varyColors val="0"/>
        <c:ser>
          <c:idx val="0"/>
          <c:order val="0"/>
          <c:tx>
            <c:strRef>
              <c:f>LIFTROLL!$A$123</c:f>
              <c:strCache>
                <c:ptCount val="1"/>
                <c:pt idx="0">
                  <c:v>LIFT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LIFTROLL!$B$121:$AO$121</c:f>
              <c:numCache>
                <c:formatCode>0.0000</c:formatCode>
                <c:ptCount val="40"/>
                <c:pt idx="0">
                  <c:v>-0.97499999999999998</c:v>
                </c:pt>
                <c:pt idx="1">
                  <c:v>-0.92500000000000004</c:v>
                </c:pt>
                <c:pt idx="2">
                  <c:v>-0.875</c:v>
                </c:pt>
                <c:pt idx="3">
                  <c:v>-0.82499999999999996</c:v>
                </c:pt>
                <c:pt idx="4">
                  <c:v>-0.77500000000000002</c:v>
                </c:pt>
                <c:pt idx="5">
                  <c:v>-0.72499999999999998</c:v>
                </c:pt>
                <c:pt idx="6">
                  <c:v>-0.67500000000000004</c:v>
                </c:pt>
                <c:pt idx="7">
                  <c:v>-0.625</c:v>
                </c:pt>
                <c:pt idx="8">
                  <c:v>-0.57499999999999996</c:v>
                </c:pt>
                <c:pt idx="9">
                  <c:v>-0.52500000000000002</c:v>
                </c:pt>
                <c:pt idx="10">
                  <c:v>-0.47499999999999998</c:v>
                </c:pt>
                <c:pt idx="11">
                  <c:v>-0.42499999999999999</c:v>
                </c:pt>
                <c:pt idx="12">
                  <c:v>-0.375</c:v>
                </c:pt>
                <c:pt idx="13">
                  <c:v>-0.32500000000000001</c:v>
                </c:pt>
                <c:pt idx="14">
                  <c:v>-0.27500000000000002</c:v>
                </c:pt>
                <c:pt idx="15">
                  <c:v>-0.22500000000000001</c:v>
                </c:pt>
                <c:pt idx="16">
                  <c:v>-0.17499999999999999</c:v>
                </c:pt>
                <c:pt idx="17">
                  <c:v>-0.125</c:v>
                </c:pt>
                <c:pt idx="18">
                  <c:v>-7.4999999999999997E-2</c:v>
                </c:pt>
                <c:pt idx="19">
                  <c:v>-2.5000000000000001E-2</c:v>
                </c:pt>
                <c:pt idx="20">
                  <c:v>2.5000000000000001E-2</c:v>
                </c:pt>
                <c:pt idx="21">
                  <c:v>7.4999999999999997E-2</c:v>
                </c:pt>
                <c:pt idx="22">
                  <c:v>0.125</c:v>
                </c:pt>
                <c:pt idx="23">
                  <c:v>0.17499999999999999</c:v>
                </c:pt>
                <c:pt idx="24">
                  <c:v>0.22500000000000001</c:v>
                </c:pt>
                <c:pt idx="25">
                  <c:v>0.27500000000000002</c:v>
                </c:pt>
                <c:pt idx="26">
                  <c:v>0.32500000000000001</c:v>
                </c:pt>
                <c:pt idx="27">
                  <c:v>0.375</c:v>
                </c:pt>
                <c:pt idx="28">
                  <c:v>0.42499999999999999</c:v>
                </c:pt>
                <c:pt idx="29">
                  <c:v>0.47499999999999998</c:v>
                </c:pt>
                <c:pt idx="30">
                  <c:v>0.52500000000000002</c:v>
                </c:pt>
                <c:pt idx="31">
                  <c:v>0.57499999999999996</c:v>
                </c:pt>
                <c:pt idx="32">
                  <c:v>0.625</c:v>
                </c:pt>
                <c:pt idx="33">
                  <c:v>0.67500000000000004</c:v>
                </c:pt>
                <c:pt idx="34">
                  <c:v>0.72499999999999998</c:v>
                </c:pt>
                <c:pt idx="35">
                  <c:v>0.77500000000000002</c:v>
                </c:pt>
                <c:pt idx="36">
                  <c:v>0.82499999999999996</c:v>
                </c:pt>
                <c:pt idx="37">
                  <c:v>0.875</c:v>
                </c:pt>
                <c:pt idx="38">
                  <c:v>0.92500000000000004</c:v>
                </c:pt>
                <c:pt idx="39">
                  <c:v>0.97499999999999998</c:v>
                </c:pt>
              </c:numCache>
            </c:numRef>
          </c:xVal>
          <c:yVal>
            <c:numRef>
              <c:f>LIFTROLL!$B$123:$AO$123</c:f>
              <c:numCache>
                <c:formatCode>0.0000</c:formatCode>
                <c:ptCount val="40"/>
                <c:pt idx="0">
                  <c:v>3.2666898717096347E-2</c:v>
                </c:pt>
                <c:pt idx="1">
                  <c:v>4.5589270064448705E-2</c:v>
                </c:pt>
                <c:pt idx="2">
                  <c:v>5.4157908117984897E-2</c:v>
                </c:pt>
                <c:pt idx="3">
                  <c:v>6.0849856658951255E-2</c:v>
                </c:pt>
                <c:pt idx="4">
                  <c:v>6.6436462737512025E-2</c:v>
                </c:pt>
                <c:pt idx="5">
                  <c:v>7.1186011854448186E-2</c:v>
                </c:pt>
                <c:pt idx="6">
                  <c:v>7.5323186752413479E-2</c:v>
                </c:pt>
                <c:pt idx="7">
                  <c:v>7.9009095538562932E-2</c:v>
                </c:pt>
                <c:pt idx="8">
                  <c:v>8.233438337383775E-2</c:v>
                </c:pt>
                <c:pt idx="9">
                  <c:v>8.533874206459019E-2</c:v>
                </c:pt>
                <c:pt idx="10">
                  <c:v>8.8025255755657089E-2</c:v>
                </c:pt>
                <c:pt idx="11">
                  <c:v>9.0364111307071351E-2</c:v>
                </c:pt>
                <c:pt idx="12">
                  <c:v>9.227284979662384E-2</c:v>
                </c:pt>
                <c:pt idx="13">
                  <c:v>9.3679100327366177E-2</c:v>
                </c:pt>
                <c:pt idx="14">
                  <c:v>9.4776199039732265E-2</c:v>
                </c:pt>
                <c:pt idx="15">
                  <c:v>9.5629459336084438E-2</c:v>
                </c:pt>
                <c:pt idx="16">
                  <c:v>9.6281344634838936E-2</c:v>
                </c:pt>
                <c:pt idx="17">
                  <c:v>9.6756717814799886E-2</c:v>
                </c:pt>
                <c:pt idx="18">
                  <c:v>9.7067736384711972E-2</c:v>
                </c:pt>
                <c:pt idx="19">
                  <c:v>9.721827009995386E-2</c:v>
                </c:pt>
                <c:pt idx="20">
                  <c:v>9.7218270099953888E-2</c:v>
                </c:pt>
                <c:pt idx="21">
                  <c:v>9.7067736384712056E-2</c:v>
                </c:pt>
                <c:pt idx="22">
                  <c:v>9.6756717814799928E-2</c:v>
                </c:pt>
                <c:pt idx="23">
                  <c:v>9.628134463483895E-2</c:v>
                </c:pt>
                <c:pt idx="24">
                  <c:v>9.5629459336084383E-2</c:v>
                </c:pt>
                <c:pt idx="25">
                  <c:v>9.4776199039732306E-2</c:v>
                </c:pt>
                <c:pt idx="26">
                  <c:v>9.3679100327366163E-2</c:v>
                </c:pt>
                <c:pt idx="27">
                  <c:v>9.2272849796623785E-2</c:v>
                </c:pt>
                <c:pt idx="28">
                  <c:v>9.036411130707124E-2</c:v>
                </c:pt>
                <c:pt idx="29">
                  <c:v>8.8025255755657075E-2</c:v>
                </c:pt>
                <c:pt idx="30">
                  <c:v>8.5338742064590176E-2</c:v>
                </c:pt>
                <c:pt idx="31">
                  <c:v>8.233438337383768E-2</c:v>
                </c:pt>
                <c:pt idx="32">
                  <c:v>7.9009095538562904E-2</c:v>
                </c:pt>
                <c:pt idx="33">
                  <c:v>7.5323186752413437E-2</c:v>
                </c:pt>
                <c:pt idx="34">
                  <c:v>7.1186011854448158E-2</c:v>
                </c:pt>
                <c:pt idx="35">
                  <c:v>6.6436462737511984E-2</c:v>
                </c:pt>
                <c:pt idx="36">
                  <c:v>6.0849856658951249E-2</c:v>
                </c:pt>
                <c:pt idx="37">
                  <c:v>5.4157908117984904E-2</c:v>
                </c:pt>
                <c:pt idx="38">
                  <c:v>4.5589270064448767E-2</c:v>
                </c:pt>
                <c:pt idx="39">
                  <c:v>3.2666898717096375E-2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2-4F29-B39F-F7200CD1A32A}"/>
            </c:ext>
          </c:extLst>
        </c:ser>
        <c:ser>
          <c:idx val="1"/>
          <c:order val="1"/>
          <c:tx>
            <c:strRef>
              <c:f>LIFTROLL!$A$124</c:f>
              <c:strCache>
                <c:ptCount val="1"/>
                <c:pt idx="0">
                  <c:v>ELLIPSE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LIFTROLL!$B$121:$AO$121</c:f>
              <c:numCache>
                <c:formatCode>0.0000</c:formatCode>
                <c:ptCount val="40"/>
                <c:pt idx="0">
                  <c:v>-0.97499999999999998</c:v>
                </c:pt>
                <c:pt idx="1">
                  <c:v>-0.92500000000000004</c:v>
                </c:pt>
                <c:pt idx="2">
                  <c:v>-0.875</c:v>
                </c:pt>
                <c:pt idx="3">
                  <c:v>-0.82499999999999996</c:v>
                </c:pt>
                <c:pt idx="4">
                  <c:v>-0.77500000000000002</c:v>
                </c:pt>
                <c:pt idx="5">
                  <c:v>-0.72499999999999998</c:v>
                </c:pt>
                <c:pt idx="6">
                  <c:v>-0.67500000000000004</c:v>
                </c:pt>
                <c:pt idx="7">
                  <c:v>-0.625</c:v>
                </c:pt>
                <c:pt idx="8">
                  <c:v>-0.57499999999999996</c:v>
                </c:pt>
                <c:pt idx="9">
                  <c:v>-0.52500000000000002</c:v>
                </c:pt>
                <c:pt idx="10">
                  <c:v>-0.47499999999999998</c:v>
                </c:pt>
                <c:pt idx="11">
                  <c:v>-0.42499999999999999</c:v>
                </c:pt>
                <c:pt idx="12">
                  <c:v>-0.375</c:v>
                </c:pt>
                <c:pt idx="13">
                  <c:v>-0.32500000000000001</c:v>
                </c:pt>
                <c:pt idx="14">
                  <c:v>-0.27500000000000002</c:v>
                </c:pt>
                <c:pt idx="15">
                  <c:v>-0.22500000000000001</c:v>
                </c:pt>
                <c:pt idx="16">
                  <c:v>-0.17499999999999999</c:v>
                </c:pt>
                <c:pt idx="17">
                  <c:v>-0.125</c:v>
                </c:pt>
                <c:pt idx="18">
                  <c:v>-7.4999999999999997E-2</c:v>
                </c:pt>
                <c:pt idx="19">
                  <c:v>-2.5000000000000001E-2</c:v>
                </c:pt>
                <c:pt idx="20">
                  <c:v>2.5000000000000001E-2</c:v>
                </c:pt>
                <c:pt idx="21">
                  <c:v>7.4999999999999997E-2</c:v>
                </c:pt>
                <c:pt idx="22">
                  <c:v>0.125</c:v>
                </c:pt>
                <c:pt idx="23">
                  <c:v>0.17499999999999999</c:v>
                </c:pt>
                <c:pt idx="24">
                  <c:v>0.22500000000000001</c:v>
                </c:pt>
                <c:pt idx="25">
                  <c:v>0.27500000000000002</c:v>
                </c:pt>
                <c:pt idx="26">
                  <c:v>0.32500000000000001</c:v>
                </c:pt>
                <c:pt idx="27">
                  <c:v>0.375</c:v>
                </c:pt>
                <c:pt idx="28">
                  <c:v>0.42499999999999999</c:v>
                </c:pt>
                <c:pt idx="29">
                  <c:v>0.47499999999999998</c:v>
                </c:pt>
                <c:pt idx="30">
                  <c:v>0.52500000000000002</c:v>
                </c:pt>
                <c:pt idx="31">
                  <c:v>0.57499999999999996</c:v>
                </c:pt>
                <c:pt idx="32">
                  <c:v>0.625</c:v>
                </c:pt>
                <c:pt idx="33">
                  <c:v>0.67500000000000004</c:v>
                </c:pt>
                <c:pt idx="34">
                  <c:v>0.72499999999999998</c:v>
                </c:pt>
                <c:pt idx="35">
                  <c:v>0.77500000000000002</c:v>
                </c:pt>
                <c:pt idx="36">
                  <c:v>0.82499999999999996</c:v>
                </c:pt>
                <c:pt idx="37">
                  <c:v>0.875</c:v>
                </c:pt>
                <c:pt idx="38">
                  <c:v>0.92500000000000004</c:v>
                </c:pt>
                <c:pt idx="39">
                  <c:v>0.97499999999999998</c:v>
                </c:pt>
              </c:numCache>
            </c:numRef>
          </c:xVal>
          <c:yVal>
            <c:numRef>
              <c:f>LIFTROLL!$B$124:$AO$124</c:f>
              <c:numCache>
                <c:formatCode>0.0000</c:formatCode>
                <c:ptCount val="40"/>
                <c:pt idx="0">
                  <c:v>2.2254653961053968E-2</c:v>
                </c:pt>
                <c:pt idx="1">
                  <c:v>3.8055137030094902E-2</c:v>
                </c:pt>
                <c:pt idx="2">
                  <c:v>4.848673426790464E-2</c:v>
                </c:pt>
                <c:pt idx="3">
                  <c:v>5.660017190510596E-2</c:v>
                </c:pt>
                <c:pt idx="4">
                  <c:v>6.3293298488408242E-2</c:v>
                </c:pt>
                <c:pt idx="5">
                  <c:v>6.8980793859827319E-2</c:v>
                </c:pt>
                <c:pt idx="6">
                  <c:v>7.3895225310268112E-2</c:v>
                </c:pt>
                <c:pt idx="7">
                  <c:v>7.8182509808221404E-2</c:v>
                </c:pt>
                <c:pt idx="8">
                  <c:v>8.194114638143668E-2</c:v>
                </c:pt>
                <c:pt idx="9">
                  <c:v>8.5241094636504297E-2</c:v>
                </c:pt>
                <c:pt idx="10">
                  <c:v>8.813389287606091E-2</c:v>
                </c:pt>
                <c:pt idx="11">
                  <c:v>9.0658524399432658E-2</c:v>
                </c:pt>
                <c:pt idx="12">
                  <c:v>9.2845027509340136E-2</c:v>
                </c:pt>
                <c:pt idx="13">
                  <c:v>9.4716821812557542E-2</c:v>
                </c:pt>
                <c:pt idx="14">
                  <c:v>9.6292261628167578E-2</c:v>
                </c:pt>
                <c:pt idx="15">
                  <c:v>9.7585701200520278E-2</c:v>
                </c:pt>
                <c:pt idx="16">
                  <c:v>9.8608238105449497E-2</c:v>
                </c:pt>
                <c:pt idx="17">
                  <c:v>9.9368235769076982E-2</c:v>
                </c:pt>
                <c:pt idx="18">
                  <c:v>9.9871687938027628E-2</c:v>
                </c:pt>
                <c:pt idx="19">
                  <c:v>0.10012246469927077</c:v>
                </c:pt>
                <c:pt idx="20">
                  <c:v>0.10012246469927077</c:v>
                </c:pt>
                <c:pt idx="21">
                  <c:v>9.9871687938027628E-2</c:v>
                </c:pt>
                <c:pt idx="22">
                  <c:v>9.9368235769076982E-2</c:v>
                </c:pt>
                <c:pt idx="23">
                  <c:v>9.8608238105449497E-2</c:v>
                </c:pt>
                <c:pt idx="24">
                  <c:v>9.7585701200520278E-2</c:v>
                </c:pt>
                <c:pt idx="25">
                  <c:v>9.6292261628167578E-2</c:v>
                </c:pt>
                <c:pt idx="26">
                  <c:v>9.4716821812557542E-2</c:v>
                </c:pt>
                <c:pt idx="27">
                  <c:v>9.2845027509340136E-2</c:v>
                </c:pt>
                <c:pt idx="28">
                  <c:v>9.0658524399432658E-2</c:v>
                </c:pt>
                <c:pt idx="29">
                  <c:v>8.813389287606091E-2</c:v>
                </c:pt>
                <c:pt idx="30">
                  <c:v>8.5241094636504297E-2</c:v>
                </c:pt>
                <c:pt idx="31">
                  <c:v>8.194114638143668E-2</c:v>
                </c:pt>
                <c:pt idx="32">
                  <c:v>7.8182509808221404E-2</c:v>
                </c:pt>
                <c:pt idx="33">
                  <c:v>7.3895225310268112E-2</c:v>
                </c:pt>
                <c:pt idx="34">
                  <c:v>6.8980793859827319E-2</c:v>
                </c:pt>
                <c:pt idx="35">
                  <c:v>6.3293298488408242E-2</c:v>
                </c:pt>
                <c:pt idx="36">
                  <c:v>5.660017190510596E-2</c:v>
                </c:pt>
                <c:pt idx="37">
                  <c:v>4.848673426790464E-2</c:v>
                </c:pt>
                <c:pt idx="38">
                  <c:v>3.8055137030094902E-2</c:v>
                </c:pt>
                <c:pt idx="39">
                  <c:v>2.2254653961053968E-2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2-4F29-B39F-F7200CD1A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892575"/>
        <c:axId val="1"/>
      </c:scatterChart>
      <c:valAx>
        <c:axId val="1628892575"/>
        <c:scaling>
          <c:orientation val="minMax"/>
          <c:max val="1"/>
          <c:min val="-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  <c:minorUnit val="0.0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000" sourceLinked="1"/>
        <c:majorTickMark val="cross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62889257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98602767145852"/>
          <c:y val="0.46792409911774163"/>
          <c:w val="0.12866522388794888"/>
          <c:h val="0.105593491393826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 orientation="landscape" horizontalDpi="-4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622300</xdr:colOff>
      <xdr:row>69</xdr:row>
      <xdr:rowOff>0</xdr:rowOff>
    </xdr:from>
    <xdr:to>
      <xdr:col>33</xdr:col>
      <xdr:colOff>241300</xdr:colOff>
      <xdr:row>69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C753C9D-2DEB-964A-3FD1-C36AB58D4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393700</xdr:colOff>
      <xdr:row>61</xdr:row>
      <xdr:rowOff>133350</xdr:rowOff>
    </xdr:from>
    <xdr:to>
      <xdr:col>11</xdr:col>
      <xdr:colOff>476250</xdr:colOff>
      <xdr:row>84</xdr:row>
      <xdr:rowOff>12700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0577EC0D-B9DF-9129-6D67-C08276557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69850</xdr:colOff>
      <xdr:row>34</xdr:row>
      <xdr:rowOff>38100</xdr:rowOff>
    </xdr:from>
    <xdr:to>
      <xdr:col>20</xdr:col>
      <xdr:colOff>146050</xdr:colOff>
      <xdr:row>43</xdr:row>
      <xdr:rowOff>133350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5E91182F-7E97-E38B-167C-7231DE6FE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387350</xdr:colOff>
      <xdr:row>39</xdr:row>
      <xdr:rowOff>76200</xdr:rowOff>
    </xdr:from>
    <xdr:to>
      <xdr:col>11</xdr:col>
      <xdr:colOff>463550</xdr:colOff>
      <xdr:row>58</xdr:row>
      <xdr:rowOff>107950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DF24C2D3-6A77-DC27-FA88-B466BEF34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75"/>
  <sheetViews>
    <sheetView tabSelected="1" workbookViewId="0">
      <selection activeCell="F16" sqref="F16"/>
    </sheetView>
  </sheetViews>
  <sheetFormatPr defaultColWidth="10.7265625" defaultRowHeight="12.5"/>
  <cols>
    <col min="1" max="16384" width="10.7265625" style="1"/>
  </cols>
  <sheetData>
    <row r="1" spans="1:20" s="2" customFormat="1">
      <c r="A1" s="2" t="s">
        <v>0</v>
      </c>
    </row>
    <row r="2" spans="1:20" s="2" customFormat="1">
      <c r="A2" s="2" t="s">
        <v>1</v>
      </c>
    </row>
    <row r="3" spans="1:20" s="2" customFormat="1">
      <c r="A3" s="2" t="s">
        <v>2</v>
      </c>
    </row>
    <row r="4" spans="1:20" s="2" customFormat="1" ht="13" thickBot="1">
      <c r="A4" s="2" t="s">
        <v>3</v>
      </c>
    </row>
    <row r="5" spans="1:20" s="2" customFormat="1" ht="13">
      <c r="A5" s="4" t="s">
        <v>4</v>
      </c>
      <c r="B5" s="8">
        <f>((D11+D12)*B12+(D12+D13)*(B13-B12)+(D13+D14)*(B14-B13)+(D14+D15)*(B15-B14))</f>
        <v>546.28899999999999</v>
      </c>
      <c r="C5" s="5"/>
    </row>
    <row r="6" spans="1:20" s="2" customFormat="1" ht="14">
      <c r="A6" s="86" t="s">
        <v>5</v>
      </c>
      <c r="B6" s="87">
        <f>4*B15^2/B5</f>
        <v>11.7740609823738</v>
      </c>
      <c r="C6" s="88"/>
      <c r="E6" s="90"/>
    </row>
    <row r="7" spans="1:20" s="2" customFormat="1" ht="13.5" thickBot="1">
      <c r="A7" s="6" t="s">
        <v>6</v>
      </c>
      <c r="B7" s="89">
        <f>SUM(B130:AO130)/SUM(B113:AO113)/MAX(B119:AO119)</f>
        <v>0.96961582163268178</v>
      </c>
      <c r="C7" s="7"/>
      <c r="E7" s="1"/>
    </row>
    <row r="8" spans="1:20" s="2" customFormat="1" ht="13" thickBot="1">
      <c r="E8" s="1"/>
    </row>
    <row r="9" spans="1:20" s="9" customFormat="1" ht="16" thickBot="1">
      <c r="A9" s="27"/>
      <c r="B9" s="28"/>
      <c r="C9" s="28"/>
      <c r="D9" s="29" t="s">
        <v>7</v>
      </c>
      <c r="E9" s="30"/>
      <c r="F9" s="31"/>
      <c r="G9" s="31"/>
      <c r="H9" s="31"/>
      <c r="I9" s="32"/>
    </row>
    <row r="10" spans="1:20" s="10" customFormat="1" ht="13">
      <c r="A10" s="82" t="s">
        <v>8</v>
      </c>
      <c r="B10" s="82" t="s">
        <v>9</v>
      </c>
      <c r="C10" s="83"/>
      <c r="D10" s="82" t="s">
        <v>10</v>
      </c>
      <c r="E10" s="83"/>
      <c r="F10" s="82" t="s">
        <v>11</v>
      </c>
      <c r="G10" s="83"/>
      <c r="H10" s="84" t="s">
        <v>12</v>
      </c>
      <c r="I10" s="83"/>
      <c r="J10"/>
      <c r="K10"/>
      <c r="L10"/>
      <c r="M10"/>
      <c r="N10" s="10" t="s">
        <v>13</v>
      </c>
      <c r="O10" s="10" t="s">
        <v>14</v>
      </c>
    </row>
    <row r="11" spans="1:20" s="10" customFormat="1" ht="13">
      <c r="A11" s="33" t="s">
        <v>15</v>
      </c>
      <c r="B11" s="72">
        <v>0</v>
      </c>
      <c r="C11" s="39"/>
      <c r="D11" s="73">
        <v>8.07</v>
      </c>
      <c r="E11" s="76"/>
      <c r="F11" s="72">
        <v>0</v>
      </c>
      <c r="G11" s="77"/>
      <c r="H11" s="78">
        <v>0</v>
      </c>
      <c r="I11" s="77" t="s">
        <v>16</v>
      </c>
      <c r="J11"/>
      <c r="K11"/>
      <c r="L11"/>
      <c r="M11"/>
      <c r="N11" s="10" t="s">
        <v>17</v>
      </c>
    </row>
    <row r="12" spans="1:20" s="10" customFormat="1" ht="13">
      <c r="A12" s="33">
        <v>2</v>
      </c>
      <c r="B12" s="73">
        <v>15.7</v>
      </c>
      <c r="C12" s="25"/>
      <c r="D12" s="73">
        <v>7.9</v>
      </c>
      <c r="E12" s="76"/>
      <c r="F12" s="73">
        <v>0</v>
      </c>
      <c r="G12" s="76"/>
      <c r="H12" s="79">
        <v>0</v>
      </c>
      <c r="I12" s="76" t="s">
        <v>16</v>
      </c>
      <c r="J12"/>
      <c r="K12"/>
      <c r="L12"/>
      <c r="M12"/>
    </row>
    <row r="13" spans="1:20" s="10" customFormat="1" ht="13">
      <c r="A13" s="33">
        <v>3</v>
      </c>
      <c r="B13" s="73">
        <f>14.6+B12</f>
        <v>30.299999999999997</v>
      </c>
      <c r="C13" s="25"/>
      <c r="D13" s="73">
        <v>5.9</v>
      </c>
      <c r="E13" s="76"/>
      <c r="F13" s="73">
        <v>0.98</v>
      </c>
      <c r="G13" s="76"/>
      <c r="H13" s="79">
        <v>0</v>
      </c>
      <c r="I13" s="76" t="s">
        <v>16</v>
      </c>
      <c r="J13"/>
      <c r="K13"/>
      <c r="L13"/>
      <c r="M13"/>
      <c r="O13" s="10" t="s">
        <v>18</v>
      </c>
      <c r="P13" s="10" t="s">
        <v>19</v>
      </c>
      <c r="Q13" s="10" t="s">
        <v>20</v>
      </c>
      <c r="R13" s="10" t="s">
        <v>21</v>
      </c>
      <c r="S13" s="10" t="s">
        <v>22</v>
      </c>
      <c r="T13" s="10" t="s">
        <v>23</v>
      </c>
    </row>
    <row r="14" spans="1:20" s="10" customFormat="1" ht="13">
      <c r="A14" s="33">
        <v>4</v>
      </c>
      <c r="B14" s="73">
        <f>B13+9.8</f>
        <v>40.099999999999994</v>
      </c>
      <c r="C14" s="25"/>
      <c r="D14" s="73">
        <v>3.7</v>
      </c>
      <c r="E14" s="76"/>
      <c r="F14" s="73">
        <v>1.9</v>
      </c>
      <c r="G14" s="76"/>
      <c r="H14" s="79">
        <v>0</v>
      </c>
      <c r="I14" s="76" t="s">
        <v>16</v>
      </c>
      <c r="J14"/>
      <c r="K14"/>
      <c r="L14"/>
      <c r="M14"/>
      <c r="N14" s="10" t="s">
        <v>24</v>
      </c>
      <c r="O14" s="10">
        <f>D11</f>
        <v>8.07</v>
      </c>
      <c r="P14" s="10">
        <v>0</v>
      </c>
      <c r="Q14" s="10">
        <f>D12</f>
        <v>7.9</v>
      </c>
      <c r="R14" s="10">
        <f>B12</f>
        <v>15.7</v>
      </c>
      <c r="S14" s="10">
        <f>O14-T14*P14</f>
        <v>8.07</v>
      </c>
      <c r="T14" s="10">
        <f>(Q14-O14)/(R14-P14)</f>
        <v>-1.0828025477707002E-2</v>
      </c>
    </row>
    <row r="15" spans="1:20" s="10" customFormat="1" ht="13.5" thickBot="1">
      <c r="A15" s="35" t="s">
        <v>25</v>
      </c>
      <c r="B15" s="74">
        <v>40.1</v>
      </c>
      <c r="C15" s="26"/>
      <c r="D15" s="74">
        <v>3.7</v>
      </c>
      <c r="E15" s="80"/>
      <c r="F15" s="74">
        <v>1.9</v>
      </c>
      <c r="G15" s="80"/>
      <c r="H15" s="81">
        <v>0</v>
      </c>
      <c r="I15" s="80" t="s">
        <v>16</v>
      </c>
      <c r="J15"/>
      <c r="K15"/>
      <c r="L15"/>
      <c r="M15"/>
      <c r="N15" s="10" t="s">
        <v>26</v>
      </c>
      <c r="O15" s="10">
        <f>D12</f>
        <v>7.9</v>
      </c>
      <c r="P15" s="10">
        <f>B12</f>
        <v>15.7</v>
      </c>
      <c r="Q15" s="10">
        <f>D13</f>
        <v>5.9</v>
      </c>
      <c r="R15" s="10">
        <f>B13</f>
        <v>30.299999999999997</v>
      </c>
      <c r="S15" s="10">
        <f>O15-T15*P15</f>
        <v>10.050684931506851</v>
      </c>
      <c r="T15" s="10">
        <f>(Q15-O15)/(R15-P15)</f>
        <v>-0.13698630136986303</v>
      </c>
    </row>
    <row r="16" spans="1:20" s="10" customFormat="1" ht="13.5" thickBot="1">
      <c r="A16" s="37" t="s">
        <v>27</v>
      </c>
      <c r="B16" s="75">
        <v>10.3</v>
      </c>
      <c r="C16" s="38" t="s">
        <v>16</v>
      </c>
      <c r="D16"/>
      <c r="E16"/>
      <c r="F16"/>
      <c r="G16"/>
      <c r="H16"/>
      <c r="I16"/>
      <c r="J16"/>
      <c r="K16"/>
      <c r="L16"/>
      <c r="M16"/>
      <c r="N16" s="10" t="s">
        <v>28</v>
      </c>
      <c r="O16" s="10">
        <f>D13</f>
        <v>5.9</v>
      </c>
      <c r="P16" s="10">
        <f>B13</f>
        <v>30.299999999999997</v>
      </c>
      <c r="Q16" s="10">
        <f>D14</f>
        <v>3.7</v>
      </c>
      <c r="R16" s="10">
        <f>B14</f>
        <v>40.099999999999994</v>
      </c>
      <c r="S16" s="10">
        <f>O16-T16*P16</f>
        <v>12.702040816326534</v>
      </c>
      <c r="T16" s="10">
        <f>(Q16-O16)/(R16-P16)</f>
        <v>-0.22448979591836743</v>
      </c>
    </row>
    <row r="17" spans="1:53" s="10" customFormat="1" ht="13" thickBot="1">
      <c r="A17"/>
      <c r="B17"/>
      <c r="C17"/>
      <c r="E17"/>
      <c r="F17"/>
      <c r="G17"/>
      <c r="H17"/>
      <c r="I17"/>
      <c r="J17"/>
      <c r="K17"/>
      <c r="L17"/>
      <c r="M17"/>
      <c r="N17" s="10" t="s">
        <v>29</v>
      </c>
      <c r="O17" s="10">
        <f>D14</f>
        <v>3.7</v>
      </c>
      <c r="P17" s="10">
        <f>B14</f>
        <v>40.099999999999994</v>
      </c>
      <c r="Q17" s="10">
        <f>D15</f>
        <v>3.7</v>
      </c>
      <c r="R17" s="10">
        <f>B15</f>
        <v>40.1</v>
      </c>
      <c r="S17" s="10">
        <f>O17-T17*P17</f>
        <v>3.7</v>
      </c>
      <c r="T17" s="10">
        <f>(Q17-O17)/(R17-P17)</f>
        <v>0</v>
      </c>
    </row>
    <row r="18" spans="1:53" s="10" customFormat="1" ht="13.5" thickBot="1">
      <c r="A18" s="27" t="s">
        <v>30</v>
      </c>
      <c r="B18" s="28"/>
      <c r="C18" s="28"/>
      <c r="E18"/>
      <c r="F18"/>
      <c r="G18"/>
      <c r="H18"/>
      <c r="I18"/>
      <c r="J18"/>
      <c r="K18"/>
      <c r="L18"/>
      <c r="M18"/>
      <c r="N18" s="10" t="s">
        <v>31</v>
      </c>
    </row>
    <row r="19" spans="1:53" s="10" customFormat="1" ht="13">
      <c r="A19" s="34" t="s">
        <v>32</v>
      </c>
      <c r="B19" s="34" t="s">
        <v>33</v>
      </c>
      <c r="C19" s="36"/>
      <c r="E19"/>
      <c r="F19"/>
      <c r="G19"/>
      <c r="H19"/>
      <c r="I19"/>
      <c r="J19"/>
      <c r="K19"/>
      <c r="L19"/>
      <c r="M19"/>
      <c r="N19" s="10">
        <f>-B15</f>
        <v>-40.1</v>
      </c>
      <c r="O19" s="10">
        <f>-B14</f>
        <v>-40.099999999999994</v>
      </c>
      <c r="P19">
        <f>-B13</f>
        <v>-30.299999999999997</v>
      </c>
      <c r="Q19">
        <f>-B12</f>
        <v>-15.7</v>
      </c>
      <c r="R19">
        <v>0</v>
      </c>
      <c r="S19">
        <f>B12</f>
        <v>15.7</v>
      </c>
      <c r="T19">
        <f>B13</f>
        <v>30.299999999999997</v>
      </c>
      <c r="U19">
        <f>B14</f>
        <v>40.099999999999994</v>
      </c>
      <c r="V19" s="10">
        <f>B15</f>
        <v>40.1</v>
      </c>
      <c r="W19" s="10">
        <f>B15</f>
        <v>40.1</v>
      </c>
      <c r="X19" s="10">
        <f>B14</f>
        <v>40.099999999999994</v>
      </c>
      <c r="Y19" s="10">
        <f>B13</f>
        <v>30.299999999999997</v>
      </c>
      <c r="Z19" s="10">
        <f>B12</f>
        <v>15.7</v>
      </c>
      <c r="AA19" s="10">
        <v>0</v>
      </c>
      <c r="AB19" s="10">
        <f>-Z19</f>
        <v>-15.7</v>
      </c>
      <c r="AC19" s="10">
        <f>-Y19</f>
        <v>-30.299999999999997</v>
      </c>
      <c r="AD19" s="10">
        <f>-X19</f>
        <v>-40.099999999999994</v>
      </c>
      <c r="AE19" s="10">
        <f>-W19</f>
        <v>-40.1</v>
      </c>
      <c r="AF19" s="10">
        <f>AE19</f>
        <v>-40.1</v>
      </c>
    </row>
    <row r="20" spans="1:53" s="10" customFormat="1" ht="13">
      <c r="A20" s="33" t="s">
        <v>34</v>
      </c>
      <c r="B20" s="73">
        <v>0</v>
      </c>
      <c r="C20" s="25" t="s">
        <v>16</v>
      </c>
      <c r="D20" s="10" t="s">
        <v>35</v>
      </c>
      <c r="E20"/>
      <c r="F20"/>
      <c r="G20" s="40"/>
      <c r="H20"/>
      <c r="I20"/>
      <c r="J20"/>
      <c r="K20"/>
      <c r="L20"/>
      <c r="M20"/>
      <c r="N20" s="10">
        <f>F15</f>
        <v>1.9</v>
      </c>
      <c r="O20" s="10">
        <f>F14</f>
        <v>1.9</v>
      </c>
      <c r="P20">
        <f>F13</f>
        <v>0.98</v>
      </c>
      <c r="Q20">
        <f>F12</f>
        <v>0</v>
      </c>
      <c r="R20">
        <v>0</v>
      </c>
      <c r="S20">
        <f>F12</f>
        <v>0</v>
      </c>
      <c r="T20">
        <f>F13</f>
        <v>0.98</v>
      </c>
      <c r="U20">
        <f>F14</f>
        <v>1.9</v>
      </c>
      <c r="V20" s="10">
        <f>F15</f>
        <v>1.9</v>
      </c>
      <c r="W20" s="10">
        <f>D15+F15</f>
        <v>5.6</v>
      </c>
      <c r="X20" s="10">
        <f>D14+F14</f>
        <v>5.6</v>
      </c>
      <c r="Y20" s="10">
        <f>D13+F13</f>
        <v>6.8800000000000008</v>
      </c>
      <c r="Z20" s="10">
        <f>D12+F12</f>
        <v>7.9</v>
      </c>
      <c r="AA20" s="10">
        <f>D11</f>
        <v>8.07</v>
      </c>
      <c r="AB20" s="10">
        <f>D12+F12</f>
        <v>7.9</v>
      </c>
      <c r="AC20" s="70">
        <f>D13+F13</f>
        <v>6.8800000000000008</v>
      </c>
      <c r="AD20" s="10">
        <f>D14+F14</f>
        <v>5.6</v>
      </c>
      <c r="AE20" s="10">
        <f>D15+F15</f>
        <v>5.6</v>
      </c>
      <c r="AF20" s="10">
        <f>F15</f>
        <v>1.9</v>
      </c>
    </row>
    <row r="21" spans="1:53" s="10" customFormat="1" ht="13">
      <c r="A21" s="33" t="s">
        <v>36</v>
      </c>
      <c r="B21" s="73">
        <v>0</v>
      </c>
      <c r="C21" s="25" t="s">
        <v>16</v>
      </c>
      <c r="D21" s="10" t="s">
        <v>37</v>
      </c>
      <c r="E21"/>
      <c r="F21"/>
      <c r="G21"/>
      <c r="H21"/>
      <c r="I21"/>
      <c r="J21"/>
      <c r="K21"/>
      <c r="L21"/>
      <c r="M21"/>
    </row>
    <row r="22" spans="1:53" s="10" customFormat="1" ht="13">
      <c r="A22" s="33" t="s">
        <v>38</v>
      </c>
      <c r="B22" s="73">
        <v>0</v>
      </c>
      <c r="C22" s="25" t="s">
        <v>16</v>
      </c>
      <c r="D22" s="10" t="s">
        <v>39</v>
      </c>
      <c r="E22"/>
      <c r="F22"/>
      <c r="G22"/>
      <c r="H22"/>
      <c r="I22"/>
      <c r="J22"/>
      <c r="K22"/>
      <c r="L22"/>
      <c r="M22"/>
    </row>
    <row r="23" spans="1:53" s="10" customFormat="1" ht="13">
      <c r="A23" s="33" t="s">
        <v>40</v>
      </c>
      <c r="B23" s="73">
        <v>0</v>
      </c>
      <c r="C23" s="25" t="s">
        <v>16</v>
      </c>
      <c r="D23" s="10" t="s">
        <v>41</v>
      </c>
      <c r="E23"/>
      <c r="F23"/>
      <c r="G23"/>
      <c r="H23"/>
      <c r="I23"/>
      <c r="J23"/>
      <c r="K23"/>
      <c r="L23"/>
      <c r="M23"/>
    </row>
    <row r="24" spans="1:53" s="2" customFormat="1" ht="13">
      <c r="A24" s="33" t="s">
        <v>42</v>
      </c>
      <c r="B24" s="73">
        <v>0</v>
      </c>
      <c r="C24" s="25" t="s">
        <v>16</v>
      </c>
    </row>
    <row r="25" spans="1:53" s="10" customFormat="1" ht="13">
      <c r="A25" s="33" t="s">
        <v>43</v>
      </c>
      <c r="B25" s="73">
        <v>0</v>
      </c>
      <c r="C25" s="25" t="s">
        <v>16</v>
      </c>
      <c r="D25" s="91" t="s">
        <v>44</v>
      </c>
      <c r="E25"/>
      <c r="F25"/>
      <c r="G25"/>
      <c r="H25"/>
      <c r="I25"/>
      <c r="J25"/>
      <c r="K25"/>
      <c r="L25"/>
      <c r="M25"/>
    </row>
    <row r="26" spans="1:53" s="10" customFormat="1" ht="13">
      <c r="A26" s="33" t="s">
        <v>45</v>
      </c>
      <c r="B26" s="73">
        <v>0</v>
      </c>
      <c r="C26" s="25" t="s">
        <v>16</v>
      </c>
      <c r="E26"/>
      <c r="F26"/>
      <c r="G26"/>
      <c r="H26"/>
      <c r="I26"/>
      <c r="J26"/>
      <c r="K26"/>
      <c r="L26"/>
      <c r="M26"/>
      <c r="N26" s="10" t="s">
        <v>46</v>
      </c>
    </row>
    <row r="27" spans="1:53" s="10" customFormat="1" ht="13">
      <c r="A27" s="33" t="s">
        <v>47</v>
      </c>
      <c r="B27" s="73">
        <v>0</v>
      </c>
      <c r="C27" s="25" t="s">
        <v>16</v>
      </c>
      <c r="E27"/>
      <c r="F27"/>
      <c r="G27"/>
      <c r="H27"/>
      <c r="I27"/>
      <c r="J27"/>
      <c r="K27"/>
      <c r="L27"/>
      <c r="M27"/>
      <c r="N27" s="12">
        <v>-0.97499999999999998</v>
      </c>
      <c r="O27" s="13">
        <v>-0.92500000000000004</v>
      </c>
      <c r="P27" s="12">
        <v>-0.875</v>
      </c>
      <c r="Q27" s="13">
        <v>-0.82499999999999996</v>
      </c>
      <c r="R27" s="12">
        <v>-0.77500000000000002</v>
      </c>
      <c r="S27" s="13">
        <v>-0.72499999999999998</v>
      </c>
      <c r="T27" s="12">
        <v>-0.67500000000000004</v>
      </c>
      <c r="U27" s="13">
        <v>-0.625</v>
      </c>
      <c r="V27" s="12">
        <v>-0.57499999999999996</v>
      </c>
      <c r="W27" s="13">
        <v>-0.52500000000000002</v>
      </c>
      <c r="X27" s="12">
        <v>-0.47499999999999998</v>
      </c>
      <c r="Y27" s="13">
        <v>-0.42499999999999999</v>
      </c>
      <c r="Z27" s="12">
        <v>-0.375</v>
      </c>
      <c r="AA27" s="13">
        <v>-0.32500000000000001</v>
      </c>
      <c r="AB27" s="12">
        <v>-0.27500000000000002</v>
      </c>
      <c r="AC27" s="13">
        <v>-0.22500000000000001</v>
      </c>
      <c r="AD27" s="12">
        <v>-0.17499999999999999</v>
      </c>
      <c r="AE27" s="13">
        <v>-0.125</v>
      </c>
      <c r="AF27" s="12">
        <v>-7.4999999999999997E-2</v>
      </c>
      <c r="AG27" s="13">
        <v>-2.5000000000000001E-2</v>
      </c>
      <c r="AH27" s="12">
        <v>2.5000000000000001E-2</v>
      </c>
      <c r="AI27" s="13">
        <v>7.4999999999999997E-2</v>
      </c>
      <c r="AJ27" s="12">
        <v>0.125</v>
      </c>
      <c r="AK27" s="13">
        <v>0.17499999999999999</v>
      </c>
      <c r="AL27" s="12">
        <v>0.22500000000000001</v>
      </c>
      <c r="AM27" s="13">
        <v>0.27500000000000002</v>
      </c>
      <c r="AN27" s="12">
        <v>0.32500000000000001</v>
      </c>
      <c r="AO27" s="13">
        <v>0.375</v>
      </c>
      <c r="AP27" s="12">
        <v>0.42499999999999999</v>
      </c>
      <c r="AQ27" s="13">
        <v>0.47499999999999998</v>
      </c>
      <c r="AR27" s="12">
        <v>0.52500000000000002</v>
      </c>
      <c r="AS27" s="13">
        <v>0.57499999999999996</v>
      </c>
      <c r="AT27" s="12">
        <v>0.625</v>
      </c>
      <c r="AU27" s="13">
        <v>0.67500000000000004</v>
      </c>
      <c r="AV27" s="12">
        <v>0.72499999999999998</v>
      </c>
      <c r="AW27" s="13">
        <v>0.77500000000000002</v>
      </c>
      <c r="AX27" s="12">
        <v>0.82499999999999996</v>
      </c>
      <c r="AY27" s="13">
        <v>0.875</v>
      </c>
      <c r="AZ27" s="12">
        <v>0.92500000000000004</v>
      </c>
      <c r="BA27" s="13">
        <v>0.97499999999999998</v>
      </c>
    </row>
    <row r="28" spans="1:53" s="10" customFormat="1" ht="13.5" thickBot="1">
      <c r="A28" s="35" t="s">
        <v>48</v>
      </c>
      <c r="B28" s="74">
        <v>0</v>
      </c>
      <c r="C28" s="25" t="s">
        <v>16</v>
      </c>
      <c r="D28" s="10" t="s">
        <v>49</v>
      </c>
      <c r="E28"/>
      <c r="F28"/>
      <c r="G28"/>
      <c r="H28"/>
      <c r="I28"/>
      <c r="J28"/>
      <c r="K28"/>
      <c r="L28"/>
      <c r="M28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</row>
    <row r="29" spans="1:53" s="10" customFormat="1" ht="13" thickBot="1">
      <c r="A29" s="2"/>
      <c r="B29"/>
      <c r="C29"/>
      <c r="D29" s="10" t="s">
        <v>50</v>
      </c>
      <c r="E29"/>
      <c r="F29"/>
      <c r="G29"/>
      <c r="H29"/>
      <c r="I29"/>
      <c r="J29"/>
      <c r="K29"/>
      <c r="L29"/>
      <c r="M29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</row>
    <row r="30" spans="1:53" s="10" customFormat="1" ht="13" thickBot="1">
      <c r="A30" s="68" t="s">
        <v>51</v>
      </c>
      <c r="B30" s="85">
        <f>SUM(B133:AO133)</f>
        <v>-6.5225602696727947E-16</v>
      </c>
      <c r="C30" t="s">
        <v>52</v>
      </c>
      <c r="E30"/>
      <c r="F30"/>
      <c r="G30"/>
      <c r="H30"/>
      <c r="I30"/>
      <c r="J30"/>
      <c r="K30"/>
      <c r="L30"/>
      <c r="M30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</row>
    <row r="31" spans="1:53" s="10" customFormat="1" ht="13" thickBot="1">
      <c r="A31" s="2"/>
      <c r="B31" s="85">
        <v>0.14699999999999999</v>
      </c>
      <c r="C31"/>
      <c r="D31"/>
      <c r="E31"/>
      <c r="F31"/>
      <c r="G31"/>
      <c r="H31"/>
      <c r="I31"/>
      <c r="J31"/>
      <c r="K31"/>
      <c r="L31" s="10" t="s">
        <v>53</v>
      </c>
      <c r="M31"/>
      <c r="N31" s="10">
        <f t="shared" ref="N31:BA31" si="0">-B110+0.75*B113</f>
        <v>0.14291617894040407</v>
      </c>
      <c r="O31" s="10">
        <f t="shared" si="0"/>
        <v>0.14944679118530202</v>
      </c>
      <c r="P31" s="10">
        <f t="shared" si="0"/>
        <v>0.1559774034302</v>
      </c>
      <c r="Q31" s="10">
        <f t="shared" si="0"/>
        <v>0.16250801567509793</v>
      </c>
      <c r="R31" s="10">
        <f t="shared" si="0"/>
        <v>0.16879313806621271</v>
      </c>
      <c r="S31" s="10">
        <f t="shared" si="0"/>
        <v>0.17370964711508902</v>
      </c>
      <c r="T31" s="10">
        <f t="shared" si="0"/>
        <v>0.17720279780002049</v>
      </c>
      <c r="U31" s="10">
        <f t="shared" si="0"/>
        <v>0.18069594848495202</v>
      </c>
      <c r="V31" s="10">
        <f t="shared" si="0"/>
        <v>0.18418909916988352</v>
      </c>
      <c r="W31" s="10">
        <f t="shared" si="0"/>
        <v>0.18768224985481505</v>
      </c>
      <c r="X31" s="10">
        <f t="shared" si="0"/>
        <v>0.19117540053974652</v>
      </c>
      <c r="Y31" s="10">
        <f t="shared" si="0"/>
        <v>0.19466855122467805</v>
      </c>
      <c r="Z31" s="10">
        <f t="shared" si="0"/>
        <v>0.19665153765529464</v>
      </c>
      <c r="AA31" s="10">
        <f t="shared" si="0"/>
        <v>0.19772777451276269</v>
      </c>
      <c r="AB31" s="10">
        <f t="shared" si="0"/>
        <v>0.19826917578664802</v>
      </c>
      <c r="AC31" s="10">
        <f t="shared" si="0"/>
        <v>0.19881057706053337</v>
      </c>
      <c r="AD31" s="10">
        <f t="shared" si="0"/>
        <v>0.19935197833441873</v>
      </c>
      <c r="AE31" s="10">
        <f t="shared" si="0"/>
        <v>0.19989337960830406</v>
      </c>
      <c r="AF31" s="10">
        <f t="shared" si="0"/>
        <v>0.20043478088218941</v>
      </c>
      <c r="AG31" s="10">
        <f t="shared" si="0"/>
        <v>0.20097618215607477</v>
      </c>
      <c r="AH31" s="10">
        <f t="shared" si="0"/>
        <v>0.20097618215607477</v>
      </c>
      <c r="AI31" s="10">
        <f t="shared" si="0"/>
        <v>0.20043478088218941</v>
      </c>
      <c r="AJ31" s="10">
        <f t="shared" si="0"/>
        <v>0.19989337960830406</v>
      </c>
      <c r="AK31" s="10">
        <f t="shared" si="0"/>
        <v>0.19935197833441873</v>
      </c>
      <c r="AL31" s="10">
        <f t="shared" si="0"/>
        <v>0.19881057706053337</v>
      </c>
      <c r="AM31" s="10">
        <f t="shared" si="0"/>
        <v>0.19826917578664802</v>
      </c>
      <c r="AN31" s="10">
        <f t="shared" si="0"/>
        <v>0.19772777451276269</v>
      </c>
      <c r="AO31" s="10">
        <f t="shared" si="0"/>
        <v>0.19665153765529464</v>
      </c>
      <c r="AP31" s="10">
        <f t="shared" si="0"/>
        <v>0.19466855122467805</v>
      </c>
      <c r="AQ31" s="10">
        <f t="shared" si="0"/>
        <v>0.19117540053974652</v>
      </c>
      <c r="AR31" s="10">
        <f t="shared" si="0"/>
        <v>0.18768224985481505</v>
      </c>
      <c r="AS31" s="10">
        <f t="shared" si="0"/>
        <v>0.18418909916988352</v>
      </c>
      <c r="AT31" s="10">
        <f t="shared" si="0"/>
        <v>0.18069594848495202</v>
      </c>
      <c r="AU31" s="10">
        <f t="shared" si="0"/>
        <v>0.17720279780002049</v>
      </c>
      <c r="AV31" s="10">
        <f t="shared" si="0"/>
        <v>0.17370964711508902</v>
      </c>
      <c r="AW31" s="10">
        <f t="shared" si="0"/>
        <v>0.16879313806621271</v>
      </c>
      <c r="AX31" s="10">
        <f t="shared" si="0"/>
        <v>0.16250801567509793</v>
      </c>
      <c r="AY31" s="10">
        <f t="shared" si="0"/>
        <v>0.1559774034302</v>
      </c>
      <c r="AZ31" s="10">
        <f t="shared" si="0"/>
        <v>0.14944679118530202</v>
      </c>
      <c r="BA31" s="10">
        <f t="shared" si="0"/>
        <v>0.14291617894040407</v>
      </c>
    </row>
    <row r="32" spans="1:53" s="10" customFormat="1" ht="16" thickBot="1">
      <c r="A32" s="45"/>
      <c r="B32" s="46"/>
      <c r="C32" s="46"/>
      <c r="D32" s="47" t="s">
        <v>54</v>
      </c>
      <c r="E32" s="47"/>
      <c r="F32" s="46"/>
      <c r="G32" s="46"/>
      <c r="H32" s="46"/>
      <c r="I32" s="48"/>
      <c r="J32"/>
      <c r="K32"/>
      <c r="L32" s="10" t="s">
        <v>55</v>
      </c>
      <c r="M32"/>
      <c r="N32" s="10">
        <f t="shared" ref="N32:BA32" si="1">-B110-0.25*B113</f>
        <v>4.5034607359153149E-2</v>
      </c>
      <c r="O32" s="10">
        <f t="shared" si="1"/>
        <v>4.0340729808132747E-2</v>
      </c>
      <c r="P32" s="10">
        <f t="shared" si="1"/>
        <v>3.5646852257112338E-2</v>
      </c>
      <c r="Q32" s="10">
        <f t="shared" si="1"/>
        <v>3.0952974706091915E-2</v>
      </c>
      <c r="R32" s="10">
        <f t="shared" si="1"/>
        <v>2.625909715507152E-2</v>
      </c>
      <c r="S32" s="10">
        <f t="shared" si="1"/>
        <v>2.2384193625525232E-2</v>
      </c>
      <c r="T32" s="10">
        <f t="shared" si="1"/>
        <v>1.902802924196359E-2</v>
      </c>
      <c r="U32" s="10">
        <f t="shared" si="1"/>
        <v>1.567186485840194E-2</v>
      </c>
      <c r="V32" s="10">
        <f t="shared" si="1"/>
        <v>1.2315700474840298E-2</v>
      </c>
      <c r="W32" s="10">
        <f t="shared" si="1"/>
        <v>8.9595360912786554E-3</v>
      </c>
      <c r="X32" s="10">
        <f t="shared" si="1"/>
        <v>5.6033717077170059E-3</v>
      </c>
      <c r="Y32" s="10">
        <f t="shared" si="1"/>
        <v>2.2472073241553633E-3</v>
      </c>
      <c r="Z32" s="10">
        <f t="shared" si="1"/>
        <v>0</v>
      </c>
      <c r="AA32" s="10">
        <f t="shared" si="1"/>
        <v>0</v>
      </c>
      <c r="AB32" s="10">
        <f t="shared" si="1"/>
        <v>0</v>
      </c>
      <c r="AC32" s="10">
        <f t="shared" si="1"/>
        <v>0</v>
      </c>
      <c r="AD32" s="10">
        <f t="shared" si="1"/>
        <v>0</v>
      </c>
      <c r="AE32" s="10">
        <f t="shared" si="1"/>
        <v>0</v>
      </c>
      <c r="AF32" s="10">
        <f t="shared" si="1"/>
        <v>0</v>
      </c>
      <c r="AG32" s="10">
        <f t="shared" si="1"/>
        <v>0</v>
      </c>
      <c r="AH32" s="10">
        <f t="shared" si="1"/>
        <v>0</v>
      </c>
      <c r="AI32" s="10">
        <f t="shared" si="1"/>
        <v>0</v>
      </c>
      <c r="AJ32" s="10">
        <f t="shared" si="1"/>
        <v>0</v>
      </c>
      <c r="AK32" s="10">
        <f t="shared" si="1"/>
        <v>0</v>
      </c>
      <c r="AL32" s="10">
        <f t="shared" si="1"/>
        <v>0</v>
      </c>
      <c r="AM32" s="10">
        <f t="shared" si="1"/>
        <v>0</v>
      </c>
      <c r="AN32" s="10">
        <f t="shared" si="1"/>
        <v>0</v>
      </c>
      <c r="AO32" s="10">
        <f t="shared" si="1"/>
        <v>0</v>
      </c>
      <c r="AP32" s="10">
        <f t="shared" si="1"/>
        <v>2.2472073241553633E-3</v>
      </c>
      <c r="AQ32" s="10">
        <f t="shared" si="1"/>
        <v>5.6033717077170059E-3</v>
      </c>
      <c r="AR32" s="10">
        <f t="shared" si="1"/>
        <v>8.9595360912786554E-3</v>
      </c>
      <c r="AS32" s="10">
        <f t="shared" si="1"/>
        <v>1.2315700474840298E-2</v>
      </c>
      <c r="AT32" s="10">
        <f t="shared" si="1"/>
        <v>1.567186485840194E-2</v>
      </c>
      <c r="AU32" s="10">
        <f t="shared" si="1"/>
        <v>1.902802924196359E-2</v>
      </c>
      <c r="AV32" s="10">
        <f t="shared" si="1"/>
        <v>2.2384193625525232E-2</v>
      </c>
      <c r="AW32" s="10">
        <f t="shared" si="1"/>
        <v>2.625909715507152E-2</v>
      </c>
      <c r="AX32" s="10">
        <f t="shared" si="1"/>
        <v>3.0952974706091915E-2</v>
      </c>
      <c r="AY32" s="10">
        <f t="shared" si="1"/>
        <v>3.5646852257112338E-2</v>
      </c>
      <c r="AZ32" s="10">
        <f t="shared" si="1"/>
        <v>4.0340729808132747E-2</v>
      </c>
      <c r="BA32" s="10">
        <f t="shared" si="1"/>
        <v>4.5034607359153149E-2</v>
      </c>
    </row>
    <row r="33" spans="1:14" s="10" customFormat="1">
      <c r="A33" s="49" t="s">
        <v>8</v>
      </c>
      <c r="B33" s="50" t="s">
        <v>9</v>
      </c>
      <c r="C33" s="51"/>
      <c r="D33" s="52" t="s">
        <v>10</v>
      </c>
      <c r="E33" s="51"/>
      <c r="F33" s="50" t="s">
        <v>11</v>
      </c>
      <c r="G33" s="51"/>
      <c r="H33" s="53" t="s">
        <v>12</v>
      </c>
      <c r="I33" s="51"/>
      <c r="J33"/>
      <c r="K33"/>
      <c r="L33"/>
      <c r="M33"/>
    </row>
    <row r="34" spans="1:14" s="10" customFormat="1">
      <c r="A34" s="42" t="s">
        <v>56</v>
      </c>
      <c r="B34" s="54">
        <v>0</v>
      </c>
      <c r="C34" s="55"/>
      <c r="D34" s="56">
        <f>D11/$B$15</f>
        <v>0.20124688279301745</v>
      </c>
      <c r="E34" s="57"/>
      <c r="F34" s="58">
        <v>0</v>
      </c>
      <c r="G34" s="57"/>
      <c r="H34" s="59">
        <v>0</v>
      </c>
      <c r="I34" s="57" t="s">
        <v>57</v>
      </c>
      <c r="J34"/>
      <c r="K34"/>
      <c r="L34"/>
      <c r="M34"/>
    </row>
    <row r="35" spans="1:14" s="10" customFormat="1">
      <c r="A35" s="43">
        <v>2</v>
      </c>
      <c r="B35" s="56">
        <f>B12/$B$15</f>
        <v>0.39152119700748128</v>
      </c>
      <c r="C35" s="57"/>
      <c r="D35" s="56">
        <f>D12/$B$15</f>
        <v>0.1970074812967581</v>
      </c>
      <c r="E35" s="57"/>
      <c r="F35" s="58">
        <f>F12/$B$15</f>
        <v>0</v>
      </c>
      <c r="G35" s="57"/>
      <c r="H35" s="15">
        <f>H12/57.3</f>
        <v>0</v>
      </c>
      <c r="I35" s="60" t="s">
        <v>57</v>
      </c>
      <c r="J35"/>
      <c r="K35"/>
      <c r="L35"/>
      <c r="M35"/>
    </row>
    <row r="36" spans="1:14" s="10" customFormat="1">
      <c r="A36" s="42">
        <v>3</v>
      </c>
      <c r="B36" s="56">
        <f>B13/$B$15</f>
        <v>0.75561097256857845</v>
      </c>
      <c r="C36" s="55"/>
      <c r="D36" s="56">
        <f>D13/$B$15</f>
        <v>0.14713216957605985</v>
      </c>
      <c r="E36" s="57"/>
      <c r="F36" s="58">
        <f>F13/$B$15</f>
        <v>2.4438902743142144E-2</v>
      </c>
      <c r="G36" s="57"/>
      <c r="H36" s="15">
        <f>H13/57.3</f>
        <v>0</v>
      </c>
      <c r="I36" s="60" t="s">
        <v>57</v>
      </c>
      <c r="J36"/>
      <c r="K36"/>
      <c r="L36"/>
      <c r="M36"/>
    </row>
    <row r="37" spans="1:14" s="10" customFormat="1">
      <c r="A37" s="42">
        <v>4</v>
      </c>
      <c r="B37" s="56">
        <f>B14/$B$15</f>
        <v>0.99999999999999978</v>
      </c>
      <c r="C37" s="55"/>
      <c r="D37" s="56">
        <f>D14/$B$15</f>
        <v>9.2269326683291769E-2</v>
      </c>
      <c r="E37" s="57"/>
      <c r="F37" s="58">
        <f>F14/$B$15</f>
        <v>4.738154613466334E-2</v>
      </c>
      <c r="G37" s="57"/>
      <c r="H37" s="15">
        <f>H14/57.3</f>
        <v>0</v>
      </c>
      <c r="I37" s="60" t="s">
        <v>57</v>
      </c>
      <c r="J37"/>
      <c r="K37"/>
      <c r="L37"/>
      <c r="M37"/>
    </row>
    <row r="38" spans="1:14" s="10" customFormat="1" ht="13" thickBot="1">
      <c r="A38" s="44" t="s">
        <v>58</v>
      </c>
      <c r="B38" s="61">
        <f>B15/$B$15</f>
        <v>1</v>
      </c>
      <c r="C38" s="62"/>
      <c r="D38" s="61">
        <f>D15/$B$15</f>
        <v>9.2269326683291769E-2</v>
      </c>
      <c r="E38" s="63"/>
      <c r="F38" s="64">
        <f>F15/$B$15</f>
        <v>4.738154613466334E-2</v>
      </c>
      <c r="G38" s="63"/>
      <c r="H38" s="65">
        <f>H15/57.3</f>
        <v>0</v>
      </c>
      <c r="I38" s="66" t="s">
        <v>57</v>
      </c>
      <c r="J38"/>
      <c r="K38"/>
      <c r="L38"/>
      <c r="M38"/>
    </row>
    <row r="39" spans="1:14" s="10" customFormat="1" ht="13" thickBot="1">
      <c r="A39" s="67" t="s">
        <v>27</v>
      </c>
      <c r="B39" s="68">
        <f>B16/57.3</f>
        <v>0.17975567190226879</v>
      </c>
      <c r="C39" s="69" t="s">
        <v>57</v>
      </c>
      <c r="D39" s="13"/>
      <c r="E39" s="59"/>
      <c r="F39" s="59"/>
      <c r="G39" s="59"/>
      <c r="H39" s="59"/>
      <c r="I39" s="59"/>
      <c r="J39"/>
      <c r="K39"/>
      <c r="L39"/>
      <c r="M39"/>
    </row>
    <row r="40" spans="1:14" s="10" customFormat="1">
      <c r="B40" s="11"/>
      <c r="E40"/>
      <c r="F40"/>
      <c r="G40"/>
      <c r="H40"/>
      <c r="I40"/>
      <c r="J40"/>
      <c r="K40"/>
      <c r="L40"/>
      <c r="M40"/>
    </row>
    <row r="41" spans="1:14" s="10" customFormat="1">
      <c r="B41" s="11"/>
      <c r="C41" s="11"/>
      <c r="E41"/>
      <c r="F41"/>
      <c r="G41"/>
      <c r="H41"/>
      <c r="I41"/>
      <c r="J41"/>
      <c r="K41"/>
      <c r="L41"/>
      <c r="M41"/>
    </row>
    <row r="42" spans="1:14" s="10" customFormat="1" ht="13" thickBot="1">
      <c r="A42" s="2" t="s">
        <v>59</v>
      </c>
      <c r="B42" s="2"/>
      <c r="C42" s="2"/>
      <c r="E42"/>
      <c r="F42"/>
      <c r="G42"/>
      <c r="H42"/>
      <c r="I42"/>
      <c r="J42"/>
      <c r="K42"/>
      <c r="L42"/>
      <c r="M42"/>
    </row>
    <row r="43" spans="1:14" s="10" customFormat="1">
      <c r="A43" s="49" t="s">
        <v>32</v>
      </c>
      <c r="B43" s="50" t="s">
        <v>33</v>
      </c>
      <c r="C43" s="51"/>
      <c r="E43"/>
      <c r="F43"/>
      <c r="G43"/>
      <c r="H43"/>
      <c r="I43"/>
      <c r="J43"/>
      <c r="K43"/>
      <c r="L43"/>
      <c r="M43"/>
    </row>
    <row r="44" spans="1:14" s="10" customFormat="1">
      <c r="A44" s="42" t="s">
        <v>34</v>
      </c>
      <c r="B44" s="54">
        <f t="shared" ref="B44:B52" si="2">B20/57.3</f>
        <v>0</v>
      </c>
      <c r="C44" s="55" t="s">
        <v>57</v>
      </c>
      <c r="E44"/>
      <c r="F44"/>
      <c r="G44"/>
      <c r="H44"/>
      <c r="I44"/>
      <c r="J44"/>
      <c r="K44"/>
      <c r="L44"/>
      <c r="M44"/>
    </row>
    <row r="45" spans="1:14" s="10" customFormat="1">
      <c r="A45" s="43" t="s">
        <v>36</v>
      </c>
      <c r="B45" s="56">
        <f t="shared" si="2"/>
        <v>0</v>
      </c>
      <c r="C45" s="57" t="s">
        <v>57</v>
      </c>
      <c r="E45"/>
      <c r="F45"/>
      <c r="G45"/>
      <c r="H45"/>
      <c r="I45"/>
      <c r="J45"/>
      <c r="K45"/>
      <c r="L45"/>
      <c r="M45"/>
    </row>
    <row r="46" spans="1:14" s="2" customFormat="1">
      <c r="A46" s="42" t="s">
        <v>38</v>
      </c>
      <c r="B46" s="56">
        <f t="shared" si="2"/>
        <v>0</v>
      </c>
      <c r="C46" s="55" t="s">
        <v>57</v>
      </c>
    </row>
    <row r="47" spans="1:14" s="2" customFormat="1">
      <c r="A47" s="42" t="s">
        <v>40</v>
      </c>
      <c r="B47" s="56">
        <f t="shared" si="2"/>
        <v>0</v>
      </c>
      <c r="C47" s="55" t="s">
        <v>57</v>
      </c>
      <c r="E47"/>
      <c r="F47"/>
      <c r="G47"/>
      <c r="H47"/>
      <c r="I47"/>
      <c r="J47"/>
      <c r="K47"/>
      <c r="L47"/>
      <c r="M47"/>
    </row>
    <row r="48" spans="1:14" s="2" customFormat="1">
      <c r="A48" s="43" t="s">
        <v>42</v>
      </c>
      <c r="B48" s="56">
        <f t="shared" si="2"/>
        <v>0</v>
      </c>
      <c r="C48" s="57" t="s">
        <v>57</v>
      </c>
      <c r="E48"/>
      <c r="F48"/>
      <c r="G48"/>
      <c r="H48"/>
      <c r="I48"/>
      <c r="J48"/>
      <c r="K48"/>
      <c r="L48"/>
      <c r="M48"/>
      <c r="N48" s="2" t="s">
        <v>60</v>
      </c>
    </row>
    <row r="49" spans="1:55" s="2" customFormat="1">
      <c r="A49" s="42" t="s">
        <v>43</v>
      </c>
      <c r="B49" s="56">
        <f t="shared" si="2"/>
        <v>0</v>
      </c>
      <c r="C49" s="55" t="s">
        <v>57</v>
      </c>
      <c r="E49"/>
      <c r="F49"/>
      <c r="G49"/>
      <c r="H49"/>
      <c r="I49"/>
      <c r="J49"/>
      <c r="K49"/>
      <c r="L49"/>
      <c r="M49"/>
    </row>
    <row r="50" spans="1:55" s="2" customFormat="1">
      <c r="A50" s="42" t="s">
        <v>45</v>
      </c>
      <c r="B50" s="56">
        <f t="shared" si="2"/>
        <v>0</v>
      </c>
      <c r="C50" s="55" t="s">
        <v>57</v>
      </c>
      <c r="E50"/>
      <c r="F50"/>
      <c r="G50"/>
      <c r="H50"/>
      <c r="I50"/>
      <c r="J50"/>
      <c r="K50"/>
      <c r="L50"/>
      <c r="M50"/>
      <c r="O50" s="2" t="s">
        <v>18</v>
      </c>
      <c r="P50" s="2" t="s">
        <v>19</v>
      </c>
      <c r="Q50" s="2" t="s">
        <v>20</v>
      </c>
      <c r="R50" s="2" t="s">
        <v>21</v>
      </c>
      <c r="S50" s="2" t="s">
        <v>22</v>
      </c>
      <c r="T50" s="2" t="s">
        <v>23</v>
      </c>
    </row>
    <row r="51" spans="1:55" s="2" customFormat="1" ht="13" thickBot="1">
      <c r="A51" s="44" t="s">
        <v>47</v>
      </c>
      <c r="B51" s="61">
        <f t="shared" si="2"/>
        <v>0</v>
      </c>
      <c r="C51" s="62" t="s">
        <v>57</v>
      </c>
      <c r="E51"/>
      <c r="F51"/>
      <c r="G51"/>
      <c r="H51"/>
      <c r="I51"/>
      <c r="J51"/>
      <c r="K51"/>
      <c r="L51"/>
      <c r="M51"/>
      <c r="N51" s="2" t="s">
        <v>24</v>
      </c>
      <c r="O51" s="2">
        <f>D34</f>
        <v>0.20124688279301745</v>
      </c>
      <c r="P51" s="2">
        <v>0</v>
      </c>
      <c r="Q51" s="2">
        <f>D35</f>
        <v>0.1970074812967581</v>
      </c>
      <c r="R51" s="2">
        <f>B35</f>
        <v>0.39152119700748128</v>
      </c>
      <c r="S51" s="2">
        <f>O51-T51*P51</f>
        <v>0.20124688279301745</v>
      </c>
      <c r="T51" s="2">
        <f>(Q51-O51)/(R51-P51)</f>
        <v>-1.0828025477706985E-2</v>
      </c>
    </row>
    <row r="52" spans="1:55" s="2" customFormat="1" ht="13" thickBot="1">
      <c r="A52" s="67" t="s">
        <v>48</v>
      </c>
      <c r="B52" s="68">
        <f t="shared" si="2"/>
        <v>0</v>
      </c>
      <c r="C52" s="69" t="s">
        <v>57</v>
      </c>
      <c r="E52"/>
      <c r="F52"/>
      <c r="G52"/>
      <c r="H52"/>
      <c r="I52"/>
      <c r="J52"/>
      <c r="K52"/>
      <c r="L52"/>
      <c r="M52"/>
      <c r="N52" s="2" t="s">
        <v>26</v>
      </c>
      <c r="O52" s="2">
        <f>D35</f>
        <v>0.1970074812967581</v>
      </c>
      <c r="P52" s="2">
        <f>B35</f>
        <v>0.39152119700748128</v>
      </c>
      <c r="Q52" s="2">
        <f>D36</f>
        <v>0.14713216957605985</v>
      </c>
      <c r="R52" s="2">
        <f>B36</f>
        <v>0.75561097256857845</v>
      </c>
      <c r="S52" s="2">
        <f>O52-T52*P52</f>
        <v>0.25064052198271447</v>
      </c>
      <c r="T52" s="2">
        <f>(Q52-O52)/(R52-P52)</f>
        <v>-0.13698630136986306</v>
      </c>
    </row>
    <row r="53" spans="1:55" s="2" customFormat="1">
      <c r="B53"/>
      <c r="E53"/>
      <c r="F53"/>
      <c r="G53"/>
      <c r="H53"/>
      <c r="I53"/>
      <c r="J53"/>
      <c r="K53"/>
      <c r="L53"/>
      <c r="M53"/>
      <c r="N53" s="2" t="s">
        <v>28</v>
      </c>
      <c r="O53" s="2">
        <f>D36</f>
        <v>0.14713216957605985</v>
      </c>
      <c r="P53" s="2">
        <f>B36</f>
        <v>0.75561097256857845</v>
      </c>
      <c r="Q53" s="2">
        <f>D37</f>
        <v>9.2269326683291769E-2</v>
      </c>
      <c r="R53" s="2">
        <f>B37</f>
        <v>0.99999999999999978</v>
      </c>
      <c r="S53" s="2">
        <f>O53-T53*P53</f>
        <v>0.31675912260165917</v>
      </c>
      <c r="T53" s="2">
        <f>(Q53-O53)/(R53-P53)</f>
        <v>-0.22448979591836746</v>
      </c>
    </row>
    <row r="54" spans="1:55" s="2" customFormat="1">
      <c r="B54"/>
      <c r="E54"/>
      <c r="F54"/>
      <c r="G54"/>
      <c r="H54"/>
      <c r="I54"/>
      <c r="J54"/>
      <c r="K54"/>
      <c r="L54"/>
      <c r="M54"/>
      <c r="N54" s="2" t="s">
        <v>29</v>
      </c>
      <c r="O54" s="2">
        <f>D37</f>
        <v>9.2269326683291769E-2</v>
      </c>
      <c r="P54" s="2">
        <f>B37</f>
        <v>0.99999999999999978</v>
      </c>
      <c r="Q54" s="2">
        <f>D38</f>
        <v>9.2269326683291769E-2</v>
      </c>
      <c r="R54" s="2">
        <f>B38</f>
        <v>1</v>
      </c>
      <c r="S54" s="2">
        <f>O54-T54*P54</f>
        <v>9.2269326683291769E-2</v>
      </c>
      <c r="T54" s="2">
        <f>(Q54-O54)/(R54-P54)</f>
        <v>0</v>
      </c>
    </row>
    <row r="55" spans="1:55" s="2" customFormat="1">
      <c r="B55"/>
      <c r="E55"/>
      <c r="F55"/>
      <c r="G55"/>
      <c r="H55"/>
      <c r="I55"/>
      <c r="J55"/>
      <c r="K55"/>
      <c r="L55"/>
      <c r="M55"/>
    </row>
    <row r="56" spans="1:55" s="2" customFormat="1">
      <c r="B56"/>
      <c r="E56"/>
      <c r="F56"/>
      <c r="G56"/>
      <c r="H56"/>
      <c r="I56"/>
      <c r="J56"/>
      <c r="K56"/>
      <c r="L56"/>
      <c r="M56"/>
      <c r="N56" s="2" t="s">
        <v>61</v>
      </c>
      <c r="O56" s="2">
        <v>1</v>
      </c>
      <c r="P56" s="2">
        <v>0.95</v>
      </c>
      <c r="Q56" s="2">
        <v>0.9</v>
      </c>
      <c r="R56" s="2">
        <v>0.85</v>
      </c>
      <c r="S56" s="2">
        <v>0.8</v>
      </c>
      <c r="T56" s="2">
        <v>0.75</v>
      </c>
      <c r="U56" s="2">
        <v>0.7</v>
      </c>
      <c r="V56" s="2">
        <v>0.65</v>
      </c>
      <c r="W56" s="2">
        <v>0.6</v>
      </c>
      <c r="X56" s="2">
        <v>0.55000000000000004</v>
      </c>
      <c r="Y56" s="2">
        <v>0.5</v>
      </c>
      <c r="Z56" s="2">
        <v>0.45</v>
      </c>
      <c r="AA56" s="2">
        <v>0.4</v>
      </c>
      <c r="AB56" s="2">
        <v>0.35</v>
      </c>
      <c r="AC56" s="2">
        <v>0.3</v>
      </c>
      <c r="AD56" s="2">
        <v>0.25</v>
      </c>
      <c r="AE56" s="2">
        <v>0.2</v>
      </c>
      <c r="AF56" s="2">
        <v>0.15</v>
      </c>
      <c r="AG56" s="2">
        <v>0.1</v>
      </c>
      <c r="AH56" s="2">
        <v>0.05</v>
      </c>
      <c r="AI56" s="2">
        <v>0</v>
      </c>
      <c r="AJ56" s="2">
        <v>0.05</v>
      </c>
      <c r="AK56" s="2">
        <v>0.1</v>
      </c>
      <c r="AL56" s="2">
        <v>0.15</v>
      </c>
      <c r="AM56" s="2">
        <v>0.2</v>
      </c>
      <c r="AN56" s="2">
        <v>0.25</v>
      </c>
      <c r="AO56" s="2">
        <v>0.3</v>
      </c>
      <c r="AP56" s="2">
        <v>0.35</v>
      </c>
      <c r="AQ56" s="2">
        <v>0.4</v>
      </c>
      <c r="AR56" s="2">
        <v>0.45</v>
      </c>
      <c r="AS56" s="2">
        <v>0.5</v>
      </c>
      <c r="AT56" s="2">
        <v>0.55000000000000004</v>
      </c>
      <c r="AU56" s="2">
        <v>0.6</v>
      </c>
      <c r="AV56" s="2">
        <v>0.65</v>
      </c>
      <c r="AW56" s="2">
        <v>0.7</v>
      </c>
      <c r="AX56" s="2">
        <v>0.75</v>
      </c>
      <c r="AY56" s="2">
        <v>0.8</v>
      </c>
      <c r="AZ56" s="2">
        <v>0.85</v>
      </c>
      <c r="BA56" s="2">
        <v>0.9</v>
      </c>
      <c r="BB56" s="2">
        <v>0.95</v>
      </c>
      <c r="BC56" s="2">
        <v>1</v>
      </c>
    </row>
    <row r="57" spans="1:55" s="2" customFormat="1">
      <c r="B57"/>
      <c r="E57"/>
      <c r="F57"/>
      <c r="G57"/>
      <c r="H57"/>
      <c r="I57"/>
      <c r="J57"/>
      <c r="K57"/>
      <c r="L57"/>
      <c r="M57"/>
      <c r="N57" s="2" t="s">
        <v>24</v>
      </c>
      <c r="O57" s="2">
        <f t="shared" ref="O57:BC57" si="3">$S$51+$T$51*O$56</f>
        <v>0.19041885731531047</v>
      </c>
      <c r="P57" s="2">
        <f t="shared" si="3"/>
        <v>0.1909602585891958</v>
      </c>
      <c r="Q57" s="2">
        <f t="shared" si="3"/>
        <v>0.19150165986308115</v>
      </c>
      <c r="R57" s="2">
        <f t="shared" si="3"/>
        <v>0.19204306113696651</v>
      </c>
      <c r="S57" s="2">
        <f t="shared" si="3"/>
        <v>0.19258446241085186</v>
      </c>
      <c r="T57" s="2">
        <f t="shared" si="3"/>
        <v>0.19312586368473722</v>
      </c>
      <c r="U57" s="2">
        <f t="shared" si="3"/>
        <v>0.19366726495862255</v>
      </c>
      <c r="V57" s="2">
        <f t="shared" si="3"/>
        <v>0.1942086662325079</v>
      </c>
      <c r="W57" s="2">
        <f t="shared" si="3"/>
        <v>0.19475006750639326</v>
      </c>
      <c r="X57" s="2">
        <f t="shared" si="3"/>
        <v>0.19529146878027862</v>
      </c>
      <c r="Y57" s="2">
        <f t="shared" si="3"/>
        <v>0.19583287005416394</v>
      </c>
      <c r="Z57" s="2">
        <f t="shared" si="3"/>
        <v>0.1963742713280493</v>
      </c>
      <c r="AA57" s="2">
        <f t="shared" si="3"/>
        <v>0.19691567260193465</v>
      </c>
      <c r="AB57" s="2">
        <f t="shared" si="3"/>
        <v>0.19745707387582001</v>
      </c>
      <c r="AC57" s="2">
        <f t="shared" si="3"/>
        <v>0.19799847514970534</v>
      </c>
      <c r="AD57" s="2">
        <f t="shared" si="3"/>
        <v>0.19853987642359069</v>
      </c>
      <c r="AE57" s="2">
        <f t="shared" si="3"/>
        <v>0.19908127769747605</v>
      </c>
      <c r="AF57" s="2">
        <f t="shared" si="3"/>
        <v>0.19962267897136141</v>
      </c>
      <c r="AG57" s="2">
        <f t="shared" si="3"/>
        <v>0.20016408024524673</v>
      </c>
      <c r="AH57" s="2">
        <f t="shared" si="3"/>
        <v>0.20070548151913209</v>
      </c>
      <c r="AI57" s="2">
        <f t="shared" si="3"/>
        <v>0.20124688279301745</v>
      </c>
      <c r="AJ57" s="2">
        <f t="shared" si="3"/>
        <v>0.20070548151913209</v>
      </c>
      <c r="AK57" s="2">
        <f t="shared" si="3"/>
        <v>0.20016408024524673</v>
      </c>
      <c r="AL57" s="2">
        <f t="shared" si="3"/>
        <v>0.19962267897136141</v>
      </c>
      <c r="AM57" s="2">
        <f t="shared" si="3"/>
        <v>0.19908127769747605</v>
      </c>
      <c r="AN57" s="2">
        <f t="shared" si="3"/>
        <v>0.19853987642359069</v>
      </c>
      <c r="AO57" s="2">
        <f t="shared" si="3"/>
        <v>0.19799847514970534</v>
      </c>
      <c r="AP57" s="2">
        <f t="shared" si="3"/>
        <v>0.19745707387582001</v>
      </c>
      <c r="AQ57" s="2">
        <f t="shared" si="3"/>
        <v>0.19691567260193465</v>
      </c>
      <c r="AR57" s="2">
        <f t="shared" si="3"/>
        <v>0.1963742713280493</v>
      </c>
      <c r="AS57" s="2">
        <f t="shared" si="3"/>
        <v>0.19583287005416394</v>
      </c>
      <c r="AT57" s="2">
        <f t="shared" si="3"/>
        <v>0.19529146878027862</v>
      </c>
      <c r="AU57" s="2">
        <f t="shared" si="3"/>
        <v>0.19475006750639326</v>
      </c>
      <c r="AV57" s="2">
        <f t="shared" si="3"/>
        <v>0.1942086662325079</v>
      </c>
      <c r="AW57" s="2">
        <f t="shared" si="3"/>
        <v>0.19366726495862255</v>
      </c>
      <c r="AX57" s="2">
        <f t="shared" si="3"/>
        <v>0.19312586368473722</v>
      </c>
      <c r="AY57" s="2">
        <f t="shared" si="3"/>
        <v>0.19258446241085186</v>
      </c>
      <c r="AZ57" s="2">
        <f t="shared" si="3"/>
        <v>0.19204306113696651</v>
      </c>
      <c r="BA57" s="2">
        <f t="shared" si="3"/>
        <v>0.19150165986308115</v>
      </c>
      <c r="BB57" s="2">
        <f t="shared" si="3"/>
        <v>0.1909602585891958</v>
      </c>
      <c r="BC57" s="2">
        <f t="shared" si="3"/>
        <v>0.19041885731531047</v>
      </c>
    </row>
    <row r="58" spans="1:55" s="2" customFormat="1">
      <c r="B58"/>
      <c r="C58"/>
      <c r="E58"/>
      <c r="F58"/>
      <c r="G58"/>
      <c r="H58"/>
      <c r="I58"/>
      <c r="J58"/>
      <c r="K58"/>
      <c r="L58"/>
      <c r="M58"/>
      <c r="N58" s="2" t="s">
        <v>26</v>
      </c>
      <c r="O58" s="2">
        <f t="shared" ref="O58:BC58" si="4">$S$52+$T$52*O$56</f>
        <v>0.11365422061285141</v>
      </c>
      <c r="P58" s="2">
        <f t="shared" si="4"/>
        <v>0.12050353568134456</v>
      </c>
      <c r="Q58" s="2">
        <f t="shared" si="4"/>
        <v>0.12735285074983771</v>
      </c>
      <c r="R58" s="2">
        <f t="shared" si="4"/>
        <v>0.13420216581833089</v>
      </c>
      <c r="S58" s="2">
        <f t="shared" si="4"/>
        <v>0.14105148088682401</v>
      </c>
      <c r="T58" s="2">
        <f t="shared" si="4"/>
        <v>0.14790079595531719</v>
      </c>
      <c r="U58" s="2">
        <f t="shared" si="4"/>
        <v>0.15475011102381034</v>
      </c>
      <c r="V58" s="2">
        <f t="shared" si="4"/>
        <v>0.16159942609230349</v>
      </c>
      <c r="W58" s="2">
        <f t="shared" si="4"/>
        <v>0.16844874116079664</v>
      </c>
      <c r="X58" s="2">
        <f t="shared" si="4"/>
        <v>0.17529805622928979</v>
      </c>
      <c r="Y58" s="2">
        <f t="shared" si="4"/>
        <v>0.18214737129778294</v>
      </c>
      <c r="Z58" s="2">
        <f t="shared" si="4"/>
        <v>0.18899668636627609</v>
      </c>
      <c r="AA58" s="2">
        <f t="shared" si="4"/>
        <v>0.19584600143476924</v>
      </c>
      <c r="AB58" s="2">
        <f t="shared" si="4"/>
        <v>0.20269531650326239</v>
      </c>
      <c r="AC58" s="2">
        <f t="shared" si="4"/>
        <v>0.20954463157175557</v>
      </c>
      <c r="AD58" s="2">
        <f t="shared" si="4"/>
        <v>0.21639394664024869</v>
      </c>
      <c r="AE58" s="2">
        <f t="shared" si="4"/>
        <v>0.22324326170874187</v>
      </c>
      <c r="AF58" s="2">
        <f t="shared" si="4"/>
        <v>0.23009257677723502</v>
      </c>
      <c r="AG58" s="2">
        <f t="shared" si="4"/>
        <v>0.23694189184572817</v>
      </c>
      <c r="AH58" s="2">
        <f t="shared" si="4"/>
        <v>0.24379120691422132</v>
      </c>
      <c r="AI58" s="2">
        <f t="shared" si="4"/>
        <v>0.25064052198271447</v>
      </c>
      <c r="AJ58" s="2">
        <f t="shared" si="4"/>
        <v>0.24379120691422132</v>
      </c>
      <c r="AK58" s="2">
        <f t="shared" si="4"/>
        <v>0.23694189184572817</v>
      </c>
      <c r="AL58" s="2">
        <f t="shared" si="4"/>
        <v>0.23009257677723502</v>
      </c>
      <c r="AM58" s="2">
        <f t="shared" si="4"/>
        <v>0.22324326170874187</v>
      </c>
      <c r="AN58" s="2">
        <f t="shared" si="4"/>
        <v>0.21639394664024869</v>
      </c>
      <c r="AO58" s="2">
        <f t="shared" si="4"/>
        <v>0.20954463157175557</v>
      </c>
      <c r="AP58" s="2">
        <f t="shared" si="4"/>
        <v>0.20269531650326239</v>
      </c>
      <c r="AQ58" s="2">
        <f t="shared" si="4"/>
        <v>0.19584600143476924</v>
      </c>
      <c r="AR58" s="2">
        <f t="shared" si="4"/>
        <v>0.18899668636627609</v>
      </c>
      <c r="AS58" s="2">
        <f t="shared" si="4"/>
        <v>0.18214737129778294</v>
      </c>
      <c r="AT58" s="2">
        <f t="shared" si="4"/>
        <v>0.17529805622928979</v>
      </c>
      <c r="AU58" s="2">
        <f t="shared" si="4"/>
        <v>0.16844874116079664</v>
      </c>
      <c r="AV58" s="2">
        <f t="shared" si="4"/>
        <v>0.16159942609230349</v>
      </c>
      <c r="AW58" s="2">
        <f t="shared" si="4"/>
        <v>0.15475011102381034</v>
      </c>
      <c r="AX58" s="2">
        <f t="shared" si="4"/>
        <v>0.14790079595531719</v>
      </c>
      <c r="AY58" s="2">
        <f t="shared" si="4"/>
        <v>0.14105148088682401</v>
      </c>
      <c r="AZ58" s="2">
        <f t="shared" si="4"/>
        <v>0.13420216581833089</v>
      </c>
      <c r="BA58" s="2">
        <f t="shared" si="4"/>
        <v>0.12735285074983771</v>
      </c>
      <c r="BB58" s="2">
        <f t="shared" si="4"/>
        <v>0.12050353568134456</v>
      </c>
      <c r="BC58" s="2">
        <f t="shared" si="4"/>
        <v>0.11365422061285141</v>
      </c>
    </row>
    <row r="59" spans="1:55" s="2" customFormat="1">
      <c r="B59"/>
      <c r="C59"/>
      <c r="E59"/>
      <c r="F59"/>
      <c r="G59"/>
      <c r="H59"/>
      <c r="I59"/>
      <c r="J59"/>
      <c r="K59"/>
      <c r="L59"/>
      <c r="M59"/>
      <c r="N59" s="2" t="s">
        <v>28</v>
      </c>
      <c r="O59" s="2">
        <f t="shared" ref="O59:BC59" si="5">$S$53+$T$53*O$56</f>
        <v>9.2269326683291714E-2</v>
      </c>
      <c r="P59" s="2">
        <f t="shared" si="5"/>
        <v>0.1034938164792101</v>
      </c>
      <c r="Q59" s="2">
        <f t="shared" si="5"/>
        <v>0.11471830627512847</v>
      </c>
      <c r="R59" s="2">
        <f t="shared" si="5"/>
        <v>0.12594279607104683</v>
      </c>
      <c r="S59" s="2">
        <f t="shared" si="5"/>
        <v>0.13716728586696519</v>
      </c>
      <c r="T59" s="2">
        <f t="shared" si="5"/>
        <v>0.14839177566288358</v>
      </c>
      <c r="U59" s="2">
        <f t="shared" si="5"/>
        <v>0.15961626545880195</v>
      </c>
      <c r="V59" s="2">
        <f t="shared" si="5"/>
        <v>0.17084075525472031</v>
      </c>
      <c r="W59" s="2">
        <f t="shared" si="5"/>
        <v>0.1820652450506387</v>
      </c>
      <c r="X59" s="2">
        <f t="shared" si="5"/>
        <v>0.19328973484655707</v>
      </c>
      <c r="Y59" s="2">
        <f t="shared" si="5"/>
        <v>0.20451422464247543</v>
      </c>
      <c r="Z59" s="2">
        <f t="shared" si="5"/>
        <v>0.21573871443839382</v>
      </c>
      <c r="AA59" s="2">
        <f t="shared" si="5"/>
        <v>0.22696320423431218</v>
      </c>
      <c r="AB59" s="2">
        <f t="shared" si="5"/>
        <v>0.23818769403023055</v>
      </c>
      <c r="AC59" s="2">
        <f t="shared" si="5"/>
        <v>0.24941218382614894</v>
      </c>
      <c r="AD59" s="2">
        <f t="shared" si="5"/>
        <v>0.26063667362206733</v>
      </c>
      <c r="AE59" s="2">
        <f t="shared" si="5"/>
        <v>0.27186116341798566</v>
      </c>
      <c r="AF59" s="2">
        <f t="shared" si="5"/>
        <v>0.28308565321390405</v>
      </c>
      <c r="AG59" s="2">
        <f t="shared" si="5"/>
        <v>0.29431014300982244</v>
      </c>
      <c r="AH59" s="2">
        <f t="shared" si="5"/>
        <v>0.30553463280574078</v>
      </c>
      <c r="AI59" s="2">
        <f t="shared" si="5"/>
        <v>0.31675912260165917</v>
      </c>
      <c r="AJ59" s="2">
        <f t="shared" si="5"/>
        <v>0.30553463280574078</v>
      </c>
      <c r="AK59" s="2">
        <f t="shared" si="5"/>
        <v>0.29431014300982244</v>
      </c>
      <c r="AL59" s="2">
        <f t="shared" si="5"/>
        <v>0.28308565321390405</v>
      </c>
      <c r="AM59" s="2">
        <f t="shared" si="5"/>
        <v>0.27186116341798566</v>
      </c>
      <c r="AN59" s="2">
        <f t="shared" si="5"/>
        <v>0.26063667362206733</v>
      </c>
      <c r="AO59" s="2">
        <f t="shared" si="5"/>
        <v>0.24941218382614894</v>
      </c>
      <c r="AP59" s="2">
        <f t="shared" si="5"/>
        <v>0.23818769403023055</v>
      </c>
      <c r="AQ59" s="2">
        <f t="shared" si="5"/>
        <v>0.22696320423431218</v>
      </c>
      <c r="AR59" s="2">
        <f t="shared" si="5"/>
        <v>0.21573871443839382</v>
      </c>
      <c r="AS59" s="2">
        <f t="shared" si="5"/>
        <v>0.20451422464247543</v>
      </c>
      <c r="AT59" s="2">
        <f t="shared" si="5"/>
        <v>0.19328973484655707</v>
      </c>
      <c r="AU59" s="2">
        <f t="shared" si="5"/>
        <v>0.1820652450506387</v>
      </c>
      <c r="AV59" s="2">
        <f t="shared" si="5"/>
        <v>0.17084075525472031</v>
      </c>
      <c r="AW59" s="2">
        <f t="shared" si="5"/>
        <v>0.15961626545880195</v>
      </c>
      <c r="AX59" s="2">
        <f t="shared" si="5"/>
        <v>0.14839177566288358</v>
      </c>
      <c r="AY59" s="2">
        <f t="shared" si="5"/>
        <v>0.13716728586696519</v>
      </c>
      <c r="AZ59" s="2">
        <f t="shared" si="5"/>
        <v>0.12594279607104683</v>
      </c>
      <c r="BA59" s="2">
        <f t="shared" si="5"/>
        <v>0.11471830627512847</v>
      </c>
      <c r="BB59" s="2">
        <f t="shared" si="5"/>
        <v>0.1034938164792101</v>
      </c>
      <c r="BC59" s="2">
        <f t="shared" si="5"/>
        <v>9.2269326683291714E-2</v>
      </c>
    </row>
    <row r="60" spans="1:55" s="2" customFormat="1">
      <c r="B60"/>
      <c r="C60"/>
      <c r="E60"/>
      <c r="F60"/>
      <c r="G60"/>
      <c r="H60"/>
      <c r="I60"/>
      <c r="J60"/>
      <c r="K60"/>
      <c r="L60"/>
      <c r="M60"/>
      <c r="N60" s="2" t="s">
        <v>29</v>
      </c>
      <c r="O60" s="2">
        <f t="shared" ref="O60:BC60" si="6">$S$54+$T$54*O$56</f>
        <v>9.2269326683291769E-2</v>
      </c>
      <c r="P60" s="2">
        <f t="shared" si="6"/>
        <v>9.2269326683291769E-2</v>
      </c>
      <c r="Q60" s="2">
        <f t="shared" si="6"/>
        <v>9.2269326683291769E-2</v>
      </c>
      <c r="R60" s="2">
        <f t="shared" si="6"/>
        <v>9.2269326683291769E-2</v>
      </c>
      <c r="S60" s="2">
        <f t="shared" si="6"/>
        <v>9.2269326683291769E-2</v>
      </c>
      <c r="T60" s="2">
        <f t="shared" si="6"/>
        <v>9.2269326683291769E-2</v>
      </c>
      <c r="U60" s="2">
        <f t="shared" si="6"/>
        <v>9.2269326683291769E-2</v>
      </c>
      <c r="V60" s="2">
        <f t="shared" si="6"/>
        <v>9.2269326683291769E-2</v>
      </c>
      <c r="W60" s="2">
        <f t="shared" si="6"/>
        <v>9.2269326683291769E-2</v>
      </c>
      <c r="X60" s="2">
        <f t="shared" si="6"/>
        <v>9.2269326683291769E-2</v>
      </c>
      <c r="Y60" s="2">
        <f t="shared" si="6"/>
        <v>9.2269326683291769E-2</v>
      </c>
      <c r="Z60" s="2">
        <f t="shared" si="6"/>
        <v>9.2269326683291769E-2</v>
      </c>
      <c r="AA60" s="2">
        <f t="shared" si="6"/>
        <v>9.2269326683291769E-2</v>
      </c>
      <c r="AB60" s="2">
        <f t="shared" si="6"/>
        <v>9.2269326683291769E-2</v>
      </c>
      <c r="AC60" s="2">
        <f t="shared" si="6"/>
        <v>9.2269326683291769E-2</v>
      </c>
      <c r="AD60" s="2">
        <f t="shared" si="6"/>
        <v>9.2269326683291769E-2</v>
      </c>
      <c r="AE60" s="2">
        <f t="shared" si="6"/>
        <v>9.2269326683291769E-2</v>
      </c>
      <c r="AF60" s="2">
        <f t="shared" si="6"/>
        <v>9.2269326683291769E-2</v>
      </c>
      <c r="AG60" s="2">
        <f t="shared" si="6"/>
        <v>9.2269326683291769E-2</v>
      </c>
      <c r="AH60" s="2">
        <f t="shared" si="6"/>
        <v>9.2269326683291769E-2</v>
      </c>
      <c r="AI60" s="2">
        <f t="shared" si="6"/>
        <v>9.2269326683291769E-2</v>
      </c>
      <c r="AJ60" s="2">
        <f t="shared" si="6"/>
        <v>9.2269326683291769E-2</v>
      </c>
      <c r="AK60" s="2">
        <f t="shared" si="6"/>
        <v>9.2269326683291769E-2</v>
      </c>
      <c r="AL60" s="2">
        <f t="shared" si="6"/>
        <v>9.2269326683291769E-2</v>
      </c>
      <c r="AM60" s="2">
        <f t="shared" si="6"/>
        <v>9.2269326683291769E-2</v>
      </c>
      <c r="AN60" s="2">
        <f t="shared" si="6"/>
        <v>9.2269326683291769E-2</v>
      </c>
      <c r="AO60" s="2">
        <f t="shared" si="6"/>
        <v>9.2269326683291769E-2</v>
      </c>
      <c r="AP60" s="2">
        <f t="shared" si="6"/>
        <v>9.2269326683291769E-2</v>
      </c>
      <c r="AQ60" s="2">
        <f t="shared" si="6"/>
        <v>9.2269326683291769E-2</v>
      </c>
      <c r="AR60" s="2">
        <f t="shared" si="6"/>
        <v>9.2269326683291769E-2</v>
      </c>
      <c r="AS60" s="2">
        <f t="shared" si="6"/>
        <v>9.2269326683291769E-2</v>
      </c>
      <c r="AT60" s="2">
        <f t="shared" si="6"/>
        <v>9.2269326683291769E-2</v>
      </c>
      <c r="AU60" s="2">
        <f t="shared" si="6"/>
        <v>9.2269326683291769E-2</v>
      </c>
      <c r="AV60" s="2">
        <f t="shared" si="6"/>
        <v>9.2269326683291769E-2</v>
      </c>
      <c r="AW60" s="2">
        <f t="shared" si="6"/>
        <v>9.2269326683291769E-2</v>
      </c>
      <c r="AX60" s="2">
        <f t="shared" si="6"/>
        <v>9.2269326683291769E-2</v>
      </c>
      <c r="AY60" s="2">
        <f t="shared" si="6"/>
        <v>9.2269326683291769E-2</v>
      </c>
      <c r="AZ60" s="2">
        <f t="shared" si="6"/>
        <v>9.2269326683291769E-2</v>
      </c>
      <c r="BA60" s="2">
        <f t="shared" si="6"/>
        <v>9.2269326683291769E-2</v>
      </c>
      <c r="BB60" s="2">
        <f t="shared" si="6"/>
        <v>9.2269326683291769E-2</v>
      </c>
      <c r="BC60" s="2">
        <f t="shared" si="6"/>
        <v>9.2269326683291769E-2</v>
      </c>
    </row>
    <row r="61" spans="1:55" s="2" customFormat="1">
      <c r="B61"/>
      <c r="C61"/>
      <c r="E61"/>
      <c r="F61"/>
      <c r="G61"/>
      <c r="H61"/>
      <c r="I61"/>
      <c r="J61"/>
      <c r="K61"/>
      <c r="L61"/>
      <c r="M61"/>
      <c r="N61" s="2" t="s">
        <v>62</v>
      </c>
      <c r="O61" s="2">
        <f t="shared" ref="O61:BC61" si="7">O$57*(O$56&lt;=$B$35)+O$58*(O$56&gt;$B$35)*(O$56&lt;=$B$36)+O$59*(O$56&gt;$B$36)*(O$56&lt;=$B$37)+O$60*(O$56&gt;$B$37)</f>
        <v>9.2269326683291714E-2</v>
      </c>
      <c r="P61" s="2">
        <f t="shared" si="7"/>
        <v>0.1034938164792101</v>
      </c>
      <c r="Q61" s="2">
        <f t="shared" si="7"/>
        <v>0.11471830627512847</v>
      </c>
      <c r="R61" s="2">
        <f t="shared" si="7"/>
        <v>0.12594279607104683</v>
      </c>
      <c r="S61" s="2">
        <f t="shared" si="7"/>
        <v>0.13716728586696519</v>
      </c>
      <c r="T61" s="2">
        <f t="shared" si="7"/>
        <v>0.14790079595531719</v>
      </c>
      <c r="U61" s="2">
        <f t="shared" si="7"/>
        <v>0.15475011102381034</v>
      </c>
      <c r="V61" s="2">
        <f t="shared" si="7"/>
        <v>0.16159942609230349</v>
      </c>
      <c r="W61" s="2">
        <f t="shared" si="7"/>
        <v>0.16844874116079664</v>
      </c>
      <c r="X61" s="2">
        <f t="shared" si="7"/>
        <v>0.17529805622928979</v>
      </c>
      <c r="Y61" s="2">
        <f t="shared" si="7"/>
        <v>0.18214737129778294</v>
      </c>
      <c r="Z61" s="2">
        <f t="shared" si="7"/>
        <v>0.18899668636627609</v>
      </c>
      <c r="AA61" s="2">
        <f t="shared" si="7"/>
        <v>0.19584600143476924</v>
      </c>
      <c r="AB61" s="2">
        <f t="shared" si="7"/>
        <v>0.19745707387582001</v>
      </c>
      <c r="AC61" s="2">
        <f t="shared" si="7"/>
        <v>0.19799847514970534</v>
      </c>
      <c r="AD61" s="2">
        <f t="shared" si="7"/>
        <v>0.19853987642359069</v>
      </c>
      <c r="AE61" s="2">
        <f t="shared" si="7"/>
        <v>0.19908127769747605</v>
      </c>
      <c r="AF61" s="2">
        <f t="shared" si="7"/>
        <v>0.19962267897136141</v>
      </c>
      <c r="AG61" s="2">
        <f t="shared" si="7"/>
        <v>0.20016408024524673</v>
      </c>
      <c r="AH61" s="2">
        <f t="shared" si="7"/>
        <v>0.20070548151913209</v>
      </c>
      <c r="AI61" s="2">
        <f t="shared" si="7"/>
        <v>0.20124688279301745</v>
      </c>
      <c r="AJ61" s="2">
        <f t="shared" si="7"/>
        <v>0.20070548151913209</v>
      </c>
      <c r="AK61" s="2">
        <f t="shared" si="7"/>
        <v>0.20016408024524673</v>
      </c>
      <c r="AL61" s="2">
        <f t="shared" si="7"/>
        <v>0.19962267897136141</v>
      </c>
      <c r="AM61" s="2">
        <f t="shared" si="7"/>
        <v>0.19908127769747605</v>
      </c>
      <c r="AN61" s="2">
        <f t="shared" si="7"/>
        <v>0.19853987642359069</v>
      </c>
      <c r="AO61" s="2">
        <f t="shared" si="7"/>
        <v>0.19799847514970534</v>
      </c>
      <c r="AP61" s="2">
        <f t="shared" si="7"/>
        <v>0.19745707387582001</v>
      </c>
      <c r="AQ61" s="2">
        <f t="shared" si="7"/>
        <v>0.19584600143476924</v>
      </c>
      <c r="AR61" s="2">
        <f t="shared" si="7"/>
        <v>0.18899668636627609</v>
      </c>
      <c r="AS61" s="2">
        <f t="shared" si="7"/>
        <v>0.18214737129778294</v>
      </c>
      <c r="AT61" s="2">
        <f t="shared" si="7"/>
        <v>0.17529805622928979</v>
      </c>
      <c r="AU61" s="2">
        <f t="shared" si="7"/>
        <v>0.16844874116079664</v>
      </c>
      <c r="AV61" s="2">
        <f t="shared" si="7"/>
        <v>0.16159942609230349</v>
      </c>
      <c r="AW61" s="2">
        <f t="shared" si="7"/>
        <v>0.15475011102381034</v>
      </c>
      <c r="AX61" s="2">
        <f t="shared" si="7"/>
        <v>0.14790079595531719</v>
      </c>
      <c r="AY61" s="2">
        <f t="shared" si="7"/>
        <v>0.13716728586696519</v>
      </c>
      <c r="AZ61" s="2">
        <f t="shared" si="7"/>
        <v>0.12594279607104683</v>
      </c>
      <c r="BA61" s="2">
        <f t="shared" si="7"/>
        <v>0.11471830627512847</v>
      </c>
      <c r="BB61" s="2">
        <f t="shared" si="7"/>
        <v>0.1034938164792101</v>
      </c>
      <c r="BC61" s="2">
        <f t="shared" si="7"/>
        <v>9.2269326683291714E-2</v>
      </c>
    </row>
    <row r="62" spans="1:55" s="2" customFormat="1">
      <c r="B62" s="41"/>
      <c r="E62"/>
      <c r="F62"/>
      <c r="G62"/>
      <c r="H62"/>
      <c r="I62"/>
      <c r="J62"/>
      <c r="K62"/>
      <c r="L62"/>
      <c r="M62"/>
      <c r="N62" s="2" t="s">
        <v>63</v>
      </c>
      <c r="O62" s="2">
        <f t="shared" ref="O62:BB62" si="8">P61</f>
        <v>0.1034938164792101</v>
      </c>
      <c r="P62" s="2">
        <f t="shared" si="8"/>
        <v>0.11471830627512847</v>
      </c>
      <c r="Q62" s="2">
        <f t="shared" si="8"/>
        <v>0.12594279607104683</v>
      </c>
      <c r="R62" s="2">
        <f t="shared" si="8"/>
        <v>0.13716728586696519</v>
      </c>
      <c r="S62" s="2">
        <f t="shared" si="8"/>
        <v>0.14790079595531719</v>
      </c>
      <c r="T62" s="2">
        <f t="shared" si="8"/>
        <v>0.15475011102381034</v>
      </c>
      <c r="U62" s="2">
        <f t="shared" si="8"/>
        <v>0.16159942609230349</v>
      </c>
      <c r="V62" s="2">
        <f t="shared" si="8"/>
        <v>0.16844874116079664</v>
      </c>
      <c r="W62" s="2">
        <f t="shared" si="8"/>
        <v>0.17529805622928979</v>
      </c>
      <c r="X62" s="2">
        <f t="shared" si="8"/>
        <v>0.18214737129778294</v>
      </c>
      <c r="Y62" s="2">
        <f t="shared" si="8"/>
        <v>0.18899668636627609</v>
      </c>
      <c r="Z62" s="2">
        <f t="shared" si="8"/>
        <v>0.19584600143476924</v>
      </c>
      <c r="AA62" s="2">
        <f t="shared" si="8"/>
        <v>0.19745707387582001</v>
      </c>
      <c r="AB62" s="2">
        <f t="shared" si="8"/>
        <v>0.19799847514970534</v>
      </c>
      <c r="AC62" s="2">
        <f t="shared" si="8"/>
        <v>0.19853987642359069</v>
      </c>
      <c r="AD62" s="2">
        <f t="shared" si="8"/>
        <v>0.19908127769747605</v>
      </c>
      <c r="AE62" s="2">
        <f t="shared" si="8"/>
        <v>0.19962267897136141</v>
      </c>
      <c r="AF62" s="2">
        <f t="shared" si="8"/>
        <v>0.20016408024524673</v>
      </c>
      <c r="AG62" s="2">
        <f t="shared" si="8"/>
        <v>0.20070548151913209</v>
      </c>
      <c r="AH62" s="2">
        <f t="shared" si="8"/>
        <v>0.20124688279301745</v>
      </c>
      <c r="AI62" s="2">
        <f t="shared" si="8"/>
        <v>0.20070548151913209</v>
      </c>
      <c r="AJ62" s="2">
        <f t="shared" si="8"/>
        <v>0.20016408024524673</v>
      </c>
      <c r="AK62" s="2">
        <f t="shared" si="8"/>
        <v>0.19962267897136141</v>
      </c>
      <c r="AL62" s="2">
        <f t="shared" si="8"/>
        <v>0.19908127769747605</v>
      </c>
      <c r="AM62" s="2">
        <f t="shared" si="8"/>
        <v>0.19853987642359069</v>
      </c>
      <c r="AN62" s="2">
        <f t="shared" si="8"/>
        <v>0.19799847514970534</v>
      </c>
      <c r="AO62" s="2">
        <f t="shared" si="8"/>
        <v>0.19745707387582001</v>
      </c>
      <c r="AP62" s="2">
        <f t="shared" si="8"/>
        <v>0.19584600143476924</v>
      </c>
      <c r="AQ62" s="2">
        <f t="shared" si="8"/>
        <v>0.18899668636627609</v>
      </c>
      <c r="AR62" s="2">
        <f t="shared" si="8"/>
        <v>0.18214737129778294</v>
      </c>
      <c r="AS62" s="2">
        <f t="shared" si="8"/>
        <v>0.17529805622928979</v>
      </c>
      <c r="AT62" s="2">
        <f t="shared" si="8"/>
        <v>0.16844874116079664</v>
      </c>
      <c r="AU62" s="2">
        <f t="shared" si="8"/>
        <v>0.16159942609230349</v>
      </c>
      <c r="AV62" s="2">
        <f t="shared" si="8"/>
        <v>0.15475011102381034</v>
      </c>
      <c r="AW62" s="2">
        <f t="shared" si="8"/>
        <v>0.14790079595531719</v>
      </c>
      <c r="AX62" s="2">
        <f t="shared" si="8"/>
        <v>0.13716728586696519</v>
      </c>
      <c r="AY62" s="2">
        <f t="shared" si="8"/>
        <v>0.12594279607104683</v>
      </c>
      <c r="AZ62" s="2">
        <f t="shared" si="8"/>
        <v>0.11471830627512847</v>
      </c>
      <c r="BA62" s="2">
        <f t="shared" si="8"/>
        <v>0.1034938164792101</v>
      </c>
      <c r="BB62" s="2">
        <f t="shared" si="8"/>
        <v>9.2269326683291714E-2</v>
      </c>
    </row>
    <row r="63" spans="1:55" s="2" customFormat="1">
      <c r="A63"/>
      <c r="B63"/>
      <c r="C63"/>
      <c r="E63"/>
      <c r="F63"/>
      <c r="G63"/>
      <c r="H63"/>
      <c r="I63"/>
      <c r="J63"/>
      <c r="K63"/>
      <c r="L63"/>
      <c r="M63"/>
      <c r="N63" s="2" t="s">
        <v>64</v>
      </c>
      <c r="O63" s="2">
        <f t="shared" ref="O63:BB63" si="9">(O61+O62)/2</f>
        <v>9.7881571581250909E-2</v>
      </c>
      <c r="P63" s="2">
        <f t="shared" si="9"/>
        <v>0.10910606137716929</v>
      </c>
      <c r="Q63" s="2">
        <f t="shared" si="9"/>
        <v>0.12033055117308765</v>
      </c>
      <c r="R63" s="2">
        <f t="shared" si="9"/>
        <v>0.131555040969006</v>
      </c>
      <c r="S63" s="2">
        <f t="shared" si="9"/>
        <v>0.14253404091114119</v>
      </c>
      <c r="T63" s="2">
        <f t="shared" si="9"/>
        <v>0.15132545348956378</v>
      </c>
      <c r="U63" s="2">
        <f t="shared" si="9"/>
        <v>0.1581747685580569</v>
      </c>
      <c r="V63" s="2">
        <f t="shared" si="9"/>
        <v>0.16502408362655008</v>
      </c>
      <c r="W63" s="2">
        <f t="shared" si="9"/>
        <v>0.1718733986950432</v>
      </c>
      <c r="X63" s="2">
        <f t="shared" si="9"/>
        <v>0.17872271376353638</v>
      </c>
      <c r="Y63" s="2">
        <f t="shared" si="9"/>
        <v>0.1855720288320295</v>
      </c>
      <c r="Z63" s="2">
        <f t="shared" si="9"/>
        <v>0.19242134390052268</v>
      </c>
      <c r="AA63" s="2">
        <f t="shared" si="9"/>
        <v>0.19665153765529464</v>
      </c>
      <c r="AB63" s="2">
        <f t="shared" si="9"/>
        <v>0.19772777451276269</v>
      </c>
      <c r="AC63" s="2">
        <f t="shared" si="9"/>
        <v>0.19826917578664802</v>
      </c>
      <c r="AD63" s="2">
        <f t="shared" si="9"/>
        <v>0.19881057706053337</v>
      </c>
      <c r="AE63" s="2">
        <f t="shared" si="9"/>
        <v>0.19935197833441873</v>
      </c>
      <c r="AF63" s="2">
        <f t="shared" si="9"/>
        <v>0.19989337960830406</v>
      </c>
      <c r="AG63" s="2">
        <f t="shared" si="9"/>
        <v>0.20043478088218941</v>
      </c>
      <c r="AH63" s="2">
        <f t="shared" si="9"/>
        <v>0.20097618215607477</v>
      </c>
      <c r="AI63" s="2">
        <f t="shared" si="9"/>
        <v>0.20097618215607477</v>
      </c>
      <c r="AJ63" s="2">
        <f t="shared" si="9"/>
        <v>0.20043478088218941</v>
      </c>
      <c r="AK63" s="2">
        <f t="shared" si="9"/>
        <v>0.19989337960830406</v>
      </c>
      <c r="AL63" s="2">
        <f t="shared" si="9"/>
        <v>0.19935197833441873</v>
      </c>
      <c r="AM63" s="2">
        <f t="shared" si="9"/>
        <v>0.19881057706053337</v>
      </c>
      <c r="AN63" s="2">
        <f t="shared" si="9"/>
        <v>0.19826917578664802</v>
      </c>
      <c r="AO63" s="2">
        <f t="shared" si="9"/>
        <v>0.19772777451276269</v>
      </c>
      <c r="AP63" s="2">
        <f t="shared" si="9"/>
        <v>0.19665153765529464</v>
      </c>
      <c r="AQ63" s="2">
        <f t="shared" si="9"/>
        <v>0.19242134390052268</v>
      </c>
      <c r="AR63" s="2">
        <f t="shared" si="9"/>
        <v>0.1855720288320295</v>
      </c>
      <c r="AS63" s="2">
        <f t="shared" si="9"/>
        <v>0.17872271376353638</v>
      </c>
      <c r="AT63" s="2">
        <f t="shared" si="9"/>
        <v>0.1718733986950432</v>
      </c>
      <c r="AU63" s="2">
        <f t="shared" si="9"/>
        <v>0.16502408362655008</v>
      </c>
      <c r="AV63" s="2">
        <f t="shared" si="9"/>
        <v>0.1581747685580569</v>
      </c>
      <c r="AW63" s="2">
        <f t="shared" si="9"/>
        <v>0.15132545348956378</v>
      </c>
      <c r="AX63" s="2">
        <f t="shared" si="9"/>
        <v>0.14253404091114119</v>
      </c>
      <c r="AY63" s="2">
        <f t="shared" si="9"/>
        <v>0.131555040969006</v>
      </c>
      <c r="AZ63" s="2">
        <f t="shared" si="9"/>
        <v>0.12033055117308765</v>
      </c>
      <c r="BA63" s="2">
        <f t="shared" si="9"/>
        <v>0.10910606137716929</v>
      </c>
      <c r="BB63" s="2">
        <f t="shared" si="9"/>
        <v>9.7881571581250909E-2</v>
      </c>
    </row>
    <row r="64" spans="1:55" s="2" customFormat="1">
      <c r="B64" s="41"/>
      <c r="E64"/>
      <c r="F64"/>
      <c r="G64"/>
      <c r="H64"/>
      <c r="I64"/>
      <c r="J64"/>
      <c r="K64"/>
      <c r="L64"/>
      <c r="M64"/>
    </row>
    <row r="65" spans="1:54" s="2" customFormat="1">
      <c r="A65"/>
      <c r="B65"/>
      <c r="C65"/>
      <c r="E65"/>
      <c r="F65"/>
      <c r="G65"/>
      <c r="H65"/>
      <c r="I65"/>
      <c r="J65"/>
      <c r="K65"/>
      <c r="L65"/>
      <c r="M65"/>
      <c r="N65" s="2" t="s">
        <v>65</v>
      </c>
    </row>
    <row r="66" spans="1:54" s="2" customFormat="1">
      <c r="E66"/>
      <c r="F66"/>
      <c r="G66"/>
      <c r="H66"/>
      <c r="I66"/>
      <c r="J66"/>
      <c r="K66"/>
      <c r="L66"/>
      <c r="M66"/>
      <c r="N66" s="2" t="s">
        <v>66</v>
      </c>
      <c r="O66" s="2">
        <f t="shared" ref="O66:BB66" si="10">-0.75*O61</f>
        <v>-6.9201995012468792E-2</v>
      </c>
      <c r="P66" s="2">
        <f t="shared" si="10"/>
        <v>-7.7620362359407585E-2</v>
      </c>
      <c r="Q66" s="2">
        <f t="shared" si="10"/>
        <v>-8.6038729706346351E-2</v>
      </c>
      <c r="R66" s="2">
        <f t="shared" si="10"/>
        <v>-9.4457097053285116E-2</v>
      </c>
      <c r="S66" s="2">
        <f t="shared" si="10"/>
        <v>-0.1028754644002239</v>
      </c>
      <c r="T66" s="2">
        <f t="shared" si="10"/>
        <v>-0.11092559696648789</v>
      </c>
      <c r="U66" s="2">
        <f t="shared" si="10"/>
        <v>-0.11606258326785776</v>
      </c>
      <c r="V66" s="2">
        <f t="shared" si="10"/>
        <v>-0.12119956956922762</v>
      </c>
      <c r="W66" s="2">
        <f t="shared" si="10"/>
        <v>-0.12633655587059747</v>
      </c>
      <c r="X66" s="2">
        <f t="shared" si="10"/>
        <v>-0.13147354217196733</v>
      </c>
      <c r="Y66" s="2">
        <f t="shared" si="10"/>
        <v>-0.13661052847333721</v>
      </c>
      <c r="Z66" s="2">
        <f t="shared" si="10"/>
        <v>-0.14174751477470707</v>
      </c>
      <c r="AA66" s="2">
        <f t="shared" si="10"/>
        <v>-0.14688450107607692</v>
      </c>
      <c r="AB66" s="2">
        <f t="shared" si="10"/>
        <v>-0.14809280540686501</v>
      </c>
      <c r="AC66" s="2">
        <f t="shared" si="10"/>
        <v>-0.148498856362279</v>
      </c>
      <c r="AD66" s="2">
        <f t="shared" si="10"/>
        <v>-0.14890490731769301</v>
      </c>
      <c r="AE66" s="2">
        <f t="shared" si="10"/>
        <v>-0.14931095827310703</v>
      </c>
      <c r="AF66" s="2">
        <f t="shared" si="10"/>
        <v>-0.14971700922852105</v>
      </c>
      <c r="AG66" s="2">
        <f t="shared" si="10"/>
        <v>-0.15012306018393506</v>
      </c>
      <c r="AH66" s="2">
        <f t="shared" si="10"/>
        <v>-0.15052911113934908</v>
      </c>
      <c r="AI66" s="2">
        <f t="shared" si="10"/>
        <v>-0.1509351620947631</v>
      </c>
      <c r="AJ66" s="2">
        <f t="shared" si="10"/>
        <v>-0.15052911113934908</v>
      </c>
      <c r="AK66" s="2">
        <f t="shared" si="10"/>
        <v>-0.15012306018393506</v>
      </c>
      <c r="AL66" s="2">
        <f t="shared" si="10"/>
        <v>-0.14971700922852105</v>
      </c>
      <c r="AM66" s="2">
        <f t="shared" si="10"/>
        <v>-0.14931095827310703</v>
      </c>
      <c r="AN66" s="2">
        <f t="shared" si="10"/>
        <v>-0.14890490731769301</v>
      </c>
      <c r="AO66" s="2">
        <f t="shared" si="10"/>
        <v>-0.148498856362279</v>
      </c>
      <c r="AP66" s="2">
        <f t="shared" si="10"/>
        <v>-0.14809280540686501</v>
      </c>
      <c r="AQ66" s="2">
        <f t="shared" si="10"/>
        <v>-0.14688450107607692</v>
      </c>
      <c r="AR66" s="2">
        <f t="shared" si="10"/>
        <v>-0.14174751477470707</v>
      </c>
      <c r="AS66" s="2">
        <f t="shared" si="10"/>
        <v>-0.13661052847333721</v>
      </c>
      <c r="AT66" s="2">
        <f t="shared" si="10"/>
        <v>-0.13147354217196733</v>
      </c>
      <c r="AU66" s="2">
        <f t="shared" si="10"/>
        <v>-0.12633655587059747</v>
      </c>
      <c r="AV66" s="2">
        <f t="shared" si="10"/>
        <v>-0.12119956956922762</v>
      </c>
      <c r="AW66" s="2">
        <f t="shared" si="10"/>
        <v>-0.11606258326785776</v>
      </c>
      <c r="AX66" s="2">
        <f t="shared" si="10"/>
        <v>-0.11092559696648789</v>
      </c>
      <c r="AY66" s="2">
        <f t="shared" si="10"/>
        <v>-0.1028754644002239</v>
      </c>
      <c r="AZ66" s="2">
        <f t="shared" si="10"/>
        <v>-9.4457097053285116E-2</v>
      </c>
      <c r="BA66" s="2">
        <f t="shared" si="10"/>
        <v>-8.6038729706346351E-2</v>
      </c>
      <c r="BB66" s="2">
        <f t="shared" si="10"/>
        <v>-7.7620362359407585E-2</v>
      </c>
    </row>
    <row r="67" spans="1:54" s="2" customFormat="1">
      <c r="E67"/>
      <c r="F67"/>
      <c r="G67"/>
      <c r="H67"/>
      <c r="I67"/>
      <c r="J67"/>
      <c r="K67"/>
      <c r="L67"/>
      <c r="M67"/>
      <c r="N67" s="2" t="s">
        <v>67</v>
      </c>
      <c r="O67" s="2">
        <f t="shared" ref="O67:BB67" si="11">-0.75*O62</f>
        <v>-7.7620362359407585E-2</v>
      </c>
      <c r="P67" s="2">
        <f t="shared" si="11"/>
        <v>-8.6038729706346351E-2</v>
      </c>
      <c r="Q67" s="2">
        <f t="shared" si="11"/>
        <v>-9.4457097053285116E-2</v>
      </c>
      <c r="R67" s="2">
        <f t="shared" si="11"/>
        <v>-0.1028754644002239</v>
      </c>
      <c r="S67" s="2">
        <f t="shared" si="11"/>
        <v>-0.11092559696648789</v>
      </c>
      <c r="T67" s="2">
        <f t="shared" si="11"/>
        <v>-0.11606258326785776</v>
      </c>
      <c r="U67" s="2">
        <f t="shared" si="11"/>
        <v>-0.12119956956922762</v>
      </c>
      <c r="V67" s="2">
        <f t="shared" si="11"/>
        <v>-0.12633655587059747</v>
      </c>
      <c r="W67" s="2">
        <f t="shared" si="11"/>
        <v>-0.13147354217196733</v>
      </c>
      <c r="X67" s="2">
        <f t="shared" si="11"/>
        <v>-0.13661052847333721</v>
      </c>
      <c r="Y67" s="2">
        <f t="shared" si="11"/>
        <v>-0.14174751477470707</v>
      </c>
      <c r="Z67" s="2">
        <f t="shared" si="11"/>
        <v>-0.14688450107607692</v>
      </c>
      <c r="AA67" s="2">
        <f t="shared" si="11"/>
        <v>-0.14809280540686501</v>
      </c>
      <c r="AB67" s="2">
        <f t="shared" si="11"/>
        <v>-0.148498856362279</v>
      </c>
      <c r="AC67" s="2">
        <f t="shared" si="11"/>
        <v>-0.14890490731769301</v>
      </c>
      <c r="AD67" s="2">
        <f t="shared" si="11"/>
        <v>-0.14931095827310703</v>
      </c>
      <c r="AE67" s="2">
        <f t="shared" si="11"/>
        <v>-0.14971700922852105</v>
      </c>
      <c r="AF67" s="2">
        <f t="shared" si="11"/>
        <v>-0.15012306018393506</v>
      </c>
      <c r="AG67" s="2">
        <f t="shared" si="11"/>
        <v>-0.15052911113934908</v>
      </c>
      <c r="AH67" s="2">
        <f t="shared" si="11"/>
        <v>-0.1509351620947631</v>
      </c>
      <c r="AI67" s="2">
        <f t="shared" si="11"/>
        <v>-0.15052911113934908</v>
      </c>
      <c r="AJ67" s="2">
        <f t="shared" si="11"/>
        <v>-0.15012306018393506</v>
      </c>
      <c r="AK67" s="2">
        <f t="shared" si="11"/>
        <v>-0.14971700922852105</v>
      </c>
      <c r="AL67" s="2">
        <f t="shared" si="11"/>
        <v>-0.14931095827310703</v>
      </c>
      <c r="AM67" s="2">
        <f t="shared" si="11"/>
        <v>-0.14890490731769301</v>
      </c>
      <c r="AN67" s="2">
        <f t="shared" si="11"/>
        <v>-0.148498856362279</v>
      </c>
      <c r="AO67" s="2">
        <f t="shared" si="11"/>
        <v>-0.14809280540686501</v>
      </c>
      <c r="AP67" s="2">
        <f t="shared" si="11"/>
        <v>-0.14688450107607692</v>
      </c>
      <c r="AQ67" s="2">
        <f t="shared" si="11"/>
        <v>-0.14174751477470707</v>
      </c>
      <c r="AR67" s="2">
        <f t="shared" si="11"/>
        <v>-0.13661052847333721</v>
      </c>
      <c r="AS67" s="2">
        <f t="shared" si="11"/>
        <v>-0.13147354217196733</v>
      </c>
      <c r="AT67" s="2">
        <f t="shared" si="11"/>
        <v>-0.12633655587059747</v>
      </c>
      <c r="AU67" s="2">
        <f t="shared" si="11"/>
        <v>-0.12119956956922762</v>
      </c>
      <c r="AV67" s="2">
        <f t="shared" si="11"/>
        <v>-0.11606258326785776</v>
      </c>
      <c r="AW67" s="2">
        <f t="shared" si="11"/>
        <v>-0.11092559696648789</v>
      </c>
      <c r="AX67" s="2">
        <f t="shared" si="11"/>
        <v>-0.1028754644002239</v>
      </c>
      <c r="AY67" s="2">
        <f t="shared" si="11"/>
        <v>-9.4457097053285116E-2</v>
      </c>
      <c r="AZ67" s="2">
        <f t="shared" si="11"/>
        <v>-8.6038729706346351E-2</v>
      </c>
      <c r="BA67" s="2">
        <f t="shared" si="11"/>
        <v>-7.7620362359407585E-2</v>
      </c>
      <c r="BB67" s="2">
        <f t="shared" si="11"/>
        <v>-6.9201995012468792E-2</v>
      </c>
    </row>
    <row r="68" spans="1:54" s="2" customFormat="1">
      <c r="E68"/>
      <c r="F68"/>
      <c r="G68"/>
      <c r="H68"/>
      <c r="I68"/>
      <c r="J68"/>
      <c r="K68"/>
      <c r="L68"/>
      <c r="M68"/>
      <c r="N68" s="2" t="s">
        <v>68</v>
      </c>
      <c r="O68" s="2">
        <f t="shared" ref="O68:BB68" si="12">-0.25*O63</f>
        <v>-2.4470392895312727E-2</v>
      </c>
      <c r="P68" s="2">
        <f t="shared" si="12"/>
        <v>-2.7276515344292322E-2</v>
      </c>
      <c r="Q68" s="2">
        <f t="shared" si="12"/>
        <v>-3.0082637793271912E-2</v>
      </c>
      <c r="R68" s="2">
        <f t="shared" si="12"/>
        <v>-3.28887602422515E-2</v>
      </c>
      <c r="S68" s="2">
        <f t="shared" si="12"/>
        <v>-3.5633510227785298E-2</v>
      </c>
      <c r="T68" s="2">
        <f t="shared" si="12"/>
        <v>-3.7831363372390944E-2</v>
      </c>
      <c r="U68" s="2">
        <f t="shared" si="12"/>
        <v>-3.9543692139514225E-2</v>
      </c>
      <c r="V68" s="2">
        <f t="shared" si="12"/>
        <v>-4.1256020906637519E-2</v>
      </c>
      <c r="W68" s="2">
        <f t="shared" si="12"/>
        <v>-4.29683496737608E-2</v>
      </c>
      <c r="X68" s="2">
        <f t="shared" si="12"/>
        <v>-4.4680678440884095E-2</v>
      </c>
      <c r="Y68" s="2">
        <f t="shared" si="12"/>
        <v>-4.6393007208007375E-2</v>
      </c>
      <c r="Z68" s="2">
        <f t="shared" si="12"/>
        <v>-4.810533597513067E-2</v>
      </c>
      <c r="AA68" s="2">
        <f t="shared" si="12"/>
        <v>-4.916288441382366E-2</v>
      </c>
      <c r="AB68" s="2">
        <f t="shared" si="12"/>
        <v>-4.9431943628190672E-2</v>
      </c>
      <c r="AC68" s="2">
        <f t="shared" si="12"/>
        <v>-4.9567293946662004E-2</v>
      </c>
      <c r="AD68" s="2">
        <f t="shared" si="12"/>
        <v>-4.9702644265133343E-2</v>
      </c>
      <c r="AE68" s="2">
        <f t="shared" si="12"/>
        <v>-4.9837994583604682E-2</v>
      </c>
      <c r="AF68" s="2">
        <f t="shared" si="12"/>
        <v>-4.9973344902076014E-2</v>
      </c>
      <c r="AG68" s="2">
        <f t="shared" si="12"/>
        <v>-5.0108695220547353E-2</v>
      </c>
      <c r="AH68" s="2">
        <f t="shared" si="12"/>
        <v>-5.0244045539018692E-2</v>
      </c>
      <c r="AI68" s="2">
        <f t="shared" si="12"/>
        <v>-5.0244045539018692E-2</v>
      </c>
      <c r="AJ68" s="2">
        <f t="shared" si="12"/>
        <v>-5.0108695220547353E-2</v>
      </c>
      <c r="AK68" s="2">
        <f t="shared" si="12"/>
        <v>-4.9973344902076014E-2</v>
      </c>
      <c r="AL68" s="2">
        <f t="shared" si="12"/>
        <v>-4.9837994583604682E-2</v>
      </c>
      <c r="AM68" s="2">
        <f t="shared" si="12"/>
        <v>-4.9702644265133343E-2</v>
      </c>
      <c r="AN68" s="2">
        <f t="shared" si="12"/>
        <v>-4.9567293946662004E-2</v>
      </c>
      <c r="AO68" s="2">
        <f t="shared" si="12"/>
        <v>-4.9431943628190672E-2</v>
      </c>
      <c r="AP68" s="2">
        <f t="shared" si="12"/>
        <v>-4.916288441382366E-2</v>
      </c>
      <c r="AQ68" s="2">
        <f t="shared" si="12"/>
        <v>-4.810533597513067E-2</v>
      </c>
      <c r="AR68" s="2">
        <f t="shared" si="12"/>
        <v>-4.6393007208007375E-2</v>
      </c>
      <c r="AS68" s="2">
        <f t="shared" si="12"/>
        <v>-4.4680678440884095E-2</v>
      </c>
      <c r="AT68" s="2">
        <f t="shared" si="12"/>
        <v>-4.29683496737608E-2</v>
      </c>
      <c r="AU68" s="2">
        <f t="shared" si="12"/>
        <v>-4.1256020906637519E-2</v>
      </c>
      <c r="AV68" s="2">
        <f t="shared" si="12"/>
        <v>-3.9543692139514225E-2</v>
      </c>
      <c r="AW68" s="2">
        <f t="shared" si="12"/>
        <v>-3.7831363372390944E-2</v>
      </c>
      <c r="AX68" s="2">
        <f t="shared" si="12"/>
        <v>-3.5633510227785298E-2</v>
      </c>
      <c r="AY68" s="2">
        <f t="shared" si="12"/>
        <v>-3.28887602422515E-2</v>
      </c>
      <c r="AZ68" s="2">
        <f t="shared" si="12"/>
        <v>-3.0082637793271912E-2</v>
      </c>
      <c r="BA68" s="2">
        <f t="shared" si="12"/>
        <v>-2.7276515344292322E-2</v>
      </c>
      <c r="BB68" s="2">
        <f t="shared" si="12"/>
        <v>-2.4470392895312727E-2</v>
      </c>
    </row>
    <row r="69" spans="1:54" s="2" customFormat="1">
      <c r="E69"/>
      <c r="F69"/>
      <c r="G69"/>
      <c r="H69"/>
      <c r="I69"/>
      <c r="J69"/>
      <c r="K69"/>
      <c r="L69"/>
      <c r="M69"/>
    </row>
    <row r="70" spans="1:54" s="2" customFormat="1">
      <c r="E70"/>
      <c r="F70"/>
      <c r="G70"/>
      <c r="H70"/>
      <c r="I70"/>
      <c r="J70"/>
      <c r="K70"/>
      <c r="L70"/>
      <c r="M70"/>
      <c r="O70" s="2" t="s">
        <v>69</v>
      </c>
      <c r="T70" s="2" t="s">
        <v>70</v>
      </c>
    </row>
    <row r="71" spans="1:54" s="2" customFormat="1">
      <c r="E71"/>
      <c r="F71"/>
      <c r="G71"/>
      <c r="H71"/>
      <c r="I71"/>
      <c r="J71"/>
      <c r="K71"/>
      <c r="L71"/>
      <c r="M71"/>
      <c r="O71" s="2" t="s">
        <v>71</v>
      </c>
      <c r="P71" s="2" t="s">
        <v>72</v>
      </c>
      <c r="Q71" s="2" t="s">
        <v>73</v>
      </c>
      <c r="R71" s="2" t="s">
        <v>21</v>
      </c>
      <c r="S71" s="2" t="s">
        <v>74</v>
      </c>
      <c r="T71" s="2" t="s">
        <v>75</v>
      </c>
    </row>
    <row r="72" spans="1:54" s="2" customFormat="1">
      <c r="E72"/>
      <c r="F72"/>
      <c r="G72"/>
      <c r="H72"/>
      <c r="I72"/>
      <c r="J72"/>
      <c r="K72"/>
      <c r="L72"/>
      <c r="M72"/>
      <c r="N72" s="2" t="s">
        <v>24</v>
      </c>
      <c r="O72" s="2">
        <f>$B$39</f>
        <v>0.17975567190226879</v>
      </c>
      <c r="P72" s="2">
        <v>0</v>
      </c>
      <c r="Q72" s="2">
        <f>$B$39+$H$35</f>
        <v>0.17975567190226879</v>
      </c>
      <c r="R72" s="2">
        <f>B35</f>
        <v>0.39152119700748128</v>
      </c>
      <c r="S72" s="2">
        <f>O72-T72*P72</f>
        <v>0.17975567190226879</v>
      </c>
      <c r="T72" s="2">
        <f>(Q72-O72)/(R72-P72)</f>
        <v>0</v>
      </c>
    </row>
    <row r="73" spans="1:54" s="2" customFormat="1">
      <c r="E73"/>
      <c r="F73"/>
      <c r="G73"/>
      <c r="H73"/>
      <c r="I73"/>
      <c r="J73"/>
      <c r="K73"/>
      <c r="L73"/>
      <c r="M73"/>
      <c r="N73" s="2" t="s">
        <v>26</v>
      </c>
      <c r="O73" s="2">
        <f>$B$39+$H$35</f>
        <v>0.17975567190226879</v>
      </c>
      <c r="P73" s="2">
        <f>B35</f>
        <v>0.39152119700748128</v>
      </c>
      <c r="Q73" s="2">
        <f>$B$39+$H$36</f>
        <v>0.17975567190226879</v>
      </c>
      <c r="R73" s="2">
        <f>B36</f>
        <v>0.75561097256857845</v>
      </c>
      <c r="S73" s="2">
        <f>O73-T73*P73</f>
        <v>0.17975567190226879</v>
      </c>
      <c r="T73" s="2">
        <f>(Q73-O73)/(R73-P73)</f>
        <v>0</v>
      </c>
    </row>
    <row r="74" spans="1:54" s="2" customFormat="1">
      <c r="E74"/>
      <c r="F74"/>
      <c r="G74"/>
      <c r="H74"/>
      <c r="I74"/>
      <c r="J74"/>
      <c r="K74"/>
      <c r="L74"/>
      <c r="M74"/>
      <c r="N74" s="2" t="s">
        <v>28</v>
      </c>
      <c r="O74" s="2">
        <f>$B$39+$H$36</f>
        <v>0.17975567190226879</v>
      </c>
      <c r="P74" s="2">
        <f>B36</f>
        <v>0.75561097256857845</v>
      </c>
      <c r="Q74" s="2">
        <f>$B$39+$H$37</f>
        <v>0.17975567190226879</v>
      </c>
      <c r="R74" s="2">
        <f>B37</f>
        <v>0.99999999999999978</v>
      </c>
      <c r="S74" s="2">
        <f>O74-T74*P74</f>
        <v>0.17975567190226879</v>
      </c>
      <c r="T74" s="2">
        <f>(Q74-O74)/(R74-P74)</f>
        <v>0</v>
      </c>
    </row>
    <row r="75" spans="1:54" s="2" customFormat="1">
      <c r="E75"/>
      <c r="F75"/>
      <c r="G75"/>
      <c r="H75"/>
      <c r="I75"/>
      <c r="J75"/>
      <c r="K75"/>
      <c r="L75"/>
      <c r="M75"/>
      <c r="N75" s="2" t="s">
        <v>29</v>
      </c>
      <c r="O75" s="2">
        <f>$B$39+$H$37</f>
        <v>0.17975567190226879</v>
      </c>
      <c r="P75" s="2">
        <f>B37</f>
        <v>0.99999999999999978</v>
      </c>
      <c r="Q75" s="2">
        <f>$B$39+$H$38</f>
        <v>0.17975567190226879</v>
      </c>
      <c r="R75" s="2">
        <f>B38</f>
        <v>1</v>
      </c>
      <c r="S75" s="2">
        <f>O75-T75*P75</f>
        <v>0.17975567190226879</v>
      </c>
      <c r="T75" s="2">
        <f>(Q75-O75)/(R75-P75)</f>
        <v>0</v>
      </c>
    </row>
    <row r="76" spans="1:54" s="2" customFormat="1">
      <c r="E76"/>
      <c r="F76"/>
      <c r="G76"/>
      <c r="H76"/>
      <c r="I76"/>
      <c r="J76"/>
      <c r="K76"/>
      <c r="L76"/>
      <c r="M76"/>
    </row>
    <row r="77" spans="1:54" s="2" customFormat="1">
      <c r="E77"/>
      <c r="F77"/>
      <c r="G77"/>
      <c r="H77"/>
      <c r="I77"/>
      <c r="J77"/>
      <c r="K77"/>
      <c r="L77"/>
      <c r="M77"/>
      <c r="O77" s="14">
        <v>0.97499999999999998</v>
      </c>
      <c r="P77" s="15">
        <v>0.92500000000000004</v>
      </c>
      <c r="Q77" s="14">
        <v>0.875</v>
      </c>
      <c r="R77" s="15">
        <v>0.82499999999999996</v>
      </c>
      <c r="S77" s="14">
        <v>0.77500000000000002</v>
      </c>
      <c r="T77" s="15">
        <v>0.72499999999999998</v>
      </c>
      <c r="U77" s="14">
        <v>0.67500000000000004</v>
      </c>
      <c r="V77" s="15">
        <v>0.625</v>
      </c>
      <c r="W77" s="14">
        <v>0.57499999999999996</v>
      </c>
      <c r="X77" s="15">
        <v>0.52500000000000002</v>
      </c>
      <c r="Y77" s="14">
        <v>0.47499999999999998</v>
      </c>
      <c r="Z77" s="15">
        <v>0.42499999999999999</v>
      </c>
      <c r="AA77" s="14">
        <v>0.375</v>
      </c>
      <c r="AB77" s="15">
        <v>0.32500000000000001</v>
      </c>
      <c r="AC77" s="14">
        <v>0.27500000000000002</v>
      </c>
      <c r="AD77" s="15">
        <v>0.22500000000000001</v>
      </c>
      <c r="AE77" s="14">
        <v>0.17499999999999999</v>
      </c>
      <c r="AF77" s="15">
        <v>0.125</v>
      </c>
      <c r="AG77" s="14">
        <v>7.4999999999999997E-2</v>
      </c>
      <c r="AH77" s="15">
        <v>2.5000000000000001E-2</v>
      </c>
      <c r="AI77" s="14">
        <v>2.5000000000000001E-2</v>
      </c>
      <c r="AJ77" s="15">
        <v>7.4999999999999997E-2</v>
      </c>
      <c r="AK77" s="14">
        <v>0.125</v>
      </c>
      <c r="AL77" s="15">
        <v>0.17499999999999999</v>
      </c>
      <c r="AM77" s="14">
        <v>0.22500000000000001</v>
      </c>
      <c r="AN77" s="15">
        <v>0.27500000000000002</v>
      </c>
      <c r="AO77" s="14">
        <v>0.32500000000000001</v>
      </c>
      <c r="AP77" s="15">
        <v>0.375</v>
      </c>
      <c r="AQ77" s="14">
        <v>0.42499999999999999</v>
      </c>
      <c r="AR77" s="15">
        <v>0.47499999999999998</v>
      </c>
      <c r="AS77" s="14">
        <v>0.52500000000000002</v>
      </c>
      <c r="AT77" s="15">
        <v>0.57499999999999996</v>
      </c>
      <c r="AU77" s="14">
        <v>0.625</v>
      </c>
      <c r="AV77" s="15">
        <v>0.67500000000000004</v>
      </c>
      <c r="AW77" s="14">
        <v>0.72499999999999998</v>
      </c>
      <c r="AX77" s="15">
        <v>0.77500000000000002</v>
      </c>
      <c r="AY77" s="14">
        <v>0.82499999999999996</v>
      </c>
      <c r="AZ77" s="15">
        <v>0.875</v>
      </c>
      <c r="BA77" s="14">
        <v>0.92500000000000004</v>
      </c>
      <c r="BB77" s="15">
        <v>0.97499999999999998</v>
      </c>
    </row>
    <row r="78" spans="1:54" s="2" customFormat="1">
      <c r="E78"/>
      <c r="F78"/>
      <c r="G78"/>
      <c r="H78"/>
      <c r="I78"/>
      <c r="J78"/>
      <c r="K78"/>
      <c r="L78"/>
      <c r="M78"/>
      <c r="N78" s="2" t="s">
        <v>24</v>
      </c>
      <c r="O78" s="2">
        <f t="shared" ref="O78:BB78" si="13">$S$72+O$77*$T$72</f>
        <v>0.17975567190226879</v>
      </c>
      <c r="P78" s="2">
        <f t="shared" si="13"/>
        <v>0.17975567190226879</v>
      </c>
      <c r="Q78" s="2">
        <f t="shared" si="13"/>
        <v>0.17975567190226879</v>
      </c>
      <c r="R78" s="2">
        <f t="shared" si="13"/>
        <v>0.17975567190226879</v>
      </c>
      <c r="S78" s="2">
        <f t="shared" si="13"/>
        <v>0.17975567190226879</v>
      </c>
      <c r="T78" s="2">
        <f t="shared" si="13"/>
        <v>0.17975567190226879</v>
      </c>
      <c r="U78" s="2">
        <f t="shared" si="13"/>
        <v>0.17975567190226879</v>
      </c>
      <c r="V78" s="2">
        <f t="shared" si="13"/>
        <v>0.17975567190226879</v>
      </c>
      <c r="W78" s="2">
        <f t="shared" si="13"/>
        <v>0.17975567190226879</v>
      </c>
      <c r="X78" s="2">
        <f t="shared" si="13"/>
        <v>0.17975567190226879</v>
      </c>
      <c r="Y78" s="2">
        <f t="shared" si="13"/>
        <v>0.17975567190226879</v>
      </c>
      <c r="Z78" s="2">
        <f t="shared" si="13"/>
        <v>0.17975567190226879</v>
      </c>
      <c r="AA78" s="2">
        <f t="shared" si="13"/>
        <v>0.17975567190226879</v>
      </c>
      <c r="AB78" s="2">
        <f t="shared" si="13"/>
        <v>0.17975567190226879</v>
      </c>
      <c r="AC78" s="2">
        <f t="shared" si="13"/>
        <v>0.17975567190226879</v>
      </c>
      <c r="AD78" s="2">
        <f t="shared" si="13"/>
        <v>0.17975567190226879</v>
      </c>
      <c r="AE78" s="2">
        <f t="shared" si="13"/>
        <v>0.17975567190226879</v>
      </c>
      <c r="AF78" s="2">
        <f t="shared" si="13"/>
        <v>0.17975567190226879</v>
      </c>
      <c r="AG78" s="2">
        <f t="shared" si="13"/>
        <v>0.17975567190226879</v>
      </c>
      <c r="AH78" s="2">
        <f t="shared" si="13"/>
        <v>0.17975567190226879</v>
      </c>
      <c r="AI78" s="2">
        <f t="shared" si="13"/>
        <v>0.17975567190226879</v>
      </c>
      <c r="AJ78" s="2">
        <f t="shared" si="13"/>
        <v>0.17975567190226879</v>
      </c>
      <c r="AK78" s="2">
        <f t="shared" si="13"/>
        <v>0.17975567190226879</v>
      </c>
      <c r="AL78" s="2">
        <f t="shared" si="13"/>
        <v>0.17975567190226879</v>
      </c>
      <c r="AM78" s="2">
        <f t="shared" si="13"/>
        <v>0.17975567190226879</v>
      </c>
      <c r="AN78" s="2">
        <f t="shared" si="13"/>
        <v>0.17975567190226879</v>
      </c>
      <c r="AO78" s="2">
        <f t="shared" si="13"/>
        <v>0.17975567190226879</v>
      </c>
      <c r="AP78" s="2">
        <f t="shared" si="13"/>
        <v>0.17975567190226879</v>
      </c>
      <c r="AQ78" s="2">
        <f t="shared" si="13"/>
        <v>0.17975567190226879</v>
      </c>
      <c r="AR78" s="2">
        <f t="shared" si="13"/>
        <v>0.17975567190226879</v>
      </c>
      <c r="AS78" s="2">
        <f t="shared" si="13"/>
        <v>0.17975567190226879</v>
      </c>
      <c r="AT78" s="2">
        <f t="shared" si="13"/>
        <v>0.17975567190226879</v>
      </c>
      <c r="AU78" s="2">
        <f t="shared" si="13"/>
        <v>0.17975567190226879</v>
      </c>
      <c r="AV78" s="2">
        <f t="shared" si="13"/>
        <v>0.17975567190226879</v>
      </c>
      <c r="AW78" s="2">
        <f t="shared" si="13"/>
        <v>0.17975567190226879</v>
      </c>
      <c r="AX78" s="2">
        <f t="shared" si="13"/>
        <v>0.17975567190226879</v>
      </c>
      <c r="AY78" s="2">
        <f t="shared" si="13"/>
        <v>0.17975567190226879</v>
      </c>
      <c r="AZ78" s="2">
        <f t="shared" si="13"/>
        <v>0.17975567190226879</v>
      </c>
      <c r="BA78" s="2">
        <f t="shared" si="13"/>
        <v>0.17975567190226879</v>
      </c>
      <c r="BB78" s="2">
        <f t="shared" si="13"/>
        <v>0.17975567190226879</v>
      </c>
    </row>
    <row r="79" spans="1:54" s="2" customFormat="1">
      <c r="E79"/>
      <c r="F79"/>
      <c r="G79"/>
      <c r="H79"/>
      <c r="I79"/>
      <c r="J79"/>
      <c r="K79"/>
      <c r="L79"/>
      <c r="M79"/>
      <c r="N79" s="2" t="s">
        <v>26</v>
      </c>
      <c r="O79" s="2">
        <f t="shared" ref="O79:BB79" si="14">$S$73+O77*$T$73</f>
        <v>0.17975567190226879</v>
      </c>
      <c r="P79" s="2">
        <f t="shared" si="14"/>
        <v>0.17975567190226879</v>
      </c>
      <c r="Q79" s="2">
        <f t="shared" si="14"/>
        <v>0.17975567190226879</v>
      </c>
      <c r="R79" s="2">
        <f t="shared" si="14"/>
        <v>0.17975567190226879</v>
      </c>
      <c r="S79" s="2">
        <f t="shared" si="14"/>
        <v>0.17975567190226879</v>
      </c>
      <c r="T79" s="2">
        <f t="shared" si="14"/>
        <v>0.17975567190226879</v>
      </c>
      <c r="U79" s="2">
        <f t="shared" si="14"/>
        <v>0.17975567190226879</v>
      </c>
      <c r="V79" s="2">
        <f t="shared" si="14"/>
        <v>0.17975567190226879</v>
      </c>
      <c r="W79" s="2">
        <f t="shared" si="14"/>
        <v>0.17975567190226879</v>
      </c>
      <c r="X79" s="2">
        <f t="shared" si="14"/>
        <v>0.17975567190226879</v>
      </c>
      <c r="Y79" s="2">
        <f t="shared" si="14"/>
        <v>0.17975567190226879</v>
      </c>
      <c r="Z79" s="2">
        <f t="shared" si="14"/>
        <v>0.17975567190226879</v>
      </c>
      <c r="AA79" s="2">
        <f t="shared" si="14"/>
        <v>0.17975567190226879</v>
      </c>
      <c r="AB79" s="2">
        <f t="shared" si="14"/>
        <v>0.17975567190226879</v>
      </c>
      <c r="AC79" s="2">
        <f t="shared" si="14"/>
        <v>0.17975567190226879</v>
      </c>
      <c r="AD79" s="2">
        <f t="shared" si="14"/>
        <v>0.17975567190226879</v>
      </c>
      <c r="AE79" s="2">
        <f t="shared" si="14"/>
        <v>0.17975567190226879</v>
      </c>
      <c r="AF79" s="2">
        <f t="shared" si="14"/>
        <v>0.17975567190226879</v>
      </c>
      <c r="AG79" s="2">
        <f t="shared" si="14"/>
        <v>0.17975567190226879</v>
      </c>
      <c r="AH79" s="2">
        <f t="shared" si="14"/>
        <v>0.17975567190226879</v>
      </c>
      <c r="AI79" s="2">
        <f t="shared" si="14"/>
        <v>0.17975567190226879</v>
      </c>
      <c r="AJ79" s="2">
        <f t="shared" si="14"/>
        <v>0.17975567190226879</v>
      </c>
      <c r="AK79" s="2">
        <f t="shared" si="14"/>
        <v>0.17975567190226879</v>
      </c>
      <c r="AL79" s="2">
        <f t="shared" si="14"/>
        <v>0.17975567190226879</v>
      </c>
      <c r="AM79" s="2">
        <f t="shared" si="14"/>
        <v>0.17975567190226879</v>
      </c>
      <c r="AN79" s="2">
        <f t="shared" si="14"/>
        <v>0.17975567190226879</v>
      </c>
      <c r="AO79" s="2">
        <f t="shared" si="14"/>
        <v>0.17975567190226879</v>
      </c>
      <c r="AP79" s="2">
        <f t="shared" si="14"/>
        <v>0.17975567190226879</v>
      </c>
      <c r="AQ79" s="2">
        <f t="shared" si="14"/>
        <v>0.17975567190226879</v>
      </c>
      <c r="AR79" s="2">
        <f t="shared" si="14"/>
        <v>0.17975567190226879</v>
      </c>
      <c r="AS79" s="2">
        <f t="shared" si="14"/>
        <v>0.17975567190226879</v>
      </c>
      <c r="AT79" s="2">
        <f t="shared" si="14"/>
        <v>0.17975567190226879</v>
      </c>
      <c r="AU79" s="2">
        <f t="shared" si="14"/>
        <v>0.17975567190226879</v>
      </c>
      <c r="AV79" s="2">
        <f t="shared" si="14"/>
        <v>0.17975567190226879</v>
      </c>
      <c r="AW79" s="2">
        <f t="shared" si="14"/>
        <v>0.17975567190226879</v>
      </c>
      <c r="AX79" s="2">
        <f t="shared" si="14"/>
        <v>0.17975567190226879</v>
      </c>
      <c r="AY79" s="2">
        <f t="shared" si="14"/>
        <v>0.17975567190226879</v>
      </c>
      <c r="AZ79" s="2">
        <f t="shared" si="14"/>
        <v>0.17975567190226879</v>
      </c>
      <c r="BA79" s="2">
        <f t="shared" si="14"/>
        <v>0.17975567190226879</v>
      </c>
      <c r="BB79" s="2">
        <f t="shared" si="14"/>
        <v>0.17975567190226879</v>
      </c>
    </row>
    <row r="80" spans="1:54" s="2" customFormat="1">
      <c r="E80"/>
      <c r="F80"/>
      <c r="G80"/>
      <c r="H80"/>
      <c r="I80"/>
      <c r="J80"/>
      <c r="K80"/>
      <c r="L80"/>
      <c r="M80"/>
      <c r="N80" s="2" t="s">
        <v>28</v>
      </c>
      <c r="O80" s="2">
        <f t="shared" ref="O80:BB80" si="15">$S$74+O77*$T$74</f>
        <v>0.17975567190226879</v>
      </c>
      <c r="P80" s="2">
        <f t="shared" si="15"/>
        <v>0.17975567190226879</v>
      </c>
      <c r="Q80" s="2">
        <f t="shared" si="15"/>
        <v>0.17975567190226879</v>
      </c>
      <c r="R80" s="2">
        <f t="shared" si="15"/>
        <v>0.17975567190226879</v>
      </c>
      <c r="S80" s="2">
        <f t="shared" si="15"/>
        <v>0.17975567190226879</v>
      </c>
      <c r="T80" s="2">
        <f t="shared" si="15"/>
        <v>0.17975567190226879</v>
      </c>
      <c r="U80" s="2">
        <f t="shared" si="15"/>
        <v>0.17975567190226879</v>
      </c>
      <c r="V80" s="2">
        <f t="shared" si="15"/>
        <v>0.17975567190226879</v>
      </c>
      <c r="W80" s="2">
        <f t="shared" si="15"/>
        <v>0.17975567190226879</v>
      </c>
      <c r="X80" s="2">
        <f t="shared" si="15"/>
        <v>0.17975567190226879</v>
      </c>
      <c r="Y80" s="2">
        <f t="shared" si="15"/>
        <v>0.17975567190226879</v>
      </c>
      <c r="Z80" s="2">
        <f t="shared" si="15"/>
        <v>0.17975567190226879</v>
      </c>
      <c r="AA80" s="2">
        <f t="shared" si="15"/>
        <v>0.17975567190226879</v>
      </c>
      <c r="AB80" s="2">
        <f t="shared" si="15"/>
        <v>0.17975567190226879</v>
      </c>
      <c r="AC80" s="2">
        <f t="shared" si="15"/>
        <v>0.17975567190226879</v>
      </c>
      <c r="AD80" s="2">
        <f t="shared" si="15"/>
        <v>0.17975567190226879</v>
      </c>
      <c r="AE80" s="2">
        <f t="shared" si="15"/>
        <v>0.17975567190226879</v>
      </c>
      <c r="AF80" s="2">
        <f t="shared" si="15"/>
        <v>0.17975567190226879</v>
      </c>
      <c r="AG80" s="2">
        <f t="shared" si="15"/>
        <v>0.17975567190226879</v>
      </c>
      <c r="AH80" s="2">
        <f t="shared" si="15"/>
        <v>0.17975567190226879</v>
      </c>
      <c r="AI80" s="2">
        <f t="shared" si="15"/>
        <v>0.17975567190226879</v>
      </c>
      <c r="AJ80" s="2">
        <f t="shared" si="15"/>
        <v>0.17975567190226879</v>
      </c>
      <c r="AK80" s="2">
        <f t="shared" si="15"/>
        <v>0.17975567190226879</v>
      </c>
      <c r="AL80" s="2">
        <f t="shared" si="15"/>
        <v>0.17975567190226879</v>
      </c>
      <c r="AM80" s="2">
        <f t="shared" si="15"/>
        <v>0.17975567190226879</v>
      </c>
      <c r="AN80" s="2">
        <f t="shared" si="15"/>
        <v>0.17975567190226879</v>
      </c>
      <c r="AO80" s="2">
        <f t="shared" si="15"/>
        <v>0.17975567190226879</v>
      </c>
      <c r="AP80" s="2">
        <f t="shared" si="15"/>
        <v>0.17975567190226879</v>
      </c>
      <c r="AQ80" s="2">
        <f t="shared" si="15"/>
        <v>0.17975567190226879</v>
      </c>
      <c r="AR80" s="2">
        <f t="shared" si="15"/>
        <v>0.17975567190226879</v>
      </c>
      <c r="AS80" s="2">
        <f t="shared" si="15"/>
        <v>0.17975567190226879</v>
      </c>
      <c r="AT80" s="2">
        <f t="shared" si="15"/>
        <v>0.17975567190226879</v>
      </c>
      <c r="AU80" s="2">
        <f t="shared" si="15"/>
        <v>0.17975567190226879</v>
      </c>
      <c r="AV80" s="2">
        <f t="shared" si="15"/>
        <v>0.17975567190226879</v>
      </c>
      <c r="AW80" s="2">
        <f t="shared" si="15"/>
        <v>0.17975567190226879</v>
      </c>
      <c r="AX80" s="2">
        <f t="shared" si="15"/>
        <v>0.17975567190226879</v>
      </c>
      <c r="AY80" s="2">
        <f t="shared" si="15"/>
        <v>0.17975567190226879</v>
      </c>
      <c r="AZ80" s="2">
        <f t="shared" si="15"/>
        <v>0.17975567190226879</v>
      </c>
      <c r="BA80" s="2">
        <f t="shared" si="15"/>
        <v>0.17975567190226879</v>
      </c>
      <c r="BB80" s="2">
        <f t="shared" si="15"/>
        <v>0.17975567190226879</v>
      </c>
    </row>
    <row r="81" spans="1:54" s="2" customFormat="1">
      <c r="E81"/>
      <c r="F81"/>
      <c r="G81"/>
      <c r="H81"/>
      <c r="I81"/>
      <c r="J81"/>
      <c r="K81"/>
      <c r="L81"/>
      <c r="M81"/>
      <c r="N81" s="2" t="s">
        <v>29</v>
      </c>
      <c r="O81" s="2">
        <f t="shared" ref="O81:BB81" si="16">$S$75+O77*$T$75</f>
        <v>0.17975567190226879</v>
      </c>
      <c r="P81" s="2">
        <f t="shared" si="16"/>
        <v>0.17975567190226879</v>
      </c>
      <c r="Q81" s="2">
        <f t="shared" si="16"/>
        <v>0.17975567190226879</v>
      </c>
      <c r="R81" s="2">
        <f t="shared" si="16"/>
        <v>0.17975567190226879</v>
      </c>
      <c r="S81" s="2">
        <f t="shared" si="16"/>
        <v>0.17975567190226879</v>
      </c>
      <c r="T81" s="2">
        <f t="shared" si="16"/>
        <v>0.17975567190226879</v>
      </c>
      <c r="U81" s="2">
        <f t="shared" si="16"/>
        <v>0.17975567190226879</v>
      </c>
      <c r="V81" s="2">
        <f t="shared" si="16"/>
        <v>0.17975567190226879</v>
      </c>
      <c r="W81" s="2">
        <f t="shared" si="16"/>
        <v>0.17975567190226879</v>
      </c>
      <c r="X81" s="2">
        <f t="shared" si="16"/>
        <v>0.17975567190226879</v>
      </c>
      <c r="Y81" s="2">
        <f t="shared" si="16"/>
        <v>0.17975567190226879</v>
      </c>
      <c r="Z81" s="2">
        <f t="shared" si="16"/>
        <v>0.17975567190226879</v>
      </c>
      <c r="AA81" s="2">
        <f t="shared" si="16"/>
        <v>0.17975567190226879</v>
      </c>
      <c r="AB81" s="2">
        <f t="shared" si="16"/>
        <v>0.17975567190226879</v>
      </c>
      <c r="AC81" s="2">
        <f t="shared" si="16"/>
        <v>0.17975567190226879</v>
      </c>
      <c r="AD81" s="2">
        <f t="shared" si="16"/>
        <v>0.17975567190226879</v>
      </c>
      <c r="AE81" s="2">
        <f t="shared" si="16"/>
        <v>0.17975567190226879</v>
      </c>
      <c r="AF81" s="2">
        <f t="shared" si="16"/>
        <v>0.17975567190226879</v>
      </c>
      <c r="AG81" s="2">
        <f t="shared" si="16"/>
        <v>0.17975567190226879</v>
      </c>
      <c r="AH81" s="2">
        <f t="shared" si="16"/>
        <v>0.17975567190226879</v>
      </c>
      <c r="AI81" s="2">
        <f t="shared" si="16"/>
        <v>0.17975567190226879</v>
      </c>
      <c r="AJ81" s="2">
        <f t="shared" si="16"/>
        <v>0.17975567190226879</v>
      </c>
      <c r="AK81" s="2">
        <f t="shared" si="16"/>
        <v>0.17975567190226879</v>
      </c>
      <c r="AL81" s="2">
        <f t="shared" si="16"/>
        <v>0.17975567190226879</v>
      </c>
      <c r="AM81" s="2">
        <f t="shared" si="16"/>
        <v>0.17975567190226879</v>
      </c>
      <c r="AN81" s="2">
        <f t="shared" si="16"/>
        <v>0.17975567190226879</v>
      </c>
      <c r="AO81" s="2">
        <f t="shared" si="16"/>
        <v>0.17975567190226879</v>
      </c>
      <c r="AP81" s="2">
        <f t="shared" si="16"/>
        <v>0.17975567190226879</v>
      </c>
      <c r="AQ81" s="2">
        <f t="shared" si="16"/>
        <v>0.17975567190226879</v>
      </c>
      <c r="AR81" s="2">
        <f t="shared" si="16"/>
        <v>0.17975567190226879</v>
      </c>
      <c r="AS81" s="2">
        <f t="shared" si="16"/>
        <v>0.17975567190226879</v>
      </c>
      <c r="AT81" s="2">
        <f t="shared" si="16"/>
        <v>0.17975567190226879</v>
      </c>
      <c r="AU81" s="2">
        <f t="shared" si="16"/>
        <v>0.17975567190226879</v>
      </c>
      <c r="AV81" s="2">
        <f t="shared" si="16"/>
        <v>0.17975567190226879</v>
      </c>
      <c r="AW81" s="2">
        <f t="shared" si="16"/>
        <v>0.17975567190226879</v>
      </c>
      <c r="AX81" s="2">
        <f t="shared" si="16"/>
        <v>0.17975567190226879</v>
      </c>
      <c r="AY81" s="2">
        <f t="shared" si="16"/>
        <v>0.17975567190226879</v>
      </c>
      <c r="AZ81" s="2">
        <f t="shared" si="16"/>
        <v>0.17975567190226879</v>
      </c>
      <c r="BA81" s="2">
        <f t="shared" si="16"/>
        <v>0.17975567190226879</v>
      </c>
      <c r="BB81" s="2">
        <f t="shared" si="16"/>
        <v>0.17975567190226879</v>
      </c>
    </row>
    <row r="82" spans="1:54" s="2" customFormat="1">
      <c r="E82"/>
      <c r="F82"/>
      <c r="G82"/>
      <c r="H82"/>
      <c r="I82"/>
      <c r="J82"/>
      <c r="K82"/>
      <c r="L82"/>
      <c r="M82"/>
      <c r="N82" s="2" t="s">
        <v>76</v>
      </c>
      <c r="O82" s="2">
        <f t="shared" ref="O82:AH82" si="17">(O$78+O$87+O94)*(O$77&lt;=$B$35)+(O$79+O$86+O94)*(O$77&gt;$B$35)*(O$77&lt;=$B$36)+(O$80+O$85+O94)*(O$77&gt;$B$36)*(O$77&lt;=$B$37)+(O$81+O$84+O94)*(O$77&gt;$B$37)</f>
        <v>0.17975567190226879</v>
      </c>
      <c r="P82" s="2">
        <f t="shared" si="17"/>
        <v>0.17975567190226879</v>
      </c>
      <c r="Q82" s="2">
        <f t="shared" si="17"/>
        <v>0.17975567190226879</v>
      </c>
      <c r="R82" s="2">
        <f t="shared" si="17"/>
        <v>0.17975567190226879</v>
      </c>
      <c r="S82" s="2">
        <f t="shared" si="17"/>
        <v>0.17975567190226879</v>
      </c>
      <c r="T82" s="2">
        <f t="shared" si="17"/>
        <v>0.17975567190226879</v>
      </c>
      <c r="U82" s="2">
        <f t="shared" si="17"/>
        <v>0.17975567190226879</v>
      </c>
      <c r="V82" s="2">
        <f t="shared" si="17"/>
        <v>0.17975567190226879</v>
      </c>
      <c r="W82" s="2">
        <f t="shared" si="17"/>
        <v>0.17975567190226879</v>
      </c>
      <c r="X82" s="2">
        <f t="shared" si="17"/>
        <v>0.17975567190226879</v>
      </c>
      <c r="Y82" s="2">
        <f t="shared" si="17"/>
        <v>0.17975567190226879</v>
      </c>
      <c r="Z82" s="2">
        <f t="shared" si="17"/>
        <v>0.17975567190226879</v>
      </c>
      <c r="AA82" s="2">
        <f t="shared" si="17"/>
        <v>0.17975567190226879</v>
      </c>
      <c r="AB82" s="2">
        <f t="shared" si="17"/>
        <v>0.17975567190226879</v>
      </c>
      <c r="AC82" s="2">
        <f t="shared" si="17"/>
        <v>0.17975567190226879</v>
      </c>
      <c r="AD82" s="2">
        <f t="shared" si="17"/>
        <v>0.17975567190226879</v>
      </c>
      <c r="AE82" s="2">
        <f t="shared" si="17"/>
        <v>0.17975567190226879</v>
      </c>
      <c r="AF82" s="2">
        <f t="shared" si="17"/>
        <v>0.17975567190226879</v>
      </c>
      <c r="AG82" s="2">
        <f t="shared" si="17"/>
        <v>0.17975567190226879</v>
      </c>
      <c r="AH82" s="2">
        <f t="shared" si="17"/>
        <v>0.17975567190226879</v>
      </c>
      <c r="AI82" s="2">
        <f t="shared" ref="AI82:BB82" si="18">(AI$78+AI$88+AI94)*(AI$77&lt;=$B$35)+(AI$79+AI$89+AI94)*(AI$77&gt;$B$35)*(AI$77&lt;=$B$36)+(AI$80+AI$90+AI94)*(AI$77&gt;$B$36)*(AI$77&lt;=$B$37)+(AI$81+AI$91+AI94)*(AI$77&gt;$B$37)</f>
        <v>0.17975567190226879</v>
      </c>
      <c r="AJ82" s="2">
        <f t="shared" si="18"/>
        <v>0.17975567190226879</v>
      </c>
      <c r="AK82" s="2">
        <f t="shared" si="18"/>
        <v>0.17975567190226879</v>
      </c>
      <c r="AL82" s="2">
        <f t="shared" si="18"/>
        <v>0.17975567190226879</v>
      </c>
      <c r="AM82" s="2">
        <f t="shared" si="18"/>
        <v>0.17975567190226879</v>
      </c>
      <c r="AN82" s="2">
        <f t="shared" si="18"/>
        <v>0.17975567190226879</v>
      </c>
      <c r="AO82" s="2">
        <f t="shared" si="18"/>
        <v>0.17975567190226879</v>
      </c>
      <c r="AP82" s="2">
        <f t="shared" si="18"/>
        <v>0.17975567190226879</v>
      </c>
      <c r="AQ82" s="2">
        <f t="shared" si="18"/>
        <v>0.17975567190226879</v>
      </c>
      <c r="AR82" s="2">
        <f t="shared" si="18"/>
        <v>0.17975567190226879</v>
      </c>
      <c r="AS82" s="2">
        <f t="shared" si="18"/>
        <v>0.17975567190226879</v>
      </c>
      <c r="AT82" s="2">
        <f t="shared" si="18"/>
        <v>0.17975567190226879</v>
      </c>
      <c r="AU82" s="2">
        <f t="shared" si="18"/>
        <v>0.17975567190226879</v>
      </c>
      <c r="AV82" s="2">
        <f t="shared" si="18"/>
        <v>0.17975567190226879</v>
      </c>
      <c r="AW82" s="2">
        <f t="shared" si="18"/>
        <v>0.17975567190226879</v>
      </c>
      <c r="AX82" s="2">
        <f t="shared" si="18"/>
        <v>0.17975567190226879</v>
      </c>
      <c r="AY82" s="2">
        <f t="shared" si="18"/>
        <v>0.17975567190226879</v>
      </c>
      <c r="AZ82" s="2">
        <f t="shared" si="18"/>
        <v>0.17975567190226879</v>
      </c>
      <c r="BA82" s="2">
        <f t="shared" si="18"/>
        <v>0.17975567190226879</v>
      </c>
      <c r="BB82" s="2">
        <f t="shared" si="18"/>
        <v>0.17975567190226879</v>
      </c>
    </row>
    <row r="83" spans="1:54" s="2" customFormat="1"/>
    <row r="84" spans="1:54" s="2" customFormat="1">
      <c r="L84" s="2" t="s">
        <v>77</v>
      </c>
      <c r="N84" s="2" t="s">
        <v>78</v>
      </c>
      <c r="O84" s="2">
        <f t="shared" ref="O84:AH84" si="19">$B$44</f>
        <v>0</v>
      </c>
      <c r="P84" s="2">
        <f t="shared" si="19"/>
        <v>0</v>
      </c>
      <c r="Q84" s="2">
        <f t="shared" si="19"/>
        <v>0</v>
      </c>
      <c r="R84" s="2">
        <f t="shared" si="19"/>
        <v>0</v>
      </c>
      <c r="S84" s="2">
        <f t="shared" si="19"/>
        <v>0</v>
      </c>
      <c r="T84" s="2">
        <f t="shared" si="19"/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2">
        <f t="shared" si="19"/>
        <v>0</v>
      </c>
      <c r="Y84" s="2">
        <f t="shared" si="19"/>
        <v>0</v>
      </c>
      <c r="Z84" s="2">
        <f t="shared" si="19"/>
        <v>0</v>
      </c>
      <c r="AA84" s="2">
        <f t="shared" si="19"/>
        <v>0</v>
      </c>
      <c r="AB84" s="2">
        <f t="shared" si="19"/>
        <v>0</v>
      </c>
      <c r="AC84" s="2">
        <f t="shared" si="19"/>
        <v>0</v>
      </c>
      <c r="AD84" s="2">
        <f t="shared" si="19"/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2">
        <f t="shared" si="19"/>
        <v>0</v>
      </c>
    </row>
    <row r="85" spans="1:54" s="2" customFormat="1">
      <c r="N85" s="2" t="s">
        <v>79</v>
      </c>
      <c r="O85" s="2">
        <f t="shared" ref="O85:AH85" si="20">$B$45</f>
        <v>0</v>
      </c>
      <c r="P85" s="2">
        <f t="shared" si="20"/>
        <v>0</v>
      </c>
      <c r="Q85" s="2">
        <f t="shared" si="20"/>
        <v>0</v>
      </c>
      <c r="R85" s="2">
        <f t="shared" si="20"/>
        <v>0</v>
      </c>
      <c r="S85" s="2">
        <f t="shared" si="20"/>
        <v>0</v>
      </c>
      <c r="T85" s="2">
        <f t="shared" si="20"/>
        <v>0</v>
      </c>
      <c r="U85" s="2">
        <f t="shared" si="20"/>
        <v>0</v>
      </c>
      <c r="V85" s="2">
        <f t="shared" si="20"/>
        <v>0</v>
      </c>
      <c r="W85" s="2">
        <f t="shared" si="20"/>
        <v>0</v>
      </c>
      <c r="X85" s="2">
        <f t="shared" si="20"/>
        <v>0</v>
      </c>
      <c r="Y85" s="2">
        <f t="shared" si="20"/>
        <v>0</v>
      </c>
      <c r="Z85" s="2">
        <f t="shared" si="20"/>
        <v>0</v>
      </c>
      <c r="AA85" s="2">
        <f t="shared" si="20"/>
        <v>0</v>
      </c>
      <c r="AB85" s="2">
        <f t="shared" si="20"/>
        <v>0</v>
      </c>
      <c r="AC85" s="2">
        <f t="shared" si="20"/>
        <v>0</v>
      </c>
      <c r="AD85" s="2">
        <f t="shared" si="20"/>
        <v>0</v>
      </c>
      <c r="AE85" s="2">
        <f t="shared" si="20"/>
        <v>0</v>
      </c>
      <c r="AF85" s="2">
        <f t="shared" si="20"/>
        <v>0</v>
      </c>
      <c r="AG85" s="2">
        <f t="shared" si="20"/>
        <v>0</v>
      </c>
      <c r="AH85" s="2">
        <f t="shared" si="20"/>
        <v>0</v>
      </c>
    </row>
    <row r="86" spans="1:54" s="2" customFormat="1">
      <c r="N86" s="2" t="s">
        <v>80</v>
      </c>
      <c r="O86" s="2">
        <f t="shared" ref="O86:AH86" si="21">$B$46</f>
        <v>0</v>
      </c>
      <c r="P86" s="2">
        <f t="shared" si="21"/>
        <v>0</v>
      </c>
      <c r="Q86" s="2">
        <f t="shared" si="21"/>
        <v>0</v>
      </c>
      <c r="R86" s="2">
        <f t="shared" si="21"/>
        <v>0</v>
      </c>
      <c r="S86" s="2">
        <f t="shared" si="21"/>
        <v>0</v>
      </c>
      <c r="T86" s="2">
        <f t="shared" si="21"/>
        <v>0</v>
      </c>
      <c r="U86" s="2">
        <f t="shared" si="21"/>
        <v>0</v>
      </c>
      <c r="V86" s="2">
        <f t="shared" si="21"/>
        <v>0</v>
      </c>
      <c r="W86" s="2">
        <f t="shared" si="21"/>
        <v>0</v>
      </c>
      <c r="X86" s="2">
        <f t="shared" si="21"/>
        <v>0</v>
      </c>
      <c r="Y86" s="2">
        <f t="shared" si="21"/>
        <v>0</v>
      </c>
      <c r="Z86" s="2">
        <f t="shared" si="21"/>
        <v>0</v>
      </c>
      <c r="AA86" s="2">
        <f t="shared" si="21"/>
        <v>0</v>
      </c>
      <c r="AB86" s="2">
        <f t="shared" si="21"/>
        <v>0</v>
      </c>
      <c r="AC86" s="2">
        <f t="shared" si="21"/>
        <v>0</v>
      </c>
      <c r="AD86" s="2">
        <f t="shared" si="21"/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2">
        <f t="shared" si="21"/>
        <v>0</v>
      </c>
    </row>
    <row r="87" spans="1:54" s="2" customFormat="1">
      <c r="N87" s="2" t="s">
        <v>81</v>
      </c>
      <c r="O87" s="2">
        <f t="shared" ref="O87:AH87" si="22">$B$47</f>
        <v>0</v>
      </c>
      <c r="P87" s="2">
        <f t="shared" si="22"/>
        <v>0</v>
      </c>
      <c r="Q87" s="2">
        <f t="shared" si="22"/>
        <v>0</v>
      </c>
      <c r="R87" s="2">
        <f t="shared" si="22"/>
        <v>0</v>
      </c>
      <c r="S87" s="2">
        <f t="shared" si="22"/>
        <v>0</v>
      </c>
      <c r="T87" s="2">
        <f t="shared" si="22"/>
        <v>0</v>
      </c>
      <c r="U87" s="2">
        <f t="shared" si="22"/>
        <v>0</v>
      </c>
      <c r="V87" s="2">
        <f t="shared" si="22"/>
        <v>0</v>
      </c>
      <c r="W87" s="2">
        <f t="shared" si="22"/>
        <v>0</v>
      </c>
      <c r="X87" s="2">
        <f t="shared" si="22"/>
        <v>0</v>
      </c>
      <c r="Y87" s="2">
        <f t="shared" si="22"/>
        <v>0</v>
      </c>
      <c r="Z87" s="2">
        <f t="shared" si="22"/>
        <v>0</v>
      </c>
      <c r="AA87" s="2">
        <f t="shared" si="22"/>
        <v>0</v>
      </c>
      <c r="AB87" s="2">
        <f t="shared" si="22"/>
        <v>0</v>
      </c>
      <c r="AC87" s="2">
        <f t="shared" si="22"/>
        <v>0</v>
      </c>
      <c r="AD87" s="2">
        <f t="shared" si="22"/>
        <v>0</v>
      </c>
      <c r="AE87" s="2">
        <f t="shared" si="22"/>
        <v>0</v>
      </c>
      <c r="AF87" s="2">
        <f t="shared" si="22"/>
        <v>0</v>
      </c>
      <c r="AG87" s="2">
        <f t="shared" si="22"/>
        <v>0</v>
      </c>
      <c r="AH87" s="2">
        <f t="shared" si="22"/>
        <v>0</v>
      </c>
    </row>
    <row r="88" spans="1:54" s="2" customFormat="1">
      <c r="N88" s="2" t="s">
        <v>82</v>
      </c>
      <c r="AI88" s="2">
        <f t="shared" ref="AI88:BB88" si="23">$B$48</f>
        <v>0</v>
      </c>
      <c r="AJ88" s="2">
        <f t="shared" si="23"/>
        <v>0</v>
      </c>
      <c r="AK88" s="2">
        <f t="shared" si="23"/>
        <v>0</v>
      </c>
      <c r="AL88" s="2">
        <f t="shared" si="23"/>
        <v>0</v>
      </c>
      <c r="AM88" s="2">
        <f t="shared" si="23"/>
        <v>0</v>
      </c>
      <c r="AN88" s="2">
        <f t="shared" si="23"/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2">
        <f t="shared" si="23"/>
        <v>0</v>
      </c>
      <c r="AS88" s="2">
        <f t="shared" si="23"/>
        <v>0</v>
      </c>
      <c r="AT88" s="2">
        <f t="shared" si="23"/>
        <v>0</v>
      </c>
      <c r="AU88" s="2">
        <f t="shared" si="23"/>
        <v>0</v>
      </c>
      <c r="AV88" s="2">
        <f t="shared" si="23"/>
        <v>0</v>
      </c>
      <c r="AW88" s="2">
        <f t="shared" si="23"/>
        <v>0</v>
      </c>
      <c r="AX88" s="2">
        <f t="shared" si="23"/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2">
        <f t="shared" si="23"/>
        <v>0</v>
      </c>
    </row>
    <row r="89" spans="1:54" s="2" customFormat="1">
      <c r="N89" s="2" t="s">
        <v>83</v>
      </c>
      <c r="AI89" s="2">
        <f t="shared" ref="AI89:BB89" si="24">$B$49</f>
        <v>0</v>
      </c>
      <c r="AJ89" s="2">
        <f t="shared" si="24"/>
        <v>0</v>
      </c>
      <c r="AK89" s="2">
        <f t="shared" si="24"/>
        <v>0</v>
      </c>
      <c r="AL89" s="2">
        <f t="shared" si="24"/>
        <v>0</v>
      </c>
      <c r="AM89" s="2">
        <f t="shared" si="24"/>
        <v>0</v>
      </c>
      <c r="AN89" s="2">
        <f t="shared" si="24"/>
        <v>0</v>
      </c>
      <c r="AO89" s="2">
        <f t="shared" si="24"/>
        <v>0</v>
      </c>
      <c r="AP89" s="2">
        <f t="shared" si="24"/>
        <v>0</v>
      </c>
      <c r="AQ89" s="2">
        <f t="shared" si="24"/>
        <v>0</v>
      </c>
      <c r="AR89" s="2">
        <f t="shared" si="24"/>
        <v>0</v>
      </c>
      <c r="AS89" s="2">
        <f t="shared" si="24"/>
        <v>0</v>
      </c>
      <c r="AT89" s="2">
        <f t="shared" si="24"/>
        <v>0</v>
      </c>
      <c r="AU89" s="2">
        <f t="shared" si="24"/>
        <v>0</v>
      </c>
      <c r="AV89" s="2">
        <f t="shared" si="24"/>
        <v>0</v>
      </c>
      <c r="AW89" s="2">
        <f t="shared" si="24"/>
        <v>0</v>
      </c>
      <c r="AX89" s="2">
        <f t="shared" si="24"/>
        <v>0</v>
      </c>
      <c r="AY89" s="2">
        <f t="shared" si="24"/>
        <v>0</v>
      </c>
      <c r="AZ89" s="2">
        <f t="shared" si="24"/>
        <v>0</v>
      </c>
      <c r="BA89" s="2">
        <f t="shared" si="24"/>
        <v>0</v>
      </c>
      <c r="BB89" s="2">
        <f t="shared" si="24"/>
        <v>0</v>
      </c>
    </row>
    <row r="90" spans="1:54">
      <c r="A90" s="2"/>
      <c r="B90" s="2"/>
      <c r="C90" s="2"/>
      <c r="D90" s="2"/>
      <c r="E90" s="2"/>
      <c r="F90" s="2"/>
      <c r="G90" s="2"/>
      <c r="H90" s="2"/>
      <c r="I90" s="2"/>
      <c r="J90" s="2"/>
      <c r="L90" s="2"/>
      <c r="M90" s="2"/>
      <c r="N90" s="2" t="s">
        <v>80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I90" s="1">
        <f t="shared" ref="AI90:BB90" si="25">$B$50</f>
        <v>0</v>
      </c>
      <c r="AJ90" s="1">
        <f t="shared" si="25"/>
        <v>0</v>
      </c>
      <c r="AK90" s="1">
        <f t="shared" si="25"/>
        <v>0</v>
      </c>
      <c r="AL90" s="1">
        <f t="shared" si="25"/>
        <v>0</v>
      </c>
      <c r="AM90" s="1">
        <f t="shared" si="25"/>
        <v>0</v>
      </c>
      <c r="AN90" s="1">
        <f t="shared" si="25"/>
        <v>0</v>
      </c>
      <c r="AO90" s="1">
        <f t="shared" si="25"/>
        <v>0</v>
      </c>
      <c r="AP90" s="1">
        <f t="shared" si="25"/>
        <v>0</v>
      </c>
      <c r="AQ90" s="1">
        <f t="shared" si="25"/>
        <v>0</v>
      </c>
      <c r="AR90" s="1">
        <f t="shared" si="25"/>
        <v>0</v>
      </c>
      <c r="AS90" s="1">
        <f t="shared" si="25"/>
        <v>0</v>
      </c>
      <c r="AT90" s="1">
        <f t="shared" si="25"/>
        <v>0</v>
      </c>
      <c r="AU90" s="1">
        <f t="shared" si="25"/>
        <v>0</v>
      </c>
      <c r="AV90" s="1">
        <f t="shared" si="25"/>
        <v>0</v>
      </c>
      <c r="AW90" s="1">
        <f t="shared" si="25"/>
        <v>0</v>
      </c>
      <c r="AX90" s="1">
        <f t="shared" si="25"/>
        <v>0</v>
      </c>
      <c r="AY90" s="1">
        <f t="shared" si="25"/>
        <v>0</v>
      </c>
      <c r="AZ90" s="1">
        <f t="shared" si="25"/>
        <v>0</v>
      </c>
      <c r="BA90" s="1">
        <f t="shared" si="25"/>
        <v>0</v>
      </c>
      <c r="BB90" s="1">
        <f t="shared" si="25"/>
        <v>0</v>
      </c>
    </row>
    <row r="91" spans="1:54">
      <c r="A91" s="2"/>
      <c r="B91" s="2"/>
      <c r="C91" s="2"/>
      <c r="D91" s="2"/>
      <c r="E91" s="2"/>
      <c r="F91" s="2"/>
      <c r="G91" s="2"/>
      <c r="H91" s="2"/>
      <c r="I91" s="2"/>
      <c r="J91" s="2"/>
      <c r="L91" s="2"/>
      <c r="M91" s="2"/>
      <c r="N91" s="2" t="s">
        <v>78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I91" s="1">
        <f t="shared" ref="AI91:BB91" si="26">$B$51</f>
        <v>0</v>
      </c>
      <c r="AJ91" s="1">
        <f t="shared" si="26"/>
        <v>0</v>
      </c>
      <c r="AK91" s="1">
        <f t="shared" si="26"/>
        <v>0</v>
      </c>
      <c r="AL91" s="1">
        <f t="shared" si="26"/>
        <v>0</v>
      </c>
      <c r="AM91" s="1">
        <f t="shared" si="26"/>
        <v>0</v>
      </c>
      <c r="AN91" s="1">
        <f t="shared" si="26"/>
        <v>0</v>
      </c>
      <c r="AO91" s="1">
        <f t="shared" si="26"/>
        <v>0</v>
      </c>
      <c r="AP91" s="1">
        <f t="shared" si="26"/>
        <v>0</v>
      </c>
      <c r="AQ91" s="1">
        <f t="shared" si="26"/>
        <v>0</v>
      </c>
      <c r="AR91" s="1">
        <f t="shared" si="26"/>
        <v>0</v>
      </c>
      <c r="AS91" s="1">
        <f t="shared" si="26"/>
        <v>0</v>
      </c>
      <c r="AT91" s="1">
        <f t="shared" si="26"/>
        <v>0</v>
      </c>
      <c r="AU91" s="1">
        <f t="shared" si="26"/>
        <v>0</v>
      </c>
      <c r="AV91" s="1">
        <f t="shared" si="26"/>
        <v>0</v>
      </c>
      <c r="AW91" s="1">
        <f t="shared" si="26"/>
        <v>0</v>
      </c>
      <c r="AX91" s="1">
        <f t="shared" si="26"/>
        <v>0</v>
      </c>
      <c r="AY91" s="1">
        <f t="shared" si="26"/>
        <v>0</v>
      </c>
      <c r="AZ91" s="1">
        <f t="shared" si="26"/>
        <v>0</v>
      </c>
      <c r="BA91" s="1">
        <f t="shared" si="26"/>
        <v>0</v>
      </c>
      <c r="BB91" s="1">
        <f t="shared" si="26"/>
        <v>0</v>
      </c>
    </row>
    <row r="92" spans="1:54">
      <c r="A92" s="2"/>
      <c r="B92" s="2"/>
      <c r="C92" s="2"/>
      <c r="D92" s="2"/>
      <c r="E92" s="2"/>
      <c r="F92" s="2"/>
      <c r="G92" s="2"/>
      <c r="H92" s="2"/>
      <c r="I92" s="2"/>
      <c r="J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54">
      <c r="A93" s="2"/>
      <c r="B93" s="2"/>
      <c r="C93" s="2"/>
      <c r="D93" s="2"/>
      <c r="E93" s="2"/>
      <c r="F93" s="2"/>
      <c r="G93" s="2"/>
      <c r="H93" s="2"/>
      <c r="I93" s="2"/>
      <c r="J93" s="2"/>
      <c r="L93" s="2" t="s">
        <v>84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54">
      <c r="A94" s="2"/>
      <c r="B94" s="2"/>
      <c r="C94" s="2"/>
      <c r="D94" s="2"/>
      <c r="E94" s="2"/>
      <c r="F94" s="2"/>
      <c r="G94" s="2"/>
      <c r="H94" s="2"/>
      <c r="I94" s="2"/>
      <c r="J94" s="2"/>
      <c r="L94" s="2">
        <f>B52</f>
        <v>0</v>
      </c>
      <c r="M94" s="2"/>
      <c r="N94" s="2"/>
      <c r="O94" s="2">
        <f t="shared" ref="O94:AH94" si="27">-O77*$L$94</f>
        <v>0</v>
      </c>
      <c r="P94" s="2">
        <f t="shared" si="27"/>
        <v>0</v>
      </c>
      <c r="Q94" s="2">
        <f t="shared" si="27"/>
        <v>0</v>
      </c>
      <c r="R94" s="2">
        <f t="shared" si="27"/>
        <v>0</v>
      </c>
      <c r="S94" s="2">
        <f t="shared" si="27"/>
        <v>0</v>
      </c>
      <c r="T94" s="2">
        <f t="shared" si="27"/>
        <v>0</v>
      </c>
      <c r="U94" s="2">
        <f t="shared" si="27"/>
        <v>0</v>
      </c>
      <c r="V94" s="2">
        <f t="shared" si="27"/>
        <v>0</v>
      </c>
      <c r="W94" s="2">
        <f t="shared" si="27"/>
        <v>0</v>
      </c>
      <c r="X94" s="2">
        <f t="shared" si="27"/>
        <v>0</v>
      </c>
      <c r="Y94" s="2">
        <f t="shared" si="27"/>
        <v>0</v>
      </c>
      <c r="Z94" s="2">
        <f t="shared" si="27"/>
        <v>0</v>
      </c>
      <c r="AA94" s="2">
        <f t="shared" si="27"/>
        <v>0</v>
      </c>
      <c r="AB94" s="2">
        <f t="shared" si="27"/>
        <v>0</v>
      </c>
      <c r="AC94" s="2">
        <f t="shared" si="27"/>
        <v>0</v>
      </c>
      <c r="AD94" s="2">
        <f t="shared" si="27"/>
        <v>0</v>
      </c>
      <c r="AE94" s="2">
        <f t="shared" si="27"/>
        <v>0</v>
      </c>
      <c r="AF94" s="2">
        <f t="shared" si="27"/>
        <v>0</v>
      </c>
      <c r="AG94" s="2">
        <f t="shared" si="27"/>
        <v>0</v>
      </c>
      <c r="AH94" s="2">
        <f t="shared" si="27"/>
        <v>0</v>
      </c>
      <c r="AI94" s="2">
        <f t="shared" ref="AI94:BB94" si="28">AI77*$L$94</f>
        <v>0</v>
      </c>
      <c r="AJ94" s="2">
        <f t="shared" si="28"/>
        <v>0</v>
      </c>
      <c r="AK94" s="2">
        <f t="shared" si="28"/>
        <v>0</v>
      </c>
      <c r="AL94" s="2">
        <f t="shared" si="28"/>
        <v>0</v>
      </c>
      <c r="AM94" s="2">
        <f t="shared" si="28"/>
        <v>0</v>
      </c>
      <c r="AN94" s="2">
        <f t="shared" si="28"/>
        <v>0</v>
      </c>
      <c r="AO94" s="2">
        <f t="shared" si="28"/>
        <v>0</v>
      </c>
      <c r="AP94" s="2">
        <f t="shared" si="28"/>
        <v>0</v>
      </c>
      <c r="AQ94" s="2">
        <f t="shared" si="28"/>
        <v>0</v>
      </c>
      <c r="AR94" s="2">
        <f t="shared" si="28"/>
        <v>0</v>
      </c>
      <c r="AS94" s="2">
        <f t="shared" si="28"/>
        <v>0</v>
      </c>
      <c r="AT94" s="2">
        <f t="shared" si="28"/>
        <v>0</v>
      </c>
      <c r="AU94" s="2">
        <f t="shared" si="28"/>
        <v>0</v>
      </c>
      <c r="AV94" s="2">
        <f t="shared" si="28"/>
        <v>0</v>
      </c>
      <c r="AW94" s="2">
        <f t="shared" si="28"/>
        <v>0</v>
      </c>
      <c r="AX94" s="2">
        <f t="shared" si="28"/>
        <v>0</v>
      </c>
      <c r="AY94" s="2">
        <f t="shared" si="28"/>
        <v>0</v>
      </c>
      <c r="AZ94" s="2">
        <f t="shared" si="28"/>
        <v>0</v>
      </c>
      <c r="BA94" s="2">
        <f t="shared" si="28"/>
        <v>0</v>
      </c>
      <c r="BB94" s="2">
        <f t="shared" si="28"/>
        <v>0</v>
      </c>
    </row>
    <row r="95" spans="1:54">
      <c r="A95" s="2"/>
      <c r="B95" s="2"/>
      <c r="C95" s="2"/>
      <c r="D95" s="2"/>
      <c r="E95" s="2"/>
      <c r="F95" s="2"/>
      <c r="G95" s="2"/>
      <c r="H95" s="2"/>
      <c r="I95" s="2"/>
      <c r="J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54" s="14" customFormat="1">
      <c r="A96" s="15" t="s">
        <v>85</v>
      </c>
      <c r="B96" s="15">
        <v>1</v>
      </c>
      <c r="C96" s="15">
        <v>0.95</v>
      </c>
      <c r="D96" s="15">
        <v>0.9</v>
      </c>
      <c r="E96" s="15">
        <v>0.85</v>
      </c>
      <c r="F96" s="15">
        <v>0.8</v>
      </c>
      <c r="G96" s="15">
        <v>0.75</v>
      </c>
      <c r="H96" s="15">
        <v>0.7</v>
      </c>
      <c r="I96" s="15">
        <v>0.65</v>
      </c>
      <c r="J96" s="15">
        <v>0.6</v>
      </c>
      <c r="K96" s="15">
        <v>0.55000000000000004</v>
      </c>
      <c r="L96" s="15">
        <v>0.5</v>
      </c>
      <c r="M96" s="15">
        <v>0.45</v>
      </c>
      <c r="N96" s="15">
        <v>0.4</v>
      </c>
      <c r="O96" s="15">
        <v>0.35</v>
      </c>
      <c r="P96" s="15">
        <v>0.3</v>
      </c>
      <c r="Q96" s="15">
        <v>0.25</v>
      </c>
      <c r="R96" s="15">
        <v>0.2</v>
      </c>
      <c r="S96" s="15">
        <v>0.15</v>
      </c>
      <c r="T96" s="15">
        <v>9.9999999999999922E-2</v>
      </c>
      <c r="U96" s="15">
        <v>0.05</v>
      </c>
      <c r="V96" s="15">
        <v>0</v>
      </c>
      <c r="W96" s="15">
        <v>0.05</v>
      </c>
      <c r="X96" s="15">
        <v>0.1</v>
      </c>
      <c r="Y96" s="15">
        <v>0.15</v>
      </c>
      <c r="Z96" s="15">
        <v>0.2</v>
      </c>
      <c r="AA96" s="15">
        <v>0.25</v>
      </c>
      <c r="AB96" s="15">
        <v>0.3</v>
      </c>
      <c r="AC96" s="15">
        <v>0.35</v>
      </c>
      <c r="AD96" s="15">
        <v>0.4</v>
      </c>
      <c r="AE96" s="15">
        <v>0.45</v>
      </c>
      <c r="AF96" s="15">
        <v>0.5</v>
      </c>
      <c r="AG96" s="15">
        <v>0.55000000000000004</v>
      </c>
      <c r="AH96" s="15">
        <v>0.6</v>
      </c>
      <c r="AI96" s="15">
        <v>0.65</v>
      </c>
      <c r="AJ96" s="15">
        <v>0.7</v>
      </c>
      <c r="AK96" s="15">
        <v>0.75</v>
      </c>
      <c r="AL96" s="15">
        <v>0.8</v>
      </c>
      <c r="AM96" s="15">
        <v>0.85</v>
      </c>
      <c r="AN96" s="15">
        <v>0.9</v>
      </c>
      <c r="AO96" s="15">
        <v>0.95</v>
      </c>
      <c r="AP96" s="15"/>
    </row>
    <row r="97" spans="1:44" s="14" customFormat="1">
      <c r="A97" s="14" t="s">
        <v>86</v>
      </c>
      <c r="B97" s="14">
        <v>0.95</v>
      </c>
      <c r="C97" s="15">
        <v>0.9</v>
      </c>
      <c r="D97" s="14">
        <v>0.85</v>
      </c>
      <c r="E97" s="15">
        <v>0.8</v>
      </c>
      <c r="F97" s="14">
        <v>0.75</v>
      </c>
      <c r="G97" s="15">
        <v>0.7</v>
      </c>
      <c r="H97" s="14">
        <v>0.65</v>
      </c>
      <c r="I97" s="15">
        <v>0.6</v>
      </c>
      <c r="J97" s="14">
        <v>0.55000000000000004</v>
      </c>
      <c r="K97" s="15">
        <v>0.5</v>
      </c>
      <c r="L97" s="14">
        <v>0.45</v>
      </c>
      <c r="M97" s="15">
        <v>0.4</v>
      </c>
      <c r="N97" s="14">
        <v>0.35</v>
      </c>
      <c r="O97" s="15">
        <v>0.3</v>
      </c>
      <c r="P97" s="14">
        <v>0.25</v>
      </c>
      <c r="Q97" s="15">
        <v>0.2</v>
      </c>
      <c r="R97" s="14">
        <v>0.15</v>
      </c>
      <c r="S97" s="15">
        <v>0.1</v>
      </c>
      <c r="T97" s="14">
        <v>0.05</v>
      </c>
      <c r="U97" s="15">
        <v>0</v>
      </c>
      <c r="V97" s="15">
        <v>0.05</v>
      </c>
      <c r="W97" s="15">
        <v>0.1</v>
      </c>
      <c r="X97" s="14">
        <v>0.15</v>
      </c>
      <c r="Y97" s="15">
        <v>0.2</v>
      </c>
      <c r="Z97" s="15">
        <v>0.25</v>
      </c>
      <c r="AA97" s="15">
        <v>0.3</v>
      </c>
      <c r="AB97" s="14">
        <v>0.35</v>
      </c>
      <c r="AC97" s="15">
        <v>0.4</v>
      </c>
      <c r="AD97" s="15">
        <v>0.45</v>
      </c>
      <c r="AE97" s="15">
        <v>0.5</v>
      </c>
      <c r="AF97" s="14">
        <v>0.55000000000000004</v>
      </c>
      <c r="AG97" s="15">
        <v>0.6</v>
      </c>
      <c r="AH97" s="15">
        <v>0.65</v>
      </c>
      <c r="AI97" s="15">
        <v>0.7</v>
      </c>
      <c r="AJ97" s="14">
        <v>0.75</v>
      </c>
      <c r="AK97" s="15">
        <v>0.8</v>
      </c>
      <c r="AL97" s="15">
        <v>0.85</v>
      </c>
      <c r="AM97" s="15">
        <v>0.9</v>
      </c>
      <c r="AN97" s="14">
        <v>0.95</v>
      </c>
      <c r="AO97" s="15">
        <v>1</v>
      </c>
      <c r="AP97" s="15"/>
      <c r="AQ97" s="15"/>
      <c r="AR97" s="15"/>
    </row>
    <row r="98" spans="1:44" s="14" customFormat="1">
      <c r="A98" s="14" t="s">
        <v>87</v>
      </c>
      <c r="B98" s="14">
        <v>0.97499999999999998</v>
      </c>
      <c r="C98" s="15">
        <v>0.92500000000000004</v>
      </c>
      <c r="D98" s="14">
        <v>0.875</v>
      </c>
      <c r="E98" s="15">
        <v>0.82499999999999996</v>
      </c>
      <c r="F98" s="14">
        <v>0.77500000000000002</v>
      </c>
      <c r="G98" s="15">
        <v>0.72499999999999998</v>
      </c>
      <c r="H98" s="14">
        <v>0.67500000000000004</v>
      </c>
      <c r="I98" s="15">
        <v>0.625</v>
      </c>
      <c r="J98" s="14">
        <v>0.57499999999999996</v>
      </c>
      <c r="K98" s="15">
        <v>0.52500000000000002</v>
      </c>
      <c r="L98" s="14">
        <v>0.47499999999999998</v>
      </c>
      <c r="M98" s="15">
        <v>0.42499999999999999</v>
      </c>
      <c r="N98" s="14">
        <v>0.375</v>
      </c>
      <c r="O98" s="15">
        <v>0.32500000000000001</v>
      </c>
      <c r="P98" s="14">
        <v>0.27500000000000002</v>
      </c>
      <c r="Q98" s="15">
        <v>0.22500000000000001</v>
      </c>
      <c r="R98" s="14">
        <v>0.17499999999999999</v>
      </c>
      <c r="S98" s="15">
        <v>0.125</v>
      </c>
      <c r="T98" s="14">
        <v>7.4999999999999997E-2</v>
      </c>
      <c r="U98" s="15">
        <v>2.5000000000000001E-2</v>
      </c>
      <c r="V98" s="14">
        <v>2.5000000000000001E-2</v>
      </c>
      <c r="W98" s="15">
        <v>7.4999999999999997E-2</v>
      </c>
      <c r="X98" s="14">
        <v>0.125</v>
      </c>
      <c r="Y98" s="15">
        <v>0.17499999999999999</v>
      </c>
      <c r="Z98" s="14">
        <v>0.22500000000000001</v>
      </c>
      <c r="AA98" s="15">
        <v>0.27500000000000002</v>
      </c>
      <c r="AB98" s="14">
        <v>0.32500000000000001</v>
      </c>
      <c r="AC98" s="15">
        <v>0.375</v>
      </c>
      <c r="AD98" s="14">
        <v>0.42499999999999999</v>
      </c>
      <c r="AE98" s="15">
        <v>0.47499999999999998</v>
      </c>
      <c r="AF98" s="14">
        <v>0.52500000000000002</v>
      </c>
      <c r="AG98" s="15">
        <v>0.57499999999999996</v>
      </c>
      <c r="AH98" s="14">
        <v>0.625</v>
      </c>
      <c r="AI98" s="15">
        <v>0.67500000000000004</v>
      </c>
      <c r="AJ98" s="14">
        <v>0.72499999999999998</v>
      </c>
      <c r="AK98" s="15">
        <v>0.77500000000000002</v>
      </c>
      <c r="AL98" s="14">
        <v>0.82499999999999996</v>
      </c>
      <c r="AM98" s="15">
        <v>0.875</v>
      </c>
      <c r="AN98" s="14">
        <v>0.92500000000000004</v>
      </c>
      <c r="AO98" s="15">
        <v>0.97499999999999998</v>
      </c>
    </row>
    <row r="99" spans="1:44">
      <c r="A99" s="3"/>
      <c r="B99" s="3"/>
      <c r="C99" s="2"/>
      <c r="D99" s="3"/>
      <c r="E99" s="2"/>
      <c r="F99" s="3"/>
      <c r="G99" s="2"/>
      <c r="H99" s="3"/>
      <c r="I99" s="2"/>
      <c r="J99" s="3"/>
      <c r="K99" s="2"/>
      <c r="L99" s="3"/>
      <c r="M99" s="2"/>
      <c r="N99" s="3"/>
      <c r="O99" s="2"/>
      <c r="P99" s="3"/>
      <c r="Q99" s="2"/>
      <c r="S99" s="2"/>
      <c r="U99" s="2"/>
      <c r="W99" s="2"/>
      <c r="Y99" s="2"/>
      <c r="AA99" s="2"/>
      <c r="AC99" s="2"/>
      <c r="AE99" s="2"/>
      <c r="AG99" s="2"/>
      <c r="AI99" s="2"/>
      <c r="AK99" s="2"/>
      <c r="AM99" s="2"/>
      <c r="AN99" s="1" t="s">
        <v>88</v>
      </c>
      <c r="AO99" s="2"/>
    </row>
    <row r="100" spans="1:44">
      <c r="A100" s="1" t="s">
        <v>89</v>
      </c>
      <c r="B100" s="1">
        <v>1</v>
      </c>
      <c r="C100" s="1">
        <f t="shared" ref="C100:AO100" si="29">B100+1</f>
        <v>2</v>
      </c>
      <c r="D100" s="1">
        <f t="shared" si="29"/>
        <v>3</v>
      </c>
      <c r="E100" s="1">
        <f t="shared" si="29"/>
        <v>4</v>
      </c>
      <c r="F100" s="1">
        <f t="shared" si="29"/>
        <v>5</v>
      </c>
      <c r="G100" s="1">
        <f t="shared" si="29"/>
        <v>6</v>
      </c>
      <c r="H100" s="1">
        <f t="shared" si="29"/>
        <v>7</v>
      </c>
      <c r="I100" s="1">
        <f t="shared" si="29"/>
        <v>8</v>
      </c>
      <c r="J100" s="1">
        <f t="shared" si="29"/>
        <v>9</v>
      </c>
      <c r="K100" s="1">
        <f t="shared" si="29"/>
        <v>10</v>
      </c>
      <c r="L100" s="1">
        <f t="shared" si="29"/>
        <v>11</v>
      </c>
      <c r="M100" s="1">
        <f t="shared" si="29"/>
        <v>12</v>
      </c>
      <c r="N100" s="1">
        <f t="shared" si="29"/>
        <v>13</v>
      </c>
      <c r="O100" s="1">
        <f t="shared" si="29"/>
        <v>14</v>
      </c>
      <c r="P100" s="1">
        <f t="shared" si="29"/>
        <v>15</v>
      </c>
      <c r="Q100" s="1">
        <f t="shared" si="29"/>
        <v>16</v>
      </c>
      <c r="R100" s="1">
        <f t="shared" si="29"/>
        <v>17</v>
      </c>
      <c r="S100" s="1">
        <f t="shared" si="29"/>
        <v>18</v>
      </c>
      <c r="T100" s="1">
        <f t="shared" si="29"/>
        <v>19</v>
      </c>
      <c r="U100" s="1">
        <f t="shared" si="29"/>
        <v>20</v>
      </c>
      <c r="V100" s="1">
        <f t="shared" si="29"/>
        <v>21</v>
      </c>
      <c r="W100" s="1">
        <f t="shared" si="29"/>
        <v>22</v>
      </c>
      <c r="X100" s="1">
        <f t="shared" si="29"/>
        <v>23</v>
      </c>
      <c r="Y100" s="1">
        <f t="shared" si="29"/>
        <v>24</v>
      </c>
      <c r="Z100" s="1">
        <f t="shared" si="29"/>
        <v>25</v>
      </c>
      <c r="AA100" s="1">
        <f t="shared" si="29"/>
        <v>26</v>
      </c>
      <c r="AB100" s="1">
        <f t="shared" si="29"/>
        <v>27</v>
      </c>
      <c r="AC100" s="1">
        <f t="shared" si="29"/>
        <v>28</v>
      </c>
      <c r="AD100" s="1">
        <f t="shared" si="29"/>
        <v>29</v>
      </c>
      <c r="AE100" s="1">
        <f t="shared" si="29"/>
        <v>30</v>
      </c>
      <c r="AF100" s="1">
        <f t="shared" si="29"/>
        <v>31</v>
      </c>
      <c r="AG100" s="1">
        <f t="shared" si="29"/>
        <v>32</v>
      </c>
      <c r="AH100" s="1">
        <f t="shared" si="29"/>
        <v>33</v>
      </c>
      <c r="AI100" s="1">
        <f t="shared" si="29"/>
        <v>34</v>
      </c>
      <c r="AJ100" s="1">
        <f t="shared" si="29"/>
        <v>35</v>
      </c>
      <c r="AK100" s="1">
        <f t="shared" si="29"/>
        <v>36</v>
      </c>
      <c r="AL100" s="1">
        <f t="shared" si="29"/>
        <v>37</v>
      </c>
      <c r="AM100" s="1">
        <f t="shared" si="29"/>
        <v>38</v>
      </c>
      <c r="AN100" s="1">
        <f t="shared" si="29"/>
        <v>39</v>
      </c>
      <c r="AO100" s="1">
        <f t="shared" si="29"/>
        <v>40</v>
      </c>
      <c r="AP100" s="1" t="s">
        <v>89</v>
      </c>
    </row>
    <row r="101" spans="1:44">
      <c r="C101" s="2"/>
      <c r="E101" s="2"/>
      <c r="G101" s="2"/>
      <c r="I101" s="2"/>
      <c r="K101" s="2"/>
      <c r="M101" s="2"/>
      <c r="O101" s="2"/>
      <c r="Q101" s="2"/>
      <c r="S101" s="2"/>
      <c r="U101" s="2"/>
      <c r="W101" s="2"/>
      <c r="Y101" s="2"/>
      <c r="AA101" s="2"/>
      <c r="AC101" s="2"/>
      <c r="AE101" s="2"/>
      <c r="AG101" s="2"/>
      <c r="AI101" s="2"/>
      <c r="AK101" s="2"/>
      <c r="AM101" s="2"/>
      <c r="AO101" s="2"/>
    </row>
    <row r="102" spans="1:44" s="71" customFormat="1" ht="13">
      <c r="A102" s="71" t="s">
        <v>90</v>
      </c>
      <c r="B102" s="71">
        <f t="shared" ref="B102:AO102" si="30">-((($F$35-$F$34)/($B$35-$B$34)*(B96-$B$34)+$F$34)*(B96&lt;=$B$35)+(($F$36-$F$35)/($B$36-$B$35)*(B96-$B$35)+$F$35)*(B96&gt;$B$35)*(B96&lt;=$B$36)+(($F$37-$F$36)/($B$37-$B$36)*(B96-$B$36)+$F$36)*(B96&gt;$B$36)*(B96&lt;=$B$37)+(($F$38-$F$37)/($B$38-$B$37)*(B96-$B$37)+$F$37)*(B96&gt;$B$37))</f>
        <v>-4.738154613466336E-2</v>
      </c>
      <c r="C102" s="71">
        <f t="shared" si="30"/>
        <v>-4.2687668583642945E-2</v>
      </c>
      <c r="D102" s="71">
        <f t="shared" si="30"/>
        <v>-3.7993791032622543E-2</v>
      </c>
      <c r="E102" s="71">
        <f t="shared" si="30"/>
        <v>-3.3299913481602127E-2</v>
      </c>
      <c r="F102" s="71">
        <f t="shared" si="30"/>
        <v>-2.8606035930581725E-2</v>
      </c>
      <c r="G102" s="71">
        <f t="shared" si="30"/>
        <v>-2.4062275817306057E-2</v>
      </c>
      <c r="H102" s="71">
        <f t="shared" si="30"/>
        <v>-2.0706111433744408E-2</v>
      </c>
      <c r="I102" s="71">
        <f t="shared" si="30"/>
        <v>-1.7349947050182769E-2</v>
      </c>
      <c r="J102" s="71">
        <f t="shared" si="30"/>
        <v>-1.3993782666621121E-2</v>
      </c>
      <c r="K102" s="71">
        <f t="shared" si="30"/>
        <v>-1.0637618283059482E-2</v>
      </c>
      <c r="L102" s="71">
        <f t="shared" si="30"/>
        <v>-7.2814538994978332E-3</v>
      </c>
      <c r="M102" s="71">
        <f t="shared" si="30"/>
        <v>-3.9252895159361898E-3</v>
      </c>
      <c r="N102" s="71">
        <f t="shared" si="30"/>
        <v>-5.6912513237454576E-4</v>
      </c>
      <c r="O102" s="71">
        <f t="shared" si="30"/>
        <v>0</v>
      </c>
      <c r="P102" s="71">
        <f t="shared" si="30"/>
        <v>0</v>
      </c>
      <c r="Q102" s="71">
        <f t="shared" si="30"/>
        <v>0</v>
      </c>
      <c r="R102" s="71">
        <f t="shared" si="30"/>
        <v>0</v>
      </c>
      <c r="S102" s="71">
        <f t="shared" si="30"/>
        <v>0</v>
      </c>
      <c r="T102" s="71">
        <f t="shared" si="30"/>
        <v>0</v>
      </c>
      <c r="U102" s="71">
        <f t="shared" si="30"/>
        <v>0</v>
      </c>
      <c r="V102" s="71">
        <f t="shared" si="30"/>
        <v>0</v>
      </c>
      <c r="W102" s="71">
        <f t="shared" si="30"/>
        <v>0</v>
      </c>
      <c r="X102" s="71">
        <f t="shared" si="30"/>
        <v>0</v>
      </c>
      <c r="Y102" s="71">
        <f t="shared" si="30"/>
        <v>0</v>
      </c>
      <c r="Z102" s="71">
        <f t="shared" si="30"/>
        <v>0</v>
      </c>
      <c r="AA102" s="71">
        <f t="shared" si="30"/>
        <v>0</v>
      </c>
      <c r="AB102" s="71">
        <f t="shared" si="30"/>
        <v>0</v>
      </c>
      <c r="AC102" s="71">
        <f t="shared" si="30"/>
        <v>0</v>
      </c>
      <c r="AD102" s="71">
        <f t="shared" si="30"/>
        <v>-5.6912513237454576E-4</v>
      </c>
      <c r="AE102" s="71">
        <f t="shared" si="30"/>
        <v>-3.9252895159361898E-3</v>
      </c>
      <c r="AF102" s="71">
        <f t="shared" si="30"/>
        <v>-7.2814538994978332E-3</v>
      </c>
      <c r="AG102" s="71">
        <f t="shared" si="30"/>
        <v>-1.0637618283059482E-2</v>
      </c>
      <c r="AH102" s="71">
        <f t="shared" si="30"/>
        <v>-1.3993782666621121E-2</v>
      </c>
      <c r="AI102" s="71">
        <f t="shared" si="30"/>
        <v>-1.7349947050182769E-2</v>
      </c>
      <c r="AJ102" s="71">
        <f t="shared" si="30"/>
        <v>-2.0706111433744408E-2</v>
      </c>
      <c r="AK102" s="71">
        <f t="shared" si="30"/>
        <v>-2.4062275817306057E-2</v>
      </c>
      <c r="AL102" s="71">
        <f t="shared" si="30"/>
        <v>-2.8606035930581725E-2</v>
      </c>
      <c r="AM102" s="71">
        <f t="shared" si="30"/>
        <v>-3.3299913481602127E-2</v>
      </c>
      <c r="AN102" s="71">
        <f t="shared" si="30"/>
        <v>-3.7993791032622543E-2</v>
      </c>
      <c r="AO102" s="71">
        <f t="shared" si="30"/>
        <v>-4.2687668583642945E-2</v>
      </c>
    </row>
    <row r="103" spans="1:44" s="71" customFormat="1" ht="13">
      <c r="A103" s="71" t="s">
        <v>91</v>
      </c>
      <c r="B103" s="71">
        <f t="shared" ref="B103:AO103" si="31">-((($F$35-$F$34)/($B$35-$B$34)*(B97-$B$34)+$F$34)*(B97&lt;=$B$35)+(($F$36-$F$35)/($B$36-$B$35)*(B97-$B$35)+$F$35)*(B97&gt;$B$35)*(B97&lt;=$B$36)+(($F$37-$F$36)/($B$37-$B$36)*(B97-$B$36)+$F$36)*(B97&gt;$B$36)*(B97&lt;=$B$37)+(($F$38-$F$37)/($B$38-$B$37)*(B97-$B$37)+$F$37)*(B97&gt;$B$37))</f>
        <v>-4.2687668583642945E-2</v>
      </c>
      <c r="C103" s="71">
        <f t="shared" si="31"/>
        <v>-3.7993791032622543E-2</v>
      </c>
      <c r="D103" s="71">
        <f t="shared" si="31"/>
        <v>-3.3299913481602127E-2</v>
      </c>
      <c r="E103" s="71">
        <f t="shared" si="31"/>
        <v>-2.8606035930581725E-2</v>
      </c>
      <c r="F103" s="71">
        <f t="shared" si="31"/>
        <v>-2.4062275817306057E-2</v>
      </c>
      <c r="G103" s="71">
        <f t="shared" si="31"/>
        <v>-2.0706111433744408E-2</v>
      </c>
      <c r="H103" s="71">
        <f t="shared" si="31"/>
        <v>-1.7349947050182769E-2</v>
      </c>
      <c r="I103" s="71">
        <f t="shared" si="31"/>
        <v>-1.3993782666621121E-2</v>
      </c>
      <c r="J103" s="71">
        <f t="shared" si="31"/>
        <v>-1.0637618283059482E-2</v>
      </c>
      <c r="K103" s="71">
        <f t="shared" si="31"/>
        <v>-7.2814538994978332E-3</v>
      </c>
      <c r="L103" s="71">
        <f t="shared" si="31"/>
        <v>-3.9252895159361898E-3</v>
      </c>
      <c r="M103" s="71">
        <f t="shared" si="31"/>
        <v>-5.6912513237454576E-4</v>
      </c>
      <c r="N103" s="71">
        <f t="shared" si="31"/>
        <v>0</v>
      </c>
      <c r="O103" s="71">
        <f t="shared" si="31"/>
        <v>0</v>
      </c>
      <c r="P103" s="71">
        <f t="shared" si="31"/>
        <v>0</v>
      </c>
      <c r="Q103" s="71">
        <f t="shared" si="31"/>
        <v>0</v>
      </c>
      <c r="R103" s="71">
        <f t="shared" si="31"/>
        <v>0</v>
      </c>
      <c r="S103" s="71">
        <f t="shared" si="31"/>
        <v>0</v>
      </c>
      <c r="T103" s="71">
        <f t="shared" si="31"/>
        <v>0</v>
      </c>
      <c r="U103" s="71">
        <f t="shared" si="31"/>
        <v>0</v>
      </c>
      <c r="V103" s="71">
        <f t="shared" si="31"/>
        <v>0</v>
      </c>
      <c r="W103" s="71">
        <f t="shared" si="31"/>
        <v>0</v>
      </c>
      <c r="X103" s="71">
        <f t="shared" si="31"/>
        <v>0</v>
      </c>
      <c r="Y103" s="71">
        <f t="shared" si="31"/>
        <v>0</v>
      </c>
      <c r="Z103" s="71">
        <f t="shared" si="31"/>
        <v>0</v>
      </c>
      <c r="AA103" s="71">
        <f t="shared" si="31"/>
        <v>0</v>
      </c>
      <c r="AB103" s="71">
        <f t="shared" si="31"/>
        <v>0</v>
      </c>
      <c r="AC103" s="71">
        <f t="shared" si="31"/>
        <v>-5.6912513237454576E-4</v>
      </c>
      <c r="AD103" s="71">
        <f t="shared" si="31"/>
        <v>-3.9252895159361898E-3</v>
      </c>
      <c r="AE103" s="71">
        <f t="shared" si="31"/>
        <v>-7.2814538994978332E-3</v>
      </c>
      <c r="AF103" s="71">
        <f t="shared" si="31"/>
        <v>-1.0637618283059482E-2</v>
      </c>
      <c r="AG103" s="71">
        <f t="shared" si="31"/>
        <v>-1.3993782666621121E-2</v>
      </c>
      <c r="AH103" s="71">
        <f t="shared" si="31"/>
        <v>-1.7349947050182769E-2</v>
      </c>
      <c r="AI103" s="71">
        <f t="shared" si="31"/>
        <v>-2.0706111433744408E-2</v>
      </c>
      <c r="AJ103" s="71">
        <f t="shared" si="31"/>
        <v>-2.4062275817306057E-2</v>
      </c>
      <c r="AK103" s="71">
        <f t="shared" si="31"/>
        <v>-2.8606035930581725E-2</v>
      </c>
      <c r="AL103" s="71">
        <f t="shared" si="31"/>
        <v>-3.3299913481602127E-2</v>
      </c>
      <c r="AM103" s="71">
        <f t="shared" si="31"/>
        <v>-3.7993791032622543E-2</v>
      </c>
      <c r="AN103" s="71">
        <f t="shared" si="31"/>
        <v>-4.2687668583642945E-2</v>
      </c>
      <c r="AO103" s="71">
        <f t="shared" si="31"/>
        <v>-4.738154613466336E-2</v>
      </c>
    </row>
    <row r="104" spans="1:44" s="71" customFormat="1" ht="13">
      <c r="A104" s="71" t="s">
        <v>92</v>
      </c>
      <c r="B104" s="71">
        <f t="shared" ref="B104:AO104" si="32">-((($F$35-$F$34)/($B$35-$B$34)*(B98-$B$34)+$F$34)*(B98&lt;=$B$35)+(($F$36-$F$35)/($B$36-$B$35)*(B98-$B$35)+$F$35)*(B98&gt;$B$35)*(B98&lt;=$B$36)+(($F$37-$F$36)/($B$37-$B$36)*(B98-$B$36)+$F$36)*(B98&gt;$B$36)*(B98&lt;=$B$37)+(($F$38-$F$37)/($B$38-$B$37)*(B98-$B$37)+$F$37)*(B98&gt;$B$37))</f>
        <v>-4.5034607359153156E-2</v>
      </c>
      <c r="C104" s="71">
        <f t="shared" si="32"/>
        <v>-4.0340729808132747E-2</v>
      </c>
      <c r="D104" s="71">
        <f t="shared" si="32"/>
        <v>-3.5646852257112338E-2</v>
      </c>
      <c r="E104" s="71">
        <f t="shared" si="32"/>
        <v>-3.0952974706091922E-2</v>
      </c>
      <c r="F104" s="71">
        <f t="shared" si="32"/>
        <v>-2.6259097155071517E-2</v>
      </c>
      <c r="G104" s="71">
        <f t="shared" si="32"/>
        <v>-2.2384193625525232E-2</v>
      </c>
      <c r="H104" s="71">
        <f t="shared" si="32"/>
        <v>-1.9028029241963593E-2</v>
      </c>
      <c r="I104" s="71">
        <f t="shared" si="32"/>
        <v>-1.5671864858401944E-2</v>
      </c>
      <c r="J104" s="71">
        <f t="shared" si="32"/>
        <v>-1.2315700474840298E-2</v>
      </c>
      <c r="K104" s="71">
        <f t="shared" si="32"/>
        <v>-8.9595360912786571E-3</v>
      </c>
      <c r="L104" s="71">
        <f t="shared" si="32"/>
        <v>-5.6033717077170093E-3</v>
      </c>
      <c r="M104" s="71">
        <f t="shared" si="32"/>
        <v>-2.2472073241553659E-3</v>
      </c>
      <c r="N104" s="71">
        <f t="shared" si="32"/>
        <v>0</v>
      </c>
      <c r="O104" s="71">
        <f t="shared" si="32"/>
        <v>0</v>
      </c>
      <c r="P104" s="71">
        <f t="shared" si="32"/>
        <v>0</v>
      </c>
      <c r="Q104" s="71">
        <f t="shared" si="32"/>
        <v>0</v>
      </c>
      <c r="R104" s="71">
        <f t="shared" si="32"/>
        <v>0</v>
      </c>
      <c r="S104" s="71">
        <f t="shared" si="32"/>
        <v>0</v>
      </c>
      <c r="T104" s="71">
        <f t="shared" si="32"/>
        <v>0</v>
      </c>
      <c r="U104" s="71">
        <f t="shared" si="32"/>
        <v>0</v>
      </c>
      <c r="V104" s="71">
        <f t="shared" si="32"/>
        <v>0</v>
      </c>
      <c r="W104" s="71">
        <f t="shared" si="32"/>
        <v>0</v>
      </c>
      <c r="X104" s="71">
        <f t="shared" si="32"/>
        <v>0</v>
      </c>
      <c r="Y104" s="71">
        <f t="shared" si="32"/>
        <v>0</v>
      </c>
      <c r="Z104" s="71">
        <f t="shared" si="32"/>
        <v>0</v>
      </c>
      <c r="AA104" s="71">
        <f t="shared" si="32"/>
        <v>0</v>
      </c>
      <c r="AB104" s="71">
        <f t="shared" si="32"/>
        <v>0</v>
      </c>
      <c r="AC104" s="71">
        <f t="shared" si="32"/>
        <v>0</v>
      </c>
      <c r="AD104" s="71">
        <f t="shared" si="32"/>
        <v>-2.2472073241553659E-3</v>
      </c>
      <c r="AE104" s="71">
        <f t="shared" si="32"/>
        <v>-5.6033717077170093E-3</v>
      </c>
      <c r="AF104" s="71">
        <f t="shared" si="32"/>
        <v>-8.9595360912786571E-3</v>
      </c>
      <c r="AG104" s="71">
        <f t="shared" si="32"/>
        <v>-1.2315700474840298E-2</v>
      </c>
      <c r="AH104" s="71">
        <f t="shared" si="32"/>
        <v>-1.5671864858401944E-2</v>
      </c>
      <c r="AI104" s="71">
        <f t="shared" si="32"/>
        <v>-1.9028029241963593E-2</v>
      </c>
      <c r="AJ104" s="71">
        <f t="shared" si="32"/>
        <v>-2.2384193625525232E-2</v>
      </c>
      <c r="AK104" s="71">
        <f t="shared" si="32"/>
        <v>-2.6259097155071517E-2</v>
      </c>
      <c r="AL104" s="71">
        <f t="shared" si="32"/>
        <v>-3.0952974706091922E-2</v>
      </c>
      <c r="AM104" s="71">
        <f t="shared" si="32"/>
        <v>-3.5646852257112338E-2</v>
      </c>
      <c r="AN104" s="71">
        <f t="shared" si="32"/>
        <v>-4.0340729808132747E-2</v>
      </c>
      <c r="AO104" s="71">
        <f t="shared" si="32"/>
        <v>-4.5034607359153156E-2</v>
      </c>
    </row>
    <row r="105" spans="1:44" ht="11.25" customHeight="1">
      <c r="C105" s="2"/>
      <c r="E105" s="2"/>
      <c r="G105" s="2"/>
      <c r="I105" s="2"/>
      <c r="K105" s="2"/>
      <c r="M105" s="2"/>
      <c r="O105" s="2"/>
      <c r="Q105" s="2"/>
      <c r="S105" s="2"/>
      <c r="U105" s="2"/>
      <c r="W105" s="2"/>
      <c r="Y105" s="2"/>
      <c r="AA105" s="2"/>
      <c r="AC105" s="2"/>
      <c r="AE105" s="2"/>
      <c r="AG105" s="2"/>
      <c r="AI105" s="2"/>
      <c r="AK105" s="2"/>
      <c r="AM105" s="2"/>
      <c r="AO105" s="2"/>
    </row>
    <row r="106" spans="1:44" s="14" customFormat="1">
      <c r="A106" s="14" t="s">
        <v>66</v>
      </c>
      <c r="B106" s="14">
        <f t="shared" ref="B106:AO106" si="33">B102+O66</f>
        <v>-0.11658354114713215</v>
      </c>
      <c r="C106" s="14">
        <f t="shared" si="33"/>
        <v>-0.12030803094305054</v>
      </c>
      <c r="D106" s="14">
        <f t="shared" si="33"/>
        <v>-0.12403252073896889</v>
      </c>
      <c r="E106" s="14">
        <f t="shared" si="33"/>
        <v>-0.12775701053488725</v>
      </c>
      <c r="F106" s="14">
        <f t="shared" si="33"/>
        <v>-0.13148150033080563</v>
      </c>
      <c r="G106" s="14">
        <f t="shared" si="33"/>
        <v>-0.13498787278379396</v>
      </c>
      <c r="H106" s="14">
        <f t="shared" si="33"/>
        <v>-0.13676869470160216</v>
      </c>
      <c r="I106" s="14">
        <f t="shared" si="33"/>
        <v>-0.1385495166194104</v>
      </c>
      <c r="J106" s="14">
        <f t="shared" si="33"/>
        <v>-0.1403303385372186</v>
      </c>
      <c r="K106" s="14">
        <f t="shared" si="33"/>
        <v>-0.14211116045502681</v>
      </c>
      <c r="L106" s="14">
        <f t="shared" si="33"/>
        <v>-0.14389198237283504</v>
      </c>
      <c r="M106" s="14">
        <f t="shared" si="33"/>
        <v>-0.14567280429064325</v>
      </c>
      <c r="N106" s="14">
        <f t="shared" si="33"/>
        <v>-0.14745362620845148</v>
      </c>
      <c r="O106" s="14">
        <f t="shared" si="33"/>
        <v>-0.14809280540686501</v>
      </c>
      <c r="P106" s="14">
        <f t="shared" si="33"/>
        <v>-0.148498856362279</v>
      </c>
      <c r="Q106" s="14">
        <f t="shared" si="33"/>
        <v>-0.14890490731769301</v>
      </c>
      <c r="R106" s="14">
        <f t="shared" si="33"/>
        <v>-0.14931095827310703</v>
      </c>
      <c r="S106" s="14">
        <f t="shared" si="33"/>
        <v>-0.14971700922852105</v>
      </c>
      <c r="T106" s="14">
        <f t="shared" si="33"/>
        <v>-0.15012306018393506</v>
      </c>
      <c r="U106" s="14">
        <f t="shared" si="33"/>
        <v>-0.15052911113934908</v>
      </c>
      <c r="V106" s="14">
        <f t="shared" si="33"/>
        <v>-0.1509351620947631</v>
      </c>
      <c r="W106" s="14">
        <f t="shared" si="33"/>
        <v>-0.15052911113934908</v>
      </c>
      <c r="X106" s="14">
        <f t="shared" si="33"/>
        <v>-0.15012306018393506</v>
      </c>
      <c r="Y106" s="14">
        <f t="shared" si="33"/>
        <v>-0.14971700922852105</v>
      </c>
      <c r="Z106" s="14">
        <f t="shared" si="33"/>
        <v>-0.14931095827310703</v>
      </c>
      <c r="AA106" s="14">
        <f t="shared" si="33"/>
        <v>-0.14890490731769301</v>
      </c>
      <c r="AB106" s="14">
        <f t="shared" si="33"/>
        <v>-0.148498856362279</v>
      </c>
      <c r="AC106" s="14">
        <f t="shared" si="33"/>
        <v>-0.14809280540686501</v>
      </c>
      <c r="AD106" s="14">
        <f t="shared" si="33"/>
        <v>-0.14745362620845148</v>
      </c>
      <c r="AE106" s="14">
        <f t="shared" si="33"/>
        <v>-0.14567280429064325</v>
      </c>
      <c r="AF106" s="14">
        <f t="shared" si="33"/>
        <v>-0.14389198237283504</v>
      </c>
      <c r="AG106" s="14">
        <f t="shared" si="33"/>
        <v>-0.14211116045502681</v>
      </c>
      <c r="AH106" s="14">
        <f t="shared" si="33"/>
        <v>-0.1403303385372186</v>
      </c>
      <c r="AI106" s="14">
        <f t="shared" si="33"/>
        <v>-0.1385495166194104</v>
      </c>
      <c r="AJ106" s="14">
        <f t="shared" si="33"/>
        <v>-0.13676869470160216</v>
      </c>
      <c r="AK106" s="14">
        <f t="shared" si="33"/>
        <v>-0.13498787278379396</v>
      </c>
      <c r="AL106" s="14">
        <f t="shared" si="33"/>
        <v>-0.13148150033080563</v>
      </c>
      <c r="AM106" s="14">
        <f t="shared" si="33"/>
        <v>-0.12775701053488725</v>
      </c>
      <c r="AN106" s="14">
        <f t="shared" si="33"/>
        <v>-0.12403252073896889</v>
      </c>
      <c r="AO106" s="14">
        <f t="shared" si="33"/>
        <v>-0.12030803094305054</v>
      </c>
    </row>
    <row r="107" spans="1:44" s="14" customFormat="1">
      <c r="A107" s="14" t="s">
        <v>93</v>
      </c>
      <c r="B107" s="14">
        <v>-1</v>
      </c>
      <c r="C107" s="15">
        <v>-0.95</v>
      </c>
      <c r="D107" s="14">
        <v>-0.9</v>
      </c>
      <c r="E107" s="15">
        <v>-0.85</v>
      </c>
      <c r="F107" s="14">
        <v>-0.8</v>
      </c>
      <c r="G107" s="15">
        <v>-0.75</v>
      </c>
      <c r="H107" s="14">
        <v>-0.7</v>
      </c>
      <c r="I107" s="15">
        <v>-0.65</v>
      </c>
      <c r="J107" s="14">
        <v>-0.6</v>
      </c>
      <c r="K107" s="15">
        <v>-0.55000000000000004</v>
      </c>
      <c r="L107" s="14">
        <v>-0.5</v>
      </c>
      <c r="M107" s="15">
        <v>-0.45</v>
      </c>
      <c r="N107" s="14">
        <v>-0.4</v>
      </c>
      <c r="O107" s="15">
        <v>-0.35</v>
      </c>
      <c r="P107" s="14">
        <v>-0.3</v>
      </c>
      <c r="Q107" s="15">
        <v>-0.25</v>
      </c>
      <c r="R107" s="14">
        <v>-0.2</v>
      </c>
      <c r="S107" s="15">
        <v>-0.15</v>
      </c>
      <c r="T107" s="14">
        <v>-0.1</v>
      </c>
      <c r="U107" s="15">
        <v>-0.05</v>
      </c>
      <c r="V107" s="14">
        <v>-2.2204460492503131E-16</v>
      </c>
      <c r="W107" s="15">
        <v>0.05</v>
      </c>
      <c r="X107" s="14">
        <v>9.9999999999999645E-2</v>
      </c>
      <c r="Y107" s="15">
        <v>0.15</v>
      </c>
      <c r="Z107" s="14">
        <v>0.2</v>
      </c>
      <c r="AA107" s="15">
        <v>0.25</v>
      </c>
      <c r="AB107" s="14">
        <v>0.3</v>
      </c>
      <c r="AC107" s="15">
        <v>0.35</v>
      </c>
      <c r="AD107" s="14">
        <v>0.4</v>
      </c>
      <c r="AE107" s="15">
        <v>0.45</v>
      </c>
      <c r="AF107" s="14">
        <v>0.5</v>
      </c>
      <c r="AG107" s="15">
        <v>0.55000000000000004</v>
      </c>
      <c r="AH107" s="14">
        <v>0.6</v>
      </c>
      <c r="AI107" s="15">
        <v>0.65</v>
      </c>
      <c r="AJ107" s="14">
        <v>0.7</v>
      </c>
      <c r="AK107" s="15">
        <v>0.75</v>
      </c>
      <c r="AL107" s="14">
        <v>0.8</v>
      </c>
      <c r="AM107" s="15">
        <v>0.85</v>
      </c>
      <c r="AN107" s="14">
        <v>0.89999999999999947</v>
      </c>
      <c r="AO107" s="15">
        <v>0.95</v>
      </c>
      <c r="AP107" s="14" t="s">
        <v>94</v>
      </c>
    </row>
    <row r="108" spans="1:44" s="14" customFormat="1">
      <c r="A108" s="14" t="s">
        <v>95</v>
      </c>
      <c r="B108" s="14">
        <f t="shared" ref="B108:AO108" si="34">B103+O67</f>
        <v>-0.12030803094305054</v>
      </c>
      <c r="C108" s="14">
        <f t="shared" si="34"/>
        <v>-0.12403252073896889</v>
      </c>
      <c r="D108" s="14">
        <f t="shared" si="34"/>
        <v>-0.12775701053488725</v>
      </c>
      <c r="E108" s="14">
        <f t="shared" si="34"/>
        <v>-0.13148150033080563</v>
      </c>
      <c r="F108" s="14">
        <f t="shared" si="34"/>
        <v>-0.13498787278379396</v>
      </c>
      <c r="G108" s="14">
        <f t="shared" si="34"/>
        <v>-0.13676869470160216</v>
      </c>
      <c r="H108" s="14">
        <f t="shared" si="34"/>
        <v>-0.1385495166194104</v>
      </c>
      <c r="I108" s="14">
        <f t="shared" si="34"/>
        <v>-0.1403303385372186</v>
      </c>
      <c r="J108" s="14">
        <f t="shared" si="34"/>
        <v>-0.14211116045502681</v>
      </c>
      <c r="K108" s="14">
        <f t="shared" si="34"/>
        <v>-0.14389198237283504</v>
      </c>
      <c r="L108" s="14">
        <f t="shared" si="34"/>
        <v>-0.14567280429064325</v>
      </c>
      <c r="M108" s="14">
        <f t="shared" si="34"/>
        <v>-0.14745362620845148</v>
      </c>
      <c r="N108" s="14">
        <f t="shared" si="34"/>
        <v>-0.14809280540686501</v>
      </c>
      <c r="O108" s="14">
        <f t="shared" si="34"/>
        <v>-0.148498856362279</v>
      </c>
      <c r="P108" s="14">
        <f t="shared" si="34"/>
        <v>-0.14890490731769301</v>
      </c>
      <c r="Q108" s="14">
        <f t="shared" si="34"/>
        <v>-0.14931095827310703</v>
      </c>
      <c r="R108" s="14">
        <f t="shared" si="34"/>
        <v>-0.14971700922852105</v>
      </c>
      <c r="S108" s="14">
        <f t="shared" si="34"/>
        <v>-0.15012306018393506</v>
      </c>
      <c r="T108" s="14">
        <f t="shared" si="34"/>
        <v>-0.15052911113934908</v>
      </c>
      <c r="U108" s="14">
        <f t="shared" si="34"/>
        <v>-0.1509351620947631</v>
      </c>
      <c r="V108" s="14">
        <f t="shared" si="34"/>
        <v>-0.15052911113934908</v>
      </c>
      <c r="W108" s="14">
        <f t="shared" si="34"/>
        <v>-0.15012306018393506</v>
      </c>
      <c r="X108" s="14">
        <f t="shared" si="34"/>
        <v>-0.14971700922852105</v>
      </c>
      <c r="Y108" s="14">
        <f t="shared" si="34"/>
        <v>-0.14931095827310703</v>
      </c>
      <c r="Z108" s="14">
        <f t="shared" si="34"/>
        <v>-0.14890490731769301</v>
      </c>
      <c r="AA108" s="14">
        <f t="shared" si="34"/>
        <v>-0.148498856362279</v>
      </c>
      <c r="AB108" s="14">
        <f t="shared" si="34"/>
        <v>-0.14809280540686501</v>
      </c>
      <c r="AC108" s="14">
        <f t="shared" si="34"/>
        <v>-0.14745362620845148</v>
      </c>
      <c r="AD108" s="14">
        <f t="shared" si="34"/>
        <v>-0.14567280429064325</v>
      </c>
      <c r="AE108" s="14">
        <f t="shared" si="34"/>
        <v>-0.14389198237283504</v>
      </c>
      <c r="AF108" s="14">
        <f t="shared" si="34"/>
        <v>-0.14211116045502681</v>
      </c>
      <c r="AG108" s="14">
        <f t="shared" si="34"/>
        <v>-0.1403303385372186</v>
      </c>
      <c r="AH108" s="14">
        <f t="shared" si="34"/>
        <v>-0.1385495166194104</v>
      </c>
      <c r="AI108" s="14">
        <f t="shared" si="34"/>
        <v>-0.13676869470160216</v>
      </c>
      <c r="AJ108" s="14">
        <f t="shared" si="34"/>
        <v>-0.13498787278379396</v>
      </c>
      <c r="AK108" s="14">
        <f t="shared" si="34"/>
        <v>-0.13148150033080563</v>
      </c>
      <c r="AL108" s="14">
        <f t="shared" si="34"/>
        <v>-0.12775701053488725</v>
      </c>
      <c r="AM108" s="14">
        <f t="shared" si="34"/>
        <v>-0.12403252073896889</v>
      </c>
      <c r="AN108" s="14">
        <f t="shared" si="34"/>
        <v>-0.12030803094305054</v>
      </c>
      <c r="AO108" s="14">
        <f t="shared" si="34"/>
        <v>-0.11658354114713215</v>
      </c>
      <c r="AP108" s="14" t="s">
        <v>95</v>
      </c>
    </row>
    <row r="109" spans="1:44" s="14" customFormat="1">
      <c r="A109" s="14" t="s">
        <v>96</v>
      </c>
      <c r="B109" s="14">
        <v>-0.95</v>
      </c>
      <c r="C109" s="14">
        <v>-0.9</v>
      </c>
      <c r="D109" s="15">
        <v>-0.85</v>
      </c>
      <c r="E109" s="14">
        <v>-0.8</v>
      </c>
      <c r="F109" s="15">
        <v>-0.75</v>
      </c>
      <c r="G109" s="14">
        <v>-0.7</v>
      </c>
      <c r="H109" s="15">
        <v>-0.65</v>
      </c>
      <c r="I109" s="14">
        <v>-0.6</v>
      </c>
      <c r="J109" s="15">
        <v>-0.55000000000000004</v>
      </c>
      <c r="K109" s="14">
        <v>-0.5</v>
      </c>
      <c r="L109" s="15">
        <v>-0.45</v>
      </c>
      <c r="M109" s="14">
        <v>-0.4</v>
      </c>
      <c r="N109" s="15">
        <v>-0.35</v>
      </c>
      <c r="O109" s="14">
        <v>-0.3</v>
      </c>
      <c r="P109" s="15">
        <v>-0.25</v>
      </c>
      <c r="Q109" s="14">
        <v>-0.2</v>
      </c>
      <c r="R109" s="15">
        <v>-0.15</v>
      </c>
      <c r="S109" s="14">
        <v>-0.1</v>
      </c>
      <c r="T109" s="15">
        <v>-0.05</v>
      </c>
      <c r="U109" s="14">
        <v>-2.2204460492503131E-16</v>
      </c>
      <c r="V109" s="15">
        <v>0.05</v>
      </c>
      <c r="W109" s="14">
        <v>9.9999999999999645E-2</v>
      </c>
      <c r="X109" s="15">
        <v>0.15</v>
      </c>
      <c r="Y109" s="14">
        <v>0.2</v>
      </c>
      <c r="Z109" s="15">
        <v>0.25</v>
      </c>
      <c r="AA109" s="14">
        <v>0.3</v>
      </c>
      <c r="AB109" s="15">
        <v>0.35</v>
      </c>
      <c r="AC109" s="14">
        <v>0.4</v>
      </c>
      <c r="AD109" s="15">
        <v>0.45</v>
      </c>
      <c r="AE109" s="14">
        <v>0.5</v>
      </c>
      <c r="AF109" s="15">
        <v>0.55000000000000004</v>
      </c>
      <c r="AG109" s="14">
        <v>0.6</v>
      </c>
      <c r="AH109" s="15">
        <v>0.65</v>
      </c>
      <c r="AI109" s="14">
        <v>0.7</v>
      </c>
      <c r="AJ109" s="15">
        <v>0.75</v>
      </c>
      <c r="AK109" s="14">
        <v>0.8</v>
      </c>
      <c r="AL109" s="15">
        <v>0.85</v>
      </c>
      <c r="AM109" s="14">
        <v>0.89999999999999947</v>
      </c>
      <c r="AN109" s="15">
        <v>0.95</v>
      </c>
      <c r="AO109" s="15">
        <v>1</v>
      </c>
      <c r="AP109" s="14" t="s">
        <v>96</v>
      </c>
    </row>
    <row r="110" spans="1:44" s="14" customFormat="1">
      <c r="A110" s="14" t="s">
        <v>97</v>
      </c>
      <c r="B110" s="14">
        <f t="shared" ref="B110:AO110" si="35">O68+B104</f>
        <v>-6.9505000254465876E-2</v>
      </c>
      <c r="C110" s="14">
        <f t="shared" si="35"/>
        <v>-6.7617245152425065E-2</v>
      </c>
      <c r="D110" s="14">
        <f t="shared" si="35"/>
        <v>-6.5729490050384254E-2</v>
      </c>
      <c r="E110" s="14">
        <f t="shared" si="35"/>
        <v>-6.3841734948343415E-2</v>
      </c>
      <c r="F110" s="14">
        <f t="shared" si="35"/>
        <v>-6.1892607382856818E-2</v>
      </c>
      <c r="G110" s="14">
        <f t="shared" si="35"/>
        <v>-6.0215556997916177E-2</v>
      </c>
      <c r="H110" s="14">
        <f t="shared" si="35"/>
        <v>-5.8571721381477815E-2</v>
      </c>
      <c r="I110" s="14">
        <f t="shared" si="35"/>
        <v>-5.692788576503946E-2</v>
      </c>
      <c r="J110" s="14">
        <f t="shared" si="35"/>
        <v>-5.5284050148601098E-2</v>
      </c>
      <c r="K110" s="14">
        <f t="shared" si="35"/>
        <v>-5.364021453216275E-2</v>
      </c>
      <c r="L110" s="14">
        <f t="shared" si="35"/>
        <v>-5.1996378915724381E-2</v>
      </c>
      <c r="M110" s="14">
        <f t="shared" si="35"/>
        <v>-5.0352543299286033E-2</v>
      </c>
      <c r="N110" s="14">
        <f t="shared" si="35"/>
        <v>-4.916288441382366E-2</v>
      </c>
      <c r="O110" s="14">
        <f t="shared" si="35"/>
        <v>-4.9431943628190672E-2</v>
      </c>
      <c r="P110" s="14">
        <f t="shared" si="35"/>
        <v>-4.9567293946662004E-2</v>
      </c>
      <c r="Q110" s="14">
        <f t="shared" si="35"/>
        <v>-4.9702644265133343E-2</v>
      </c>
      <c r="R110" s="14">
        <f t="shared" si="35"/>
        <v>-4.9837994583604682E-2</v>
      </c>
      <c r="S110" s="14">
        <f t="shared" si="35"/>
        <v>-4.9973344902076014E-2</v>
      </c>
      <c r="T110" s="14">
        <f t="shared" si="35"/>
        <v>-5.0108695220547353E-2</v>
      </c>
      <c r="U110" s="14">
        <f t="shared" si="35"/>
        <v>-5.0244045539018692E-2</v>
      </c>
      <c r="V110" s="14">
        <f t="shared" si="35"/>
        <v>-5.0244045539018692E-2</v>
      </c>
      <c r="W110" s="14">
        <f t="shared" si="35"/>
        <v>-5.0108695220547353E-2</v>
      </c>
      <c r="X110" s="14">
        <f t="shared" si="35"/>
        <v>-4.9973344902076014E-2</v>
      </c>
      <c r="Y110" s="14">
        <f t="shared" si="35"/>
        <v>-4.9837994583604682E-2</v>
      </c>
      <c r="Z110" s="14">
        <f t="shared" si="35"/>
        <v>-4.9702644265133343E-2</v>
      </c>
      <c r="AA110" s="14">
        <f t="shared" si="35"/>
        <v>-4.9567293946662004E-2</v>
      </c>
      <c r="AB110" s="14">
        <f t="shared" si="35"/>
        <v>-4.9431943628190672E-2</v>
      </c>
      <c r="AC110" s="14">
        <f t="shared" si="35"/>
        <v>-4.916288441382366E-2</v>
      </c>
      <c r="AD110" s="14">
        <f t="shared" si="35"/>
        <v>-5.0352543299286033E-2</v>
      </c>
      <c r="AE110" s="14">
        <f t="shared" si="35"/>
        <v>-5.1996378915724381E-2</v>
      </c>
      <c r="AF110" s="14">
        <f t="shared" si="35"/>
        <v>-5.364021453216275E-2</v>
      </c>
      <c r="AG110" s="14">
        <f t="shared" si="35"/>
        <v>-5.5284050148601098E-2</v>
      </c>
      <c r="AH110" s="14">
        <f t="shared" si="35"/>
        <v>-5.692788576503946E-2</v>
      </c>
      <c r="AI110" s="14">
        <f t="shared" si="35"/>
        <v>-5.8571721381477815E-2</v>
      </c>
      <c r="AJ110" s="14">
        <f t="shared" si="35"/>
        <v>-6.0215556997916177E-2</v>
      </c>
      <c r="AK110" s="14">
        <f t="shared" si="35"/>
        <v>-6.1892607382856818E-2</v>
      </c>
      <c r="AL110" s="14">
        <f t="shared" si="35"/>
        <v>-6.3841734948343415E-2</v>
      </c>
      <c r="AM110" s="14">
        <f t="shared" si="35"/>
        <v>-6.5729490050384254E-2</v>
      </c>
      <c r="AN110" s="14">
        <f t="shared" si="35"/>
        <v>-6.7617245152425065E-2</v>
      </c>
      <c r="AO110" s="14">
        <f t="shared" si="35"/>
        <v>-6.9505000254465876E-2</v>
      </c>
      <c r="AP110" s="14" t="s">
        <v>97</v>
      </c>
    </row>
    <row r="111" spans="1:44" s="14" customFormat="1">
      <c r="A111" s="14" t="s">
        <v>98</v>
      </c>
      <c r="B111" s="14">
        <f t="shared" ref="B111:AO111" si="36">(B107+B109)/2</f>
        <v>-0.97499999999999998</v>
      </c>
      <c r="C111" s="14">
        <f t="shared" si="36"/>
        <v>-0.92500000000000004</v>
      </c>
      <c r="D111" s="14">
        <f t="shared" si="36"/>
        <v>-0.875</v>
      </c>
      <c r="E111" s="14">
        <f t="shared" si="36"/>
        <v>-0.82499999999999996</v>
      </c>
      <c r="F111" s="14">
        <f t="shared" si="36"/>
        <v>-0.77500000000000002</v>
      </c>
      <c r="G111" s="14">
        <f t="shared" si="36"/>
        <v>-0.72499999999999998</v>
      </c>
      <c r="H111" s="14">
        <f t="shared" si="36"/>
        <v>-0.67500000000000004</v>
      </c>
      <c r="I111" s="14">
        <f t="shared" si="36"/>
        <v>-0.625</v>
      </c>
      <c r="J111" s="14">
        <f t="shared" si="36"/>
        <v>-0.57499999999999996</v>
      </c>
      <c r="K111" s="14">
        <f t="shared" si="36"/>
        <v>-0.52500000000000002</v>
      </c>
      <c r="L111" s="14">
        <f t="shared" si="36"/>
        <v>-0.47499999999999998</v>
      </c>
      <c r="M111" s="14">
        <f t="shared" si="36"/>
        <v>-0.42500000000000004</v>
      </c>
      <c r="N111" s="14">
        <f t="shared" si="36"/>
        <v>-0.375</v>
      </c>
      <c r="O111" s="14">
        <f t="shared" si="36"/>
        <v>-0.32499999999999996</v>
      </c>
      <c r="P111" s="14">
        <f t="shared" si="36"/>
        <v>-0.27500000000000002</v>
      </c>
      <c r="Q111" s="14">
        <f t="shared" si="36"/>
        <v>-0.22500000000000001</v>
      </c>
      <c r="R111" s="14">
        <f t="shared" si="36"/>
        <v>-0.17499999999999999</v>
      </c>
      <c r="S111" s="14">
        <f t="shared" si="36"/>
        <v>-0.125</v>
      </c>
      <c r="T111" s="14">
        <f t="shared" si="36"/>
        <v>-7.5000000000000011E-2</v>
      </c>
      <c r="U111" s="14">
        <f t="shared" si="36"/>
        <v>-2.5000000000000112E-2</v>
      </c>
      <c r="V111" s="14">
        <f t="shared" si="36"/>
        <v>2.499999999999989E-2</v>
      </c>
      <c r="W111" s="14">
        <f t="shared" si="36"/>
        <v>7.4999999999999817E-2</v>
      </c>
      <c r="X111" s="14">
        <f t="shared" si="36"/>
        <v>0.12499999999999982</v>
      </c>
      <c r="Y111" s="14">
        <f t="shared" si="36"/>
        <v>0.17499999999999999</v>
      </c>
      <c r="Z111" s="14">
        <f t="shared" si="36"/>
        <v>0.22500000000000001</v>
      </c>
      <c r="AA111" s="14">
        <f t="shared" si="36"/>
        <v>0.27500000000000002</v>
      </c>
      <c r="AB111" s="14">
        <f t="shared" si="36"/>
        <v>0.32499999999999996</v>
      </c>
      <c r="AC111" s="14">
        <f t="shared" si="36"/>
        <v>0.375</v>
      </c>
      <c r="AD111" s="14">
        <f t="shared" si="36"/>
        <v>0.42500000000000004</v>
      </c>
      <c r="AE111" s="14">
        <f t="shared" si="36"/>
        <v>0.47499999999999998</v>
      </c>
      <c r="AF111" s="14">
        <f t="shared" si="36"/>
        <v>0.52500000000000002</v>
      </c>
      <c r="AG111" s="14">
        <f t="shared" si="36"/>
        <v>0.57499999999999996</v>
      </c>
      <c r="AH111" s="14">
        <f t="shared" si="36"/>
        <v>0.625</v>
      </c>
      <c r="AI111" s="14">
        <f t="shared" si="36"/>
        <v>0.67500000000000004</v>
      </c>
      <c r="AJ111" s="14">
        <f t="shared" si="36"/>
        <v>0.72499999999999998</v>
      </c>
      <c r="AK111" s="14">
        <f t="shared" si="36"/>
        <v>0.77500000000000002</v>
      </c>
      <c r="AL111" s="14">
        <f t="shared" si="36"/>
        <v>0.82499999999999996</v>
      </c>
      <c r="AM111" s="14">
        <f t="shared" si="36"/>
        <v>0.87499999999999978</v>
      </c>
      <c r="AN111" s="14">
        <f t="shared" si="36"/>
        <v>0.92499999999999971</v>
      </c>
      <c r="AO111" s="14">
        <f t="shared" si="36"/>
        <v>0.97499999999999998</v>
      </c>
      <c r="AP111" s="14" t="s">
        <v>98</v>
      </c>
    </row>
    <row r="112" spans="1:44" s="2" customFormat="1" ht="9.75" customHeight="1"/>
    <row r="113" spans="1:42" s="14" customFormat="1">
      <c r="A113" s="14" t="s">
        <v>99</v>
      </c>
      <c r="B113" s="14">
        <f t="shared" ref="B113:AO113" si="37">O63</f>
        <v>9.7881571581250909E-2</v>
      </c>
      <c r="C113" s="14">
        <f t="shared" si="37"/>
        <v>0.10910606137716929</v>
      </c>
      <c r="D113" s="14">
        <f t="shared" si="37"/>
        <v>0.12033055117308765</v>
      </c>
      <c r="E113" s="14">
        <f t="shared" si="37"/>
        <v>0.131555040969006</v>
      </c>
      <c r="F113" s="14">
        <f t="shared" si="37"/>
        <v>0.14253404091114119</v>
      </c>
      <c r="G113" s="14">
        <f t="shared" si="37"/>
        <v>0.15132545348956378</v>
      </c>
      <c r="H113" s="14">
        <f t="shared" si="37"/>
        <v>0.1581747685580569</v>
      </c>
      <c r="I113" s="14">
        <f t="shared" si="37"/>
        <v>0.16502408362655008</v>
      </c>
      <c r="J113" s="14">
        <f t="shared" si="37"/>
        <v>0.1718733986950432</v>
      </c>
      <c r="K113" s="14">
        <f t="shared" si="37"/>
        <v>0.17872271376353638</v>
      </c>
      <c r="L113" s="14">
        <f t="shared" si="37"/>
        <v>0.1855720288320295</v>
      </c>
      <c r="M113" s="14">
        <f t="shared" si="37"/>
        <v>0.19242134390052268</v>
      </c>
      <c r="N113" s="14">
        <f t="shared" si="37"/>
        <v>0.19665153765529464</v>
      </c>
      <c r="O113" s="14">
        <f t="shared" si="37"/>
        <v>0.19772777451276269</v>
      </c>
      <c r="P113" s="14">
        <f t="shared" si="37"/>
        <v>0.19826917578664802</v>
      </c>
      <c r="Q113" s="14">
        <f t="shared" si="37"/>
        <v>0.19881057706053337</v>
      </c>
      <c r="R113" s="14">
        <f t="shared" si="37"/>
        <v>0.19935197833441873</v>
      </c>
      <c r="S113" s="14">
        <f t="shared" si="37"/>
        <v>0.19989337960830406</v>
      </c>
      <c r="T113" s="14">
        <f t="shared" si="37"/>
        <v>0.20043478088218941</v>
      </c>
      <c r="U113" s="14">
        <f t="shared" si="37"/>
        <v>0.20097618215607477</v>
      </c>
      <c r="V113" s="14">
        <f t="shared" si="37"/>
        <v>0.20097618215607477</v>
      </c>
      <c r="W113" s="14">
        <f t="shared" si="37"/>
        <v>0.20043478088218941</v>
      </c>
      <c r="X113" s="14">
        <f t="shared" si="37"/>
        <v>0.19989337960830406</v>
      </c>
      <c r="Y113" s="14">
        <f t="shared" si="37"/>
        <v>0.19935197833441873</v>
      </c>
      <c r="Z113" s="14">
        <f t="shared" si="37"/>
        <v>0.19881057706053337</v>
      </c>
      <c r="AA113" s="14">
        <f t="shared" si="37"/>
        <v>0.19826917578664802</v>
      </c>
      <c r="AB113" s="14">
        <f t="shared" si="37"/>
        <v>0.19772777451276269</v>
      </c>
      <c r="AC113" s="14">
        <f t="shared" si="37"/>
        <v>0.19665153765529464</v>
      </c>
      <c r="AD113" s="14">
        <f t="shared" si="37"/>
        <v>0.19242134390052268</v>
      </c>
      <c r="AE113" s="14">
        <f t="shared" si="37"/>
        <v>0.1855720288320295</v>
      </c>
      <c r="AF113" s="14">
        <f t="shared" si="37"/>
        <v>0.17872271376353638</v>
      </c>
      <c r="AG113" s="14">
        <f t="shared" si="37"/>
        <v>0.1718733986950432</v>
      </c>
      <c r="AH113" s="14">
        <f t="shared" si="37"/>
        <v>0.16502408362655008</v>
      </c>
      <c r="AI113" s="14">
        <f t="shared" si="37"/>
        <v>0.1581747685580569</v>
      </c>
      <c r="AJ113" s="14">
        <f t="shared" si="37"/>
        <v>0.15132545348956378</v>
      </c>
      <c r="AK113" s="14">
        <f t="shared" si="37"/>
        <v>0.14253404091114119</v>
      </c>
      <c r="AL113" s="14">
        <f t="shared" si="37"/>
        <v>0.131555040969006</v>
      </c>
      <c r="AM113" s="14">
        <f t="shared" si="37"/>
        <v>0.12033055117308765</v>
      </c>
      <c r="AN113" s="14">
        <f t="shared" si="37"/>
        <v>0.10910606137716929</v>
      </c>
      <c r="AO113" s="14">
        <f t="shared" si="37"/>
        <v>9.7881571581250909E-2</v>
      </c>
      <c r="AP113" s="14" t="s">
        <v>99</v>
      </c>
    </row>
    <row r="114" spans="1:42" s="14" customFormat="1" ht="13" thickBot="1">
      <c r="A114" s="14" t="s">
        <v>100</v>
      </c>
      <c r="B114" s="14">
        <f t="shared" ref="B114:AO114" si="38">O82</f>
        <v>0.17975567190226879</v>
      </c>
      <c r="C114" s="14">
        <f t="shared" si="38"/>
        <v>0.17975567190226879</v>
      </c>
      <c r="D114" s="14">
        <f t="shared" si="38"/>
        <v>0.17975567190226879</v>
      </c>
      <c r="E114" s="14">
        <f t="shared" si="38"/>
        <v>0.17975567190226879</v>
      </c>
      <c r="F114" s="14">
        <f t="shared" si="38"/>
        <v>0.17975567190226879</v>
      </c>
      <c r="G114" s="14">
        <f t="shared" si="38"/>
        <v>0.17975567190226879</v>
      </c>
      <c r="H114" s="14">
        <f t="shared" si="38"/>
        <v>0.17975567190226879</v>
      </c>
      <c r="I114" s="14">
        <f t="shared" si="38"/>
        <v>0.17975567190226879</v>
      </c>
      <c r="J114" s="14">
        <f t="shared" si="38"/>
        <v>0.17975567190226879</v>
      </c>
      <c r="K114" s="14">
        <f t="shared" si="38"/>
        <v>0.17975567190226879</v>
      </c>
      <c r="L114" s="14">
        <f t="shared" si="38"/>
        <v>0.17975567190226879</v>
      </c>
      <c r="M114" s="14">
        <f t="shared" si="38"/>
        <v>0.17975567190226879</v>
      </c>
      <c r="N114" s="14">
        <f t="shared" si="38"/>
        <v>0.17975567190226879</v>
      </c>
      <c r="O114" s="14">
        <f t="shared" si="38"/>
        <v>0.17975567190226879</v>
      </c>
      <c r="P114" s="14">
        <f t="shared" si="38"/>
        <v>0.17975567190226879</v>
      </c>
      <c r="Q114" s="14">
        <f t="shared" si="38"/>
        <v>0.17975567190226879</v>
      </c>
      <c r="R114" s="14">
        <f t="shared" si="38"/>
        <v>0.17975567190226879</v>
      </c>
      <c r="S114" s="14">
        <f t="shared" si="38"/>
        <v>0.17975567190226879</v>
      </c>
      <c r="T114" s="14">
        <f t="shared" si="38"/>
        <v>0.17975567190226879</v>
      </c>
      <c r="U114" s="14">
        <f t="shared" si="38"/>
        <v>0.17975567190226879</v>
      </c>
      <c r="V114" s="14">
        <f t="shared" si="38"/>
        <v>0.17975567190226879</v>
      </c>
      <c r="W114" s="14">
        <f t="shared" si="38"/>
        <v>0.17975567190226879</v>
      </c>
      <c r="X114" s="14">
        <f t="shared" si="38"/>
        <v>0.17975567190226879</v>
      </c>
      <c r="Y114" s="14">
        <f t="shared" si="38"/>
        <v>0.17975567190226879</v>
      </c>
      <c r="Z114" s="14">
        <f t="shared" si="38"/>
        <v>0.17975567190226879</v>
      </c>
      <c r="AA114" s="14">
        <f t="shared" si="38"/>
        <v>0.17975567190226879</v>
      </c>
      <c r="AB114" s="14">
        <f t="shared" si="38"/>
        <v>0.17975567190226879</v>
      </c>
      <c r="AC114" s="14">
        <f t="shared" si="38"/>
        <v>0.17975567190226879</v>
      </c>
      <c r="AD114" s="14">
        <f t="shared" si="38"/>
        <v>0.17975567190226879</v>
      </c>
      <c r="AE114" s="14">
        <f t="shared" si="38"/>
        <v>0.17975567190226879</v>
      </c>
      <c r="AF114" s="14">
        <f t="shared" si="38"/>
        <v>0.17975567190226879</v>
      </c>
      <c r="AG114" s="14">
        <f t="shared" si="38"/>
        <v>0.17975567190226879</v>
      </c>
      <c r="AH114" s="14">
        <f t="shared" si="38"/>
        <v>0.17975567190226879</v>
      </c>
      <c r="AI114" s="14">
        <f t="shared" si="38"/>
        <v>0.17975567190226879</v>
      </c>
      <c r="AJ114" s="14">
        <f t="shared" si="38"/>
        <v>0.17975567190226879</v>
      </c>
      <c r="AK114" s="14">
        <f t="shared" si="38"/>
        <v>0.17975567190226879</v>
      </c>
      <c r="AL114" s="14">
        <f t="shared" si="38"/>
        <v>0.17975567190226879</v>
      </c>
      <c r="AM114" s="14">
        <f t="shared" si="38"/>
        <v>0.17975567190226879</v>
      </c>
      <c r="AN114" s="14">
        <f t="shared" si="38"/>
        <v>0.17975567190226879</v>
      </c>
      <c r="AO114" s="14">
        <f t="shared" si="38"/>
        <v>0.17975567190226879</v>
      </c>
      <c r="AP114" s="14" t="s">
        <v>101</v>
      </c>
    </row>
    <row r="115" spans="1:42">
      <c r="A115" s="16" t="s">
        <v>102</v>
      </c>
      <c r="B115" s="17">
        <v>-0.97499999999999998</v>
      </c>
      <c r="C115" s="18">
        <v>-0.92500000000000004</v>
      </c>
      <c r="D115" s="17">
        <v>-0.875</v>
      </c>
      <c r="E115" s="18">
        <v>-0.82499999999999996</v>
      </c>
      <c r="F115" s="17">
        <v>-0.77500000000000002</v>
      </c>
      <c r="G115" s="18">
        <v>-0.72499999999999998</v>
      </c>
      <c r="H115" s="17">
        <v>-0.67500000000000004</v>
      </c>
      <c r="I115" s="18">
        <v>-0.625</v>
      </c>
      <c r="J115" s="17">
        <v>-0.57499999999999996</v>
      </c>
      <c r="K115" s="18">
        <v>-0.52500000000000002</v>
      </c>
      <c r="L115" s="17">
        <v>-0.47499999999999998</v>
      </c>
      <c r="M115" s="18">
        <v>-0.42499999999999999</v>
      </c>
      <c r="N115" s="17">
        <v>-0.375</v>
      </c>
      <c r="O115" s="18">
        <v>-0.32500000000000001</v>
      </c>
      <c r="P115" s="17">
        <v>-0.27500000000000002</v>
      </c>
      <c r="Q115" s="18">
        <v>-0.22500000000000001</v>
      </c>
      <c r="R115" s="17">
        <v>-0.17499999999999999</v>
      </c>
      <c r="S115" s="18">
        <v>-0.125</v>
      </c>
      <c r="T115" s="17">
        <v>-7.4999999999999997E-2</v>
      </c>
      <c r="U115" s="18">
        <v>-2.5000000000000001E-2</v>
      </c>
      <c r="V115" s="17">
        <v>2.5000000000000001E-2</v>
      </c>
      <c r="W115" s="18">
        <v>7.4999999999999997E-2</v>
      </c>
      <c r="X115" s="17">
        <v>0.125</v>
      </c>
      <c r="Y115" s="18">
        <v>0.17499999999999999</v>
      </c>
      <c r="Z115" s="17">
        <v>0.22500000000000001</v>
      </c>
      <c r="AA115" s="18">
        <v>0.27500000000000002</v>
      </c>
      <c r="AB115" s="17">
        <v>0.32500000000000001</v>
      </c>
      <c r="AC115" s="18">
        <v>0.375</v>
      </c>
      <c r="AD115" s="17">
        <v>0.42499999999999999</v>
      </c>
      <c r="AE115" s="18">
        <v>0.47499999999999998</v>
      </c>
      <c r="AF115" s="17">
        <v>0.52500000000000002</v>
      </c>
      <c r="AG115" s="18">
        <v>0.57499999999999996</v>
      </c>
      <c r="AH115" s="17">
        <v>0.625</v>
      </c>
      <c r="AI115" s="18">
        <v>0.67500000000000004</v>
      </c>
      <c r="AJ115" s="17">
        <v>0.72499999999999998</v>
      </c>
      <c r="AK115" s="18">
        <v>0.77500000000000002</v>
      </c>
      <c r="AL115" s="17">
        <v>0.82499999999999996</v>
      </c>
      <c r="AM115" s="18">
        <v>0.875</v>
      </c>
      <c r="AN115" s="17">
        <v>0.92500000000000004</v>
      </c>
      <c r="AO115" s="19">
        <v>0.97499999999999998</v>
      </c>
    </row>
    <row r="116" spans="1:42">
      <c r="A116" s="20" t="s">
        <v>103</v>
      </c>
      <c r="B116" s="1">
        <f>$AT$636</f>
        <v>3.2666898717096347E-2</v>
      </c>
      <c r="C116" s="1">
        <f>$AT$637</f>
        <v>4.5589270064448705E-2</v>
      </c>
      <c r="D116" s="1">
        <f>$AT$638</f>
        <v>5.4157908117984897E-2</v>
      </c>
      <c r="E116" s="1">
        <f>$AT$639</f>
        <v>6.0849856658951255E-2</v>
      </c>
      <c r="F116" s="1">
        <f>$AT$640</f>
        <v>6.6436462737512025E-2</v>
      </c>
      <c r="G116" s="1">
        <f>$AT$641</f>
        <v>7.1186011854448186E-2</v>
      </c>
      <c r="H116" s="1">
        <f>$AT$642</f>
        <v>7.5323186752413479E-2</v>
      </c>
      <c r="I116" s="1">
        <f>$AT$643</f>
        <v>7.9009095538562932E-2</v>
      </c>
      <c r="J116" s="1">
        <f>$AT$644</f>
        <v>8.233438337383775E-2</v>
      </c>
      <c r="K116" s="1">
        <f>$AT$645</f>
        <v>8.533874206459019E-2</v>
      </c>
      <c r="L116" s="1">
        <f>$AT$646</f>
        <v>8.8025255755657089E-2</v>
      </c>
      <c r="M116" s="1">
        <f>$AT$647</f>
        <v>9.0364111307071351E-2</v>
      </c>
      <c r="N116" s="1">
        <f>$AT$648</f>
        <v>9.227284979662384E-2</v>
      </c>
      <c r="O116" s="1">
        <f>$AT$649</f>
        <v>9.3679100327366177E-2</v>
      </c>
      <c r="P116" s="1">
        <f>$AT$650</f>
        <v>9.4776199039732265E-2</v>
      </c>
      <c r="Q116" s="1">
        <f>$AT$651</f>
        <v>9.5629459336084438E-2</v>
      </c>
      <c r="R116" s="1">
        <f>$AT$652</f>
        <v>9.6281344634838936E-2</v>
      </c>
      <c r="S116" s="1">
        <f>$AT$653</f>
        <v>9.6756717814799886E-2</v>
      </c>
      <c r="T116" s="1">
        <f>$AT$654</f>
        <v>9.7067736384711972E-2</v>
      </c>
      <c r="U116" s="1">
        <f>$AT$655</f>
        <v>9.721827009995386E-2</v>
      </c>
      <c r="V116" s="1">
        <f>$AT$656</f>
        <v>9.7218270099953888E-2</v>
      </c>
      <c r="W116" s="1">
        <f>$AT$657</f>
        <v>9.7067736384712056E-2</v>
      </c>
      <c r="X116" s="1">
        <f>$AT$658</f>
        <v>9.6756717814799928E-2</v>
      </c>
      <c r="Y116" s="1">
        <f>$AT$659</f>
        <v>9.628134463483895E-2</v>
      </c>
      <c r="Z116" s="1">
        <f>$AT$660</f>
        <v>9.5629459336084383E-2</v>
      </c>
      <c r="AA116" s="1">
        <f>$AT$661</f>
        <v>9.4776199039732306E-2</v>
      </c>
      <c r="AB116" s="1">
        <f>$AT$662</f>
        <v>9.3679100327366163E-2</v>
      </c>
      <c r="AC116" s="1">
        <f>$AT$663</f>
        <v>9.2272849796623785E-2</v>
      </c>
      <c r="AD116" s="1">
        <f>$AT$664</f>
        <v>9.036411130707124E-2</v>
      </c>
      <c r="AE116" s="1">
        <f>$AT$665</f>
        <v>8.8025255755657075E-2</v>
      </c>
      <c r="AF116" s="1">
        <f>$AT$666</f>
        <v>8.5338742064590176E-2</v>
      </c>
      <c r="AG116" s="1">
        <f>$AT$667</f>
        <v>8.233438337383768E-2</v>
      </c>
      <c r="AH116" s="1">
        <f>$AT$668</f>
        <v>7.9009095538562904E-2</v>
      </c>
      <c r="AI116" s="1">
        <f>$AT$669</f>
        <v>7.5323186752413437E-2</v>
      </c>
      <c r="AJ116" s="1">
        <f>$AT$670</f>
        <v>7.1186011854448158E-2</v>
      </c>
      <c r="AK116" s="1">
        <f>$AT$671</f>
        <v>6.6436462737511984E-2</v>
      </c>
      <c r="AL116" s="1">
        <f>$AT$672</f>
        <v>6.0849856658951249E-2</v>
      </c>
      <c r="AM116" s="1">
        <f>$AT$673</f>
        <v>5.4157908117984904E-2</v>
      </c>
      <c r="AN116" s="1">
        <f>$AT$674</f>
        <v>4.5589270064448767E-2</v>
      </c>
      <c r="AO116" s="1">
        <f>$AT$675</f>
        <v>3.2666898717096375E-2</v>
      </c>
    </row>
    <row r="117" spans="1:42">
      <c r="A117" s="20" t="s">
        <v>102</v>
      </c>
      <c r="B117" s="1">
        <f t="shared" ref="B117:AO117" si="39">B115</f>
        <v>-0.97499999999999998</v>
      </c>
      <c r="C117" s="1">
        <f t="shared" si="39"/>
        <v>-0.92500000000000004</v>
      </c>
      <c r="D117" s="1">
        <f t="shared" si="39"/>
        <v>-0.875</v>
      </c>
      <c r="E117" s="1">
        <f t="shared" si="39"/>
        <v>-0.82499999999999996</v>
      </c>
      <c r="F117" s="1">
        <f t="shared" si="39"/>
        <v>-0.77500000000000002</v>
      </c>
      <c r="G117" s="1">
        <f t="shared" si="39"/>
        <v>-0.72499999999999998</v>
      </c>
      <c r="H117" s="1">
        <f t="shared" si="39"/>
        <v>-0.67500000000000004</v>
      </c>
      <c r="I117" s="1">
        <f t="shared" si="39"/>
        <v>-0.625</v>
      </c>
      <c r="J117" s="1">
        <f t="shared" si="39"/>
        <v>-0.57499999999999996</v>
      </c>
      <c r="K117" s="1">
        <f t="shared" si="39"/>
        <v>-0.52500000000000002</v>
      </c>
      <c r="L117" s="1">
        <f t="shared" si="39"/>
        <v>-0.47499999999999998</v>
      </c>
      <c r="M117" s="1">
        <f t="shared" si="39"/>
        <v>-0.42499999999999999</v>
      </c>
      <c r="N117" s="1">
        <f t="shared" si="39"/>
        <v>-0.375</v>
      </c>
      <c r="O117" s="1">
        <f t="shared" si="39"/>
        <v>-0.32500000000000001</v>
      </c>
      <c r="P117" s="1">
        <f t="shared" si="39"/>
        <v>-0.27500000000000002</v>
      </c>
      <c r="Q117" s="1">
        <f t="shared" si="39"/>
        <v>-0.22500000000000001</v>
      </c>
      <c r="R117" s="1">
        <f t="shared" si="39"/>
        <v>-0.17499999999999999</v>
      </c>
      <c r="S117" s="1">
        <f t="shared" si="39"/>
        <v>-0.125</v>
      </c>
      <c r="T117" s="1">
        <f t="shared" si="39"/>
        <v>-7.4999999999999997E-2</v>
      </c>
      <c r="U117" s="1">
        <f t="shared" si="39"/>
        <v>-2.5000000000000001E-2</v>
      </c>
      <c r="V117" s="1">
        <f t="shared" si="39"/>
        <v>2.5000000000000001E-2</v>
      </c>
      <c r="W117" s="1">
        <f t="shared" si="39"/>
        <v>7.4999999999999997E-2</v>
      </c>
      <c r="X117" s="1">
        <f t="shared" si="39"/>
        <v>0.125</v>
      </c>
      <c r="Y117" s="1">
        <f t="shared" si="39"/>
        <v>0.17499999999999999</v>
      </c>
      <c r="Z117" s="1">
        <f t="shared" si="39"/>
        <v>0.22500000000000001</v>
      </c>
      <c r="AA117" s="1">
        <f t="shared" si="39"/>
        <v>0.27500000000000002</v>
      </c>
      <c r="AB117" s="1">
        <f t="shared" si="39"/>
        <v>0.32500000000000001</v>
      </c>
      <c r="AC117" s="1">
        <f t="shared" si="39"/>
        <v>0.375</v>
      </c>
      <c r="AD117" s="1">
        <f t="shared" si="39"/>
        <v>0.42499999999999999</v>
      </c>
      <c r="AE117" s="1">
        <f t="shared" si="39"/>
        <v>0.47499999999999998</v>
      </c>
      <c r="AF117" s="1">
        <f t="shared" si="39"/>
        <v>0.52500000000000002</v>
      </c>
      <c r="AG117" s="1">
        <f t="shared" si="39"/>
        <v>0.57499999999999996</v>
      </c>
      <c r="AH117" s="1">
        <f t="shared" si="39"/>
        <v>0.625</v>
      </c>
      <c r="AI117" s="1">
        <f t="shared" si="39"/>
        <v>0.67500000000000004</v>
      </c>
      <c r="AJ117" s="1">
        <f t="shared" si="39"/>
        <v>0.72499999999999998</v>
      </c>
      <c r="AK117" s="1">
        <f t="shared" si="39"/>
        <v>0.77500000000000002</v>
      </c>
      <c r="AL117" s="1">
        <f t="shared" si="39"/>
        <v>0.82499999999999996</v>
      </c>
      <c r="AM117" s="1">
        <f t="shared" si="39"/>
        <v>0.875</v>
      </c>
      <c r="AN117" s="1">
        <f t="shared" si="39"/>
        <v>0.92500000000000004</v>
      </c>
      <c r="AO117" s="21">
        <f t="shared" si="39"/>
        <v>0.97499999999999998</v>
      </c>
    </row>
    <row r="118" spans="1:42">
      <c r="A118" s="20" t="s">
        <v>102</v>
      </c>
      <c r="B118" s="1">
        <f t="shared" ref="B118:AO118" si="40">B117*$B$15</f>
        <v>-39.097500000000004</v>
      </c>
      <c r="C118" s="1">
        <f t="shared" si="40"/>
        <v>-37.092500000000001</v>
      </c>
      <c r="D118" s="1">
        <f t="shared" si="40"/>
        <v>-35.087499999999999</v>
      </c>
      <c r="E118" s="1">
        <f t="shared" si="40"/>
        <v>-33.082499999999996</v>
      </c>
      <c r="F118" s="1">
        <f t="shared" si="40"/>
        <v>-31.077500000000001</v>
      </c>
      <c r="G118" s="1">
        <f t="shared" si="40"/>
        <v>-29.072500000000002</v>
      </c>
      <c r="H118" s="1">
        <f t="shared" si="40"/>
        <v>-27.067500000000003</v>
      </c>
      <c r="I118" s="1">
        <f t="shared" si="40"/>
        <v>-25.0625</v>
      </c>
      <c r="J118" s="1">
        <f t="shared" si="40"/>
        <v>-23.057499999999997</v>
      </c>
      <c r="K118" s="1">
        <f t="shared" si="40"/>
        <v>-21.052500000000002</v>
      </c>
      <c r="L118" s="1">
        <f t="shared" si="40"/>
        <v>-19.047499999999999</v>
      </c>
      <c r="M118" s="1">
        <f t="shared" si="40"/>
        <v>-17.0425</v>
      </c>
      <c r="N118" s="1">
        <f t="shared" si="40"/>
        <v>-15.037500000000001</v>
      </c>
      <c r="O118" s="1">
        <f t="shared" si="40"/>
        <v>-13.032500000000001</v>
      </c>
      <c r="P118" s="1">
        <f t="shared" si="40"/>
        <v>-11.027500000000002</v>
      </c>
      <c r="Q118" s="1">
        <f t="shared" si="40"/>
        <v>-9.0225000000000009</v>
      </c>
      <c r="R118" s="1">
        <f t="shared" si="40"/>
        <v>-7.0175000000000001</v>
      </c>
      <c r="S118" s="1">
        <f t="shared" si="40"/>
        <v>-5.0125000000000002</v>
      </c>
      <c r="T118" s="1">
        <f t="shared" si="40"/>
        <v>-3.0074999999999998</v>
      </c>
      <c r="U118" s="1">
        <f t="shared" si="40"/>
        <v>-1.0025000000000002</v>
      </c>
      <c r="V118" s="1">
        <f t="shared" si="40"/>
        <v>1.0025000000000002</v>
      </c>
      <c r="W118" s="1">
        <f t="shared" si="40"/>
        <v>3.0074999999999998</v>
      </c>
      <c r="X118" s="1">
        <f t="shared" si="40"/>
        <v>5.0125000000000002</v>
      </c>
      <c r="Y118" s="1">
        <f t="shared" si="40"/>
        <v>7.0175000000000001</v>
      </c>
      <c r="Z118" s="1">
        <f t="shared" si="40"/>
        <v>9.0225000000000009</v>
      </c>
      <c r="AA118" s="1">
        <f t="shared" si="40"/>
        <v>11.027500000000002</v>
      </c>
      <c r="AB118" s="1">
        <f t="shared" si="40"/>
        <v>13.032500000000001</v>
      </c>
      <c r="AC118" s="1">
        <f t="shared" si="40"/>
        <v>15.037500000000001</v>
      </c>
      <c r="AD118" s="1">
        <f t="shared" si="40"/>
        <v>17.0425</v>
      </c>
      <c r="AE118" s="1">
        <f t="shared" si="40"/>
        <v>19.047499999999999</v>
      </c>
      <c r="AF118" s="1">
        <f t="shared" si="40"/>
        <v>21.052500000000002</v>
      </c>
      <c r="AG118" s="1">
        <f t="shared" si="40"/>
        <v>23.057499999999997</v>
      </c>
      <c r="AH118" s="1">
        <f t="shared" si="40"/>
        <v>25.0625</v>
      </c>
      <c r="AI118" s="1">
        <f t="shared" si="40"/>
        <v>27.067500000000003</v>
      </c>
      <c r="AJ118" s="1">
        <f t="shared" si="40"/>
        <v>29.072500000000002</v>
      </c>
      <c r="AK118" s="1">
        <f t="shared" si="40"/>
        <v>31.077500000000001</v>
      </c>
      <c r="AL118" s="1">
        <f t="shared" si="40"/>
        <v>33.082499999999996</v>
      </c>
      <c r="AM118" s="1">
        <f t="shared" si="40"/>
        <v>35.087499999999999</v>
      </c>
      <c r="AN118" s="1">
        <f t="shared" si="40"/>
        <v>37.092500000000001</v>
      </c>
      <c r="AO118" s="21">
        <f t="shared" si="40"/>
        <v>39.097500000000004</v>
      </c>
    </row>
    <row r="119" spans="1:42" ht="13" thickBot="1">
      <c r="A119" s="22" t="s">
        <v>104</v>
      </c>
      <c r="B119" s="23">
        <f t="shared" ref="B119:AO119" si="41">2*B116/B113</f>
        <v>0.66747801837202314</v>
      </c>
      <c r="C119" s="23">
        <f t="shared" si="41"/>
        <v>0.83568721093965492</v>
      </c>
      <c r="D119" s="23">
        <f t="shared" si="41"/>
        <v>0.90015224878480415</v>
      </c>
      <c r="E119" s="23">
        <f t="shared" si="41"/>
        <v>0.92508589881078462</v>
      </c>
      <c r="F119" s="23">
        <f t="shared" si="41"/>
        <v>0.93221889048848272</v>
      </c>
      <c r="G119" s="23">
        <f t="shared" si="41"/>
        <v>0.94083328630972929</v>
      </c>
      <c r="H119" s="23">
        <f t="shared" si="41"/>
        <v>0.9524045767737811</v>
      </c>
      <c r="I119" s="23">
        <f t="shared" si="41"/>
        <v>0.95754624176384728</v>
      </c>
      <c r="J119" s="23">
        <f t="shared" si="41"/>
        <v>0.95808175085807812</v>
      </c>
      <c r="K119" s="23">
        <f t="shared" si="41"/>
        <v>0.9549848507504175</v>
      </c>
      <c r="L119" s="23">
        <f t="shared" si="41"/>
        <v>0.94869098871935209</v>
      </c>
      <c r="M119" s="23">
        <f t="shared" si="41"/>
        <v>0.93923168267432411</v>
      </c>
      <c r="N119" s="23">
        <f t="shared" si="41"/>
        <v>0.93844015558491611</v>
      </c>
      <c r="O119" s="23">
        <f t="shared" si="41"/>
        <v>0.94755631127906614</v>
      </c>
      <c r="P119" s="23">
        <f t="shared" si="41"/>
        <v>0.9560356385575367</v>
      </c>
      <c r="Q119" s="23">
        <f t="shared" si="41"/>
        <v>0.96201581173387374</v>
      </c>
      <c r="R119" s="23">
        <f t="shared" si="41"/>
        <v>0.96594320697760205</v>
      </c>
      <c r="S119" s="23">
        <f t="shared" si="41"/>
        <v>0.96808326523266586</v>
      </c>
      <c r="T119" s="23">
        <f t="shared" si="41"/>
        <v>0.96857178137926048</v>
      </c>
      <c r="U119" s="23">
        <f t="shared" si="41"/>
        <v>0.96746061206850631</v>
      </c>
      <c r="V119" s="23">
        <f t="shared" si="41"/>
        <v>0.96746061206850664</v>
      </c>
      <c r="W119" s="23">
        <f t="shared" si="41"/>
        <v>0.96857178137926137</v>
      </c>
      <c r="X119" s="23">
        <f t="shared" si="41"/>
        <v>0.9680832652326663</v>
      </c>
      <c r="Y119" s="23">
        <f t="shared" si="41"/>
        <v>0.96594320697760216</v>
      </c>
      <c r="Z119" s="23">
        <f t="shared" si="41"/>
        <v>0.96201581173387318</v>
      </c>
      <c r="AA119" s="23">
        <f t="shared" si="41"/>
        <v>0.95603563855753715</v>
      </c>
      <c r="AB119" s="23">
        <f t="shared" si="41"/>
        <v>0.94755631127906592</v>
      </c>
      <c r="AC119" s="23">
        <f t="shared" si="41"/>
        <v>0.93844015558491545</v>
      </c>
      <c r="AD119" s="23">
        <f t="shared" si="41"/>
        <v>0.93923168267432289</v>
      </c>
      <c r="AE119" s="23">
        <f t="shared" si="41"/>
        <v>0.94869098871935198</v>
      </c>
      <c r="AF119" s="23">
        <f t="shared" si="41"/>
        <v>0.95498485075041739</v>
      </c>
      <c r="AG119" s="23">
        <f t="shared" si="41"/>
        <v>0.95808175085807723</v>
      </c>
      <c r="AH119" s="23">
        <f t="shared" si="41"/>
        <v>0.95754624176384684</v>
      </c>
      <c r="AI119" s="23">
        <f t="shared" si="41"/>
        <v>0.95240457677378054</v>
      </c>
      <c r="AJ119" s="23">
        <f t="shared" si="41"/>
        <v>0.94083328630972884</v>
      </c>
      <c r="AK119" s="23">
        <f t="shared" si="41"/>
        <v>0.93221889048848217</v>
      </c>
      <c r="AL119" s="23">
        <f t="shared" si="41"/>
        <v>0.92508589881078451</v>
      </c>
      <c r="AM119" s="23">
        <f t="shared" si="41"/>
        <v>0.90015224878480427</v>
      </c>
      <c r="AN119" s="23">
        <f t="shared" si="41"/>
        <v>0.83568721093965614</v>
      </c>
      <c r="AO119" s="24">
        <f t="shared" si="41"/>
        <v>0.6674780183720237</v>
      </c>
    </row>
    <row r="120" spans="1:42">
      <c r="C120" s="2"/>
      <c r="E120" s="2"/>
      <c r="G120" s="2"/>
      <c r="I120" s="2"/>
      <c r="K120" s="2"/>
      <c r="M120" s="2"/>
      <c r="O120" s="2"/>
      <c r="Q120" s="2"/>
      <c r="S120" s="2"/>
      <c r="U120" s="2"/>
      <c r="W120" s="2"/>
      <c r="Y120" s="2"/>
      <c r="AA120" s="2"/>
      <c r="AC120" s="2"/>
      <c r="AE120" s="2"/>
      <c r="AG120" s="2"/>
      <c r="AI120" s="2"/>
      <c r="AK120" s="2"/>
      <c r="AM120" s="2"/>
      <c r="AO120" s="2"/>
    </row>
    <row r="121" spans="1:42">
      <c r="A121" s="1" t="str">
        <f t="shared" ref="A121:AO121" si="42">A115</f>
        <v>span station</v>
      </c>
      <c r="B121" s="1">
        <f t="shared" si="42"/>
        <v>-0.97499999999999998</v>
      </c>
      <c r="C121" s="1">
        <f t="shared" si="42"/>
        <v>-0.92500000000000004</v>
      </c>
      <c r="D121" s="1">
        <f t="shared" si="42"/>
        <v>-0.875</v>
      </c>
      <c r="E121" s="1">
        <f t="shared" si="42"/>
        <v>-0.82499999999999996</v>
      </c>
      <c r="F121" s="1">
        <f t="shared" si="42"/>
        <v>-0.77500000000000002</v>
      </c>
      <c r="G121" s="1">
        <f t="shared" si="42"/>
        <v>-0.72499999999999998</v>
      </c>
      <c r="H121" s="1">
        <f t="shared" si="42"/>
        <v>-0.67500000000000004</v>
      </c>
      <c r="I121" s="1">
        <f t="shared" si="42"/>
        <v>-0.625</v>
      </c>
      <c r="J121" s="1">
        <f t="shared" si="42"/>
        <v>-0.57499999999999996</v>
      </c>
      <c r="K121" s="1">
        <f t="shared" si="42"/>
        <v>-0.52500000000000002</v>
      </c>
      <c r="L121" s="1">
        <f t="shared" si="42"/>
        <v>-0.47499999999999998</v>
      </c>
      <c r="M121" s="1">
        <f t="shared" si="42"/>
        <v>-0.42499999999999999</v>
      </c>
      <c r="N121" s="1">
        <f t="shared" si="42"/>
        <v>-0.375</v>
      </c>
      <c r="O121" s="1">
        <f t="shared" si="42"/>
        <v>-0.32500000000000001</v>
      </c>
      <c r="P121" s="1">
        <f t="shared" si="42"/>
        <v>-0.27500000000000002</v>
      </c>
      <c r="Q121" s="1">
        <f t="shared" si="42"/>
        <v>-0.22500000000000001</v>
      </c>
      <c r="R121" s="1">
        <f t="shared" si="42"/>
        <v>-0.17499999999999999</v>
      </c>
      <c r="S121" s="1">
        <f t="shared" si="42"/>
        <v>-0.125</v>
      </c>
      <c r="T121" s="1">
        <f t="shared" si="42"/>
        <v>-7.4999999999999997E-2</v>
      </c>
      <c r="U121" s="1">
        <f t="shared" si="42"/>
        <v>-2.5000000000000001E-2</v>
      </c>
      <c r="V121" s="1">
        <f t="shared" si="42"/>
        <v>2.5000000000000001E-2</v>
      </c>
      <c r="W121" s="1">
        <f t="shared" si="42"/>
        <v>7.4999999999999997E-2</v>
      </c>
      <c r="X121" s="1">
        <f t="shared" si="42"/>
        <v>0.125</v>
      </c>
      <c r="Y121" s="1">
        <f t="shared" si="42"/>
        <v>0.17499999999999999</v>
      </c>
      <c r="Z121" s="1">
        <f t="shared" si="42"/>
        <v>0.22500000000000001</v>
      </c>
      <c r="AA121" s="1">
        <f t="shared" si="42"/>
        <v>0.27500000000000002</v>
      </c>
      <c r="AB121" s="1">
        <f t="shared" si="42"/>
        <v>0.32500000000000001</v>
      </c>
      <c r="AC121" s="1">
        <f t="shared" si="42"/>
        <v>0.375</v>
      </c>
      <c r="AD121" s="1">
        <f t="shared" si="42"/>
        <v>0.42499999999999999</v>
      </c>
      <c r="AE121" s="1">
        <f t="shared" si="42"/>
        <v>0.47499999999999998</v>
      </c>
      <c r="AF121" s="1">
        <f t="shared" si="42"/>
        <v>0.52500000000000002</v>
      </c>
      <c r="AG121" s="1">
        <f t="shared" si="42"/>
        <v>0.57499999999999996</v>
      </c>
      <c r="AH121" s="1">
        <f t="shared" si="42"/>
        <v>0.625</v>
      </c>
      <c r="AI121" s="1">
        <f t="shared" si="42"/>
        <v>0.67500000000000004</v>
      </c>
      <c r="AJ121" s="1">
        <f t="shared" si="42"/>
        <v>0.72499999999999998</v>
      </c>
      <c r="AK121" s="1">
        <f t="shared" si="42"/>
        <v>0.77500000000000002</v>
      </c>
      <c r="AL121" s="1">
        <f t="shared" si="42"/>
        <v>0.82499999999999996</v>
      </c>
      <c r="AM121" s="1">
        <f t="shared" si="42"/>
        <v>0.875</v>
      </c>
      <c r="AN121" s="1">
        <f t="shared" si="42"/>
        <v>0.92500000000000004</v>
      </c>
      <c r="AO121" s="1">
        <f t="shared" si="42"/>
        <v>0.97499999999999998</v>
      </c>
    </row>
    <row r="122" spans="1:42">
      <c r="A122" s="1" t="s">
        <v>102</v>
      </c>
      <c r="B122" s="1">
        <f t="shared" ref="B122:AO122" si="43">B121*$B$15</f>
        <v>-39.097500000000004</v>
      </c>
      <c r="C122" s="1">
        <f t="shared" si="43"/>
        <v>-37.092500000000001</v>
      </c>
      <c r="D122" s="1">
        <f t="shared" si="43"/>
        <v>-35.087499999999999</v>
      </c>
      <c r="E122" s="1">
        <f t="shared" si="43"/>
        <v>-33.082499999999996</v>
      </c>
      <c r="F122" s="1">
        <f t="shared" si="43"/>
        <v>-31.077500000000001</v>
      </c>
      <c r="G122" s="1">
        <f t="shared" si="43"/>
        <v>-29.072500000000002</v>
      </c>
      <c r="H122" s="1">
        <f t="shared" si="43"/>
        <v>-27.067500000000003</v>
      </c>
      <c r="I122" s="1">
        <f t="shared" si="43"/>
        <v>-25.0625</v>
      </c>
      <c r="J122" s="1">
        <f t="shared" si="43"/>
        <v>-23.057499999999997</v>
      </c>
      <c r="K122" s="1">
        <f t="shared" si="43"/>
        <v>-21.052500000000002</v>
      </c>
      <c r="L122" s="1">
        <f t="shared" si="43"/>
        <v>-19.047499999999999</v>
      </c>
      <c r="M122" s="1">
        <f t="shared" si="43"/>
        <v>-17.0425</v>
      </c>
      <c r="N122" s="1">
        <f t="shared" si="43"/>
        <v>-15.037500000000001</v>
      </c>
      <c r="O122" s="1">
        <f t="shared" si="43"/>
        <v>-13.032500000000001</v>
      </c>
      <c r="P122" s="1">
        <f t="shared" si="43"/>
        <v>-11.027500000000002</v>
      </c>
      <c r="Q122" s="1">
        <f t="shared" si="43"/>
        <v>-9.0225000000000009</v>
      </c>
      <c r="R122" s="1">
        <f t="shared" si="43"/>
        <v>-7.0175000000000001</v>
      </c>
      <c r="S122" s="1">
        <f t="shared" si="43"/>
        <v>-5.0125000000000002</v>
      </c>
      <c r="T122" s="1">
        <f t="shared" si="43"/>
        <v>-3.0074999999999998</v>
      </c>
      <c r="U122" s="1">
        <f t="shared" si="43"/>
        <v>-1.0025000000000002</v>
      </c>
      <c r="V122" s="1">
        <f t="shared" si="43"/>
        <v>1.0025000000000002</v>
      </c>
      <c r="W122" s="1">
        <f t="shared" si="43"/>
        <v>3.0074999999999998</v>
      </c>
      <c r="X122" s="1">
        <f t="shared" si="43"/>
        <v>5.0125000000000002</v>
      </c>
      <c r="Y122" s="1">
        <f t="shared" si="43"/>
        <v>7.0175000000000001</v>
      </c>
      <c r="Z122" s="1">
        <f t="shared" si="43"/>
        <v>9.0225000000000009</v>
      </c>
      <c r="AA122" s="1">
        <f t="shared" si="43"/>
        <v>11.027500000000002</v>
      </c>
      <c r="AB122" s="1">
        <f t="shared" si="43"/>
        <v>13.032500000000001</v>
      </c>
      <c r="AC122" s="1">
        <f t="shared" si="43"/>
        <v>15.037500000000001</v>
      </c>
      <c r="AD122" s="1">
        <f t="shared" si="43"/>
        <v>17.0425</v>
      </c>
      <c r="AE122" s="1">
        <f t="shared" si="43"/>
        <v>19.047499999999999</v>
      </c>
      <c r="AF122" s="1">
        <f t="shared" si="43"/>
        <v>21.052500000000002</v>
      </c>
      <c r="AG122" s="1">
        <f t="shared" si="43"/>
        <v>23.057499999999997</v>
      </c>
      <c r="AH122" s="1">
        <f t="shared" si="43"/>
        <v>25.0625</v>
      </c>
      <c r="AI122" s="1">
        <f t="shared" si="43"/>
        <v>27.067500000000003</v>
      </c>
      <c r="AJ122" s="1">
        <f t="shared" si="43"/>
        <v>29.072500000000002</v>
      </c>
      <c r="AK122" s="1">
        <f t="shared" si="43"/>
        <v>31.077500000000001</v>
      </c>
      <c r="AL122" s="1">
        <f t="shared" si="43"/>
        <v>33.082499999999996</v>
      </c>
      <c r="AM122" s="1">
        <f t="shared" si="43"/>
        <v>35.087499999999999</v>
      </c>
      <c r="AN122" s="1">
        <f t="shared" si="43"/>
        <v>37.092500000000001</v>
      </c>
      <c r="AO122" s="1">
        <f t="shared" si="43"/>
        <v>39.097500000000004</v>
      </c>
    </row>
    <row r="123" spans="1:42">
      <c r="A123" s="1" t="s">
        <v>105</v>
      </c>
      <c r="B123" s="1">
        <f t="shared" ref="B123:AO123" si="44">B116</f>
        <v>3.2666898717096347E-2</v>
      </c>
      <c r="C123" s="1">
        <f t="shared" si="44"/>
        <v>4.5589270064448705E-2</v>
      </c>
      <c r="D123" s="1">
        <f t="shared" si="44"/>
        <v>5.4157908117984897E-2</v>
      </c>
      <c r="E123" s="1">
        <f t="shared" si="44"/>
        <v>6.0849856658951255E-2</v>
      </c>
      <c r="F123" s="1">
        <f t="shared" si="44"/>
        <v>6.6436462737512025E-2</v>
      </c>
      <c r="G123" s="1">
        <f t="shared" si="44"/>
        <v>7.1186011854448186E-2</v>
      </c>
      <c r="H123" s="1">
        <f t="shared" si="44"/>
        <v>7.5323186752413479E-2</v>
      </c>
      <c r="I123" s="1">
        <f t="shared" si="44"/>
        <v>7.9009095538562932E-2</v>
      </c>
      <c r="J123" s="1">
        <f t="shared" si="44"/>
        <v>8.233438337383775E-2</v>
      </c>
      <c r="K123" s="1">
        <f t="shared" si="44"/>
        <v>8.533874206459019E-2</v>
      </c>
      <c r="L123" s="1">
        <f t="shared" si="44"/>
        <v>8.8025255755657089E-2</v>
      </c>
      <c r="M123" s="1">
        <f t="shared" si="44"/>
        <v>9.0364111307071351E-2</v>
      </c>
      <c r="N123" s="1">
        <f t="shared" si="44"/>
        <v>9.227284979662384E-2</v>
      </c>
      <c r="O123" s="1">
        <f t="shared" si="44"/>
        <v>9.3679100327366177E-2</v>
      </c>
      <c r="P123" s="1">
        <f t="shared" si="44"/>
        <v>9.4776199039732265E-2</v>
      </c>
      <c r="Q123" s="1">
        <f t="shared" si="44"/>
        <v>9.5629459336084438E-2</v>
      </c>
      <c r="R123" s="1">
        <f t="shared" si="44"/>
        <v>9.6281344634838936E-2</v>
      </c>
      <c r="S123" s="1">
        <f t="shared" si="44"/>
        <v>9.6756717814799886E-2</v>
      </c>
      <c r="T123" s="1">
        <f t="shared" si="44"/>
        <v>9.7067736384711972E-2</v>
      </c>
      <c r="U123" s="1">
        <f t="shared" si="44"/>
        <v>9.721827009995386E-2</v>
      </c>
      <c r="V123" s="1">
        <f t="shared" si="44"/>
        <v>9.7218270099953888E-2</v>
      </c>
      <c r="W123" s="1">
        <f t="shared" si="44"/>
        <v>9.7067736384712056E-2</v>
      </c>
      <c r="X123" s="1">
        <f t="shared" si="44"/>
        <v>9.6756717814799928E-2</v>
      </c>
      <c r="Y123" s="1">
        <f t="shared" si="44"/>
        <v>9.628134463483895E-2</v>
      </c>
      <c r="Z123" s="1">
        <f t="shared" si="44"/>
        <v>9.5629459336084383E-2</v>
      </c>
      <c r="AA123" s="1">
        <f t="shared" si="44"/>
        <v>9.4776199039732306E-2</v>
      </c>
      <c r="AB123" s="1">
        <f t="shared" si="44"/>
        <v>9.3679100327366163E-2</v>
      </c>
      <c r="AC123" s="1">
        <f t="shared" si="44"/>
        <v>9.2272849796623785E-2</v>
      </c>
      <c r="AD123" s="1">
        <f t="shared" si="44"/>
        <v>9.036411130707124E-2</v>
      </c>
      <c r="AE123" s="1">
        <f t="shared" si="44"/>
        <v>8.8025255755657075E-2</v>
      </c>
      <c r="AF123" s="1">
        <f t="shared" si="44"/>
        <v>8.5338742064590176E-2</v>
      </c>
      <c r="AG123" s="1">
        <f t="shared" si="44"/>
        <v>8.233438337383768E-2</v>
      </c>
      <c r="AH123" s="1">
        <f t="shared" si="44"/>
        <v>7.9009095538562904E-2</v>
      </c>
      <c r="AI123" s="1">
        <f t="shared" si="44"/>
        <v>7.5323186752413437E-2</v>
      </c>
      <c r="AJ123" s="1">
        <f t="shared" si="44"/>
        <v>7.1186011854448158E-2</v>
      </c>
      <c r="AK123" s="1">
        <f t="shared" si="44"/>
        <v>6.6436462737511984E-2</v>
      </c>
      <c r="AL123" s="1">
        <f t="shared" si="44"/>
        <v>6.0849856658951249E-2</v>
      </c>
      <c r="AM123" s="1">
        <f t="shared" si="44"/>
        <v>5.4157908117984904E-2</v>
      </c>
      <c r="AN123" s="1">
        <f t="shared" si="44"/>
        <v>4.5589270064448767E-2</v>
      </c>
      <c r="AO123" s="1">
        <f t="shared" si="44"/>
        <v>3.2666898717096375E-2</v>
      </c>
    </row>
    <row r="124" spans="1:42">
      <c r="A124" s="1" t="s">
        <v>106</v>
      </c>
      <c r="B124" s="1">
        <f t="shared" ref="B124:AO124" si="45">SQRT(1-B121^2)*$A$126*$A$127</f>
        <v>2.2254653961053968E-2</v>
      </c>
      <c r="C124" s="1">
        <f t="shared" si="45"/>
        <v>3.8055137030094902E-2</v>
      </c>
      <c r="D124" s="1">
        <f t="shared" si="45"/>
        <v>4.848673426790464E-2</v>
      </c>
      <c r="E124" s="1">
        <f t="shared" si="45"/>
        <v>5.660017190510596E-2</v>
      </c>
      <c r="F124" s="1">
        <f t="shared" si="45"/>
        <v>6.3293298488408242E-2</v>
      </c>
      <c r="G124" s="1">
        <f t="shared" si="45"/>
        <v>6.8980793859827319E-2</v>
      </c>
      <c r="H124" s="1">
        <f t="shared" si="45"/>
        <v>7.3895225310268112E-2</v>
      </c>
      <c r="I124" s="1">
        <f t="shared" si="45"/>
        <v>7.8182509808221404E-2</v>
      </c>
      <c r="J124" s="1">
        <f t="shared" si="45"/>
        <v>8.194114638143668E-2</v>
      </c>
      <c r="K124" s="1">
        <f t="shared" si="45"/>
        <v>8.5241094636504297E-2</v>
      </c>
      <c r="L124" s="1">
        <f t="shared" si="45"/>
        <v>8.813389287606091E-2</v>
      </c>
      <c r="M124" s="1">
        <f t="shared" si="45"/>
        <v>9.0658524399432658E-2</v>
      </c>
      <c r="N124" s="1">
        <f t="shared" si="45"/>
        <v>9.2845027509340136E-2</v>
      </c>
      <c r="O124" s="1">
        <f t="shared" si="45"/>
        <v>9.4716821812557542E-2</v>
      </c>
      <c r="P124" s="1">
        <f t="shared" si="45"/>
        <v>9.6292261628167578E-2</v>
      </c>
      <c r="Q124" s="1">
        <f t="shared" si="45"/>
        <v>9.7585701200520278E-2</v>
      </c>
      <c r="R124" s="1">
        <f t="shared" si="45"/>
        <v>9.8608238105449497E-2</v>
      </c>
      <c r="S124" s="1">
        <f t="shared" si="45"/>
        <v>9.9368235769076982E-2</v>
      </c>
      <c r="T124" s="1">
        <f t="shared" si="45"/>
        <v>9.9871687938027628E-2</v>
      </c>
      <c r="U124" s="1">
        <f t="shared" si="45"/>
        <v>0.10012246469927077</v>
      </c>
      <c r="V124" s="1">
        <f t="shared" si="45"/>
        <v>0.10012246469927077</v>
      </c>
      <c r="W124" s="1">
        <f t="shared" si="45"/>
        <v>9.9871687938027628E-2</v>
      </c>
      <c r="X124" s="1">
        <f t="shared" si="45"/>
        <v>9.9368235769076982E-2</v>
      </c>
      <c r="Y124" s="1">
        <f t="shared" si="45"/>
        <v>9.8608238105449497E-2</v>
      </c>
      <c r="Z124" s="1">
        <f t="shared" si="45"/>
        <v>9.7585701200520278E-2</v>
      </c>
      <c r="AA124" s="1">
        <f t="shared" si="45"/>
        <v>9.6292261628167578E-2</v>
      </c>
      <c r="AB124" s="1">
        <f t="shared" si="45"/>
        <v>9.4716821812557542E-2</v>
      </c>
      <c r="AC124" s="1">
        <f t="shared" si="45"/>
        <v>9.2845027509340136E-2</v>
      </c>
      <c r="AD124" s="1">
        <f t="shared" si="45"/>
        <v>9.0658524399432658E-2</v>
      </c>
      <c r="AE124" s="1">
        <f t="shared" si="45"/>
        <v>8.813389287606091E-2</v>
      </c>
      <c r="AF124" s="1">
        <f t="shared" si="45"/>
        <v>8.5241094636504297E-2</v>
      </c>
      <c r="AG124" s="1">
        <f t="shared" si="45"/>
        <v>8.194114638143668E-2</v>
      </c>
      <c r="AH124" s="1">
        <f t="shared" si="45"/>
        <v>7.8182509808221404E-2</v>
      </c>
      <c r="AI124" s="1">
        <f t="shared" si="45"/>
        <v>7.3895225310268112E-2</v>
      </c>
      <c r="AJ124" s="1">
        <f t="shared" si="45"/>
        <v>6.8980793859827319E-2</v>
      </c>
      <c r="AK124" s="1">
        <f t="shared" si="45"/>
        <v>6.3293298488408242E-2</v>
      </c>
      <c r="AL124" s="1">
        <f t="shared" si="45"/>
        <v>5.660017190510596E-2</v>
      </c>
      <c r="AM124" s="1">
        <f t="shared" si="45"/>
        <v>4.848673426790464E-2</v>
      </c>
      <c r="AN124" s="1">
        <f t="shared" si="45"/>
        <v>3.8055137030094902E-2</v>
      </c>
      <c r="AO124" s="1">
        <f t="shared" si="45"/>
        <v>2.2254653961053968E-2</v>
      </c>
    </row>
    <row r="126" spans="1:42">
      <c r="A126" s="1">
        <f>0.0634434953159239/2</f>
        <v>3.172174765796195E-2</v>
      </c>
    </row>
    <row r="127" spans="1:42">
      <c r="A127" s="1">
        <f>SUM(B123:AN123)</f>
        <v>3.1572588220362738</v>
      </c>
    </row>
    <row r="128" spans="1:42">
      <c r="A128" s="1">
        <f>SUM(B124:AN124)</f>
        <v>3.1280125892124055</v>
      </c>
    </row>
    <row r="130" spans="1:41">
      <c r="A130" s="1" t="s">
        <v>107</v>
      </c>
      <c r="B130" s="1">
        <f t="shared" ref="B130:AO130" si="46">B119*B113</f>
        <v>6.5333797434192695E-2</v>
      </c>
      <c r="C130" s="1">
        <f t="shared" si="46"/>
        <v>9.1178540128897409E-2</v>
      </c>
      <c r="D130" s="1">
        <f t="shared" si="46"/>
        <v>0.10831581623596979</v>
      </c>
      <c r="E130" s="1">
        <f t="shared" si="46"/>
        <v>0.12169971331790251</v>
      </c>
      <c r="F130" s="1">
        <f t="shared" si="46"/>
        <v>0.13287292547502405</v>
      </c>
      <c r="G130" s="1">
        <f t="shared" si="46"/>
        <v>0.14237202370889637</v>
      </c>
      <c r="H130" s="1">
        <f t="shared" si="46"/>
        <v>0.15064637350482696</v>
      </c>
      <c r="I130" s="1">
        <f t="shared" si="46"/>
        <v>0.15801819107712586</v>
      </c>
      <c r="J130" s="1">
        <f t="shared" si="46"/>
        <v>0.1646687667476755</v>
      </c>
      <c r="K130" s="1">
        <f t="shared" si="46"/>
        <v>0.17067748412918038</v>
      </c>
      <c r="L130" s="1">
        <f t="shared" si="46"/>
        <v>0.17605051151131418</v>
      </c>
      <c r="M130" s="1">
        <f t="shared" si="46"/>
        <v>0.1807282226141427</v>
      </c>
      <c r="N130" s="1">
        <f t="shared" si="46"/>
        <v>0.18454569959324768</v>
      </c>
      <c r="O130" s="1">
        <f t="shared" si="46"/>
        <v>0.18735820065473235</v>
      </c>
      <c r="P130" s="1">
        <f t="shared" si="46"/>
        <v>0.18955239807946453</v>
      </c>
      <c r="Q130" s="1">
        <f t="shared" si="46"/>
        <v>0.19125891867216888</v>
      </c>
      <c r="R130" s="1">
        <f t="shared" si="46"/>
        <v>0.19256268926967787</v>
      </c>
      <c r="S130" s="1">
        <f t="shared" si="46"/>
        <v>0.19351343562959977</v>
      </c>
      <c r="T130" s="1">
        <f t="shared" si="46"/>
        <v>0.19413547276942394</v>
      </c>
      <c r="U130" s="1">
        <f t="shared" si="46"/>
        <v>0.19443654019990772</v>
      </c>
      <c r="V130" s="1">
        <f t="shared" si="46"/>
        <v>0.19443654019990778</v>
      </c>
      <c r="W130" s="1">
        <f t="shared" si="46"/>
        <v>0.19413547276942411</v>
      </c>
      <c r="X130" s="1">
        <f t="shared" si="46"/>
        <v>0.19351343562959986</v>
      </c>
      <c r="Y130" s="1">
        <f t="shared" si="46"/>
        <v>0.1925626892696779</v>
      </c>
      <c r="Z130" s="1">
        <f t="shared" si="46"/>
        <v>0.19125891867216877</v>
      </c>
      <c r="AA130" s="1">
        <f t="shared" si="46"/>
        <v>0.18955239807946461</v>
      </c>
      <c r="AB130" s="1">
        <f t="shared" si="46"/>
        <v>0.18735820065473233</v>
      </c>
      <c r="AC130" s="1">
        <f t="shared" si="46"/>
        <v>0.18454569959324757</v>
      </c>
      <c r="AD130" s="1">
        <f t="shared" si="46"/>
        <v>0.18072822261414248</v>
      </c>
      <c r="AE130" s="1">
        <f t="shared" si="46"/>
        <v>0.17605051151131415</v>
      </c>
      <c r="AF130" s="1">
        <f t="shared" si="46"/>
        <v>0.17067748412918035</v>
      </c>
      <c r="AG130" s="1">
        <f t="shared" si="46"/>
        <v>0.16466876674767536</v>
      </c>
      <c r="AH130" s="1">
        <f t="shared" si="46"/>
        <v>0.15801819107712581</v>
      </c>
      <c r="AI130" s="1">
        <f t="shared" si="46"/>
        <v>0.15064637350482687</v>
      </c>
      <c r="AJ130" s="1">
        <f t="shared" si="46"/>
        <v>0.14237202370889632</v>
      </c>
      <c r="AK130" s="1">
        <f t="shared" si="46"/>
        <v>0.13287292547502397</v>
      </c>
      <c r="AL130" s="1">
        <f t="shared" si="46"/>
        <v>0.1216997133179025</v>
      </c>
      <c r="AM130" s="1">
        <f t="shared" si="46"/>
        <v>0.10831581623596981</v>
      </c>
      <c r="AN130" s="1">
        <f t="shared" si="46"/>
        <v>9.1178540128897534E-2</v>
      </c>
      <c r="AO130" s="1">
        <f t="shared" si="46"/>
        <v>6.533379743419275E-2</v>
      </c>
    </row>
    <row r="133" spans="1:41">
      <c r="A133" s="1" t="s">
        <v>108</v>
      </c>
      <c r="B133" s="1">
        <f t="shared" ref="B133:AO133" si="47">B121*B119*B113</f>
        <v>-6.3700452498337876E-2</v>
      </c>
      <c r="C133" s="1">
        <f t="shared" si="47"/>
        <v>-8.4340149619230101E-2</v>
      </c>
      <c r="D133" s="1">
        <f t="shared" si="47"/>
        <v>-9.4776339206473575E-2</v>
      </c>
      <c r="E133" s="1">
        <f t="shared" si="47"/>
        <v>-0.10040226348726956</v>
      </c>
      <c r="F133" s="1">
        <f t="shared" si="47"/>
        <v>-0.10297651724314365</v>
      </c>
      <c r="G133" s="1">
        <f t="shared" si="47"/>
        <v>-0.10321971718894987</v>
      </c>
      <c r="H133" s="1">
        <f t="shared" si="47"/>
        <v>-0.1016863021157582</v>
      </c>
      <c r="I133" s="1">
        <f t="shared" si="47"/>
        <v>-9.8761369423203668E-2</v>
      </c>
      <c r="J133" s="1">
        <f t="shared" si="47"/>
        <v>-9.4684540879913417E-2</v>
      </c>
      <c r="K133" s="1">
        <f t="shared" si="47"/>
        <v>-8.960567916781971E-2</v>
      </c>
      <c r="L133" s="1">
        <f t="shared" si="47"/>
        <v>-8.3623992967874233E-2</v>
      </c>
      <c r="M133" s="1">
        <f t="shared" si="47"/>
        <v>-7.6809494611010651E-2</v>
      </c>
      <c r="N133" s="1">
        <f t="shared" si="47"/>
        <v>-6.9204637347467887E-2</v>
      </c>
      <c r="O133" s="1">
        <f t="shared" si="47"/>
        <v>-6.0891415212788014E-2</v>
      </c>
      <c r="P133" s="1">
        <f t="shared" si="47"/>
        <v>-5.2126909471852757E-2</v>
      </c>
      <c r="Q133" s="1">
        <f t="shared" si="47"/>
        <v>-4.3033256701237997E-2</v>
      </c>
      <c r="R133" s="1">
        <f t="shared" si="47"/>
        <v>-3.3698470622193624E-2</v>
      </c>
      <c r="S133" s="1">
        <f t="shared" si="47"/>
        <v>-2.4189179453699972E-2</v>
      </c>
      <c r="T133" s="1">
        <f t="shared" si="47"/>
        <v>-1.4560160457706795E-2</v>
      </c>
      <c r="U133" s="1">
        <f t="shared" si="47"/>
        <v>-4.8609135049976935E-3</v>
      </c>
      <c r="V133" s="1">
        <f t="shared" si="47"/>
        <v>4.8609135049976944E-3</v>
      </c>
      <c r="W133" s="1">
        <f t="shared" si="47"/>
        <v>1.4560160457706809E-2</v>
      </c>
      <c r="X133" s="1">
        <f t="shared" si="47"/>
        <v>2.4189179453699982E-2</v>
      </c>
      <c r="Y133" s="1">
        <f t="shared" si="47"/>
        <v>3.3698470622193631E-2</v>
      </c>
      <c r="Z133" s="1">
        <f t="shared" si="47"/>
        <v>4.3033256701237969E-2</v>
      </c>
      <c r="AA133" s="1">
        <f t="shared" si="47"/>
        <v>5.2126909471852778E-2</v>
      </c>
      <c r="AB133" s="1">
        <f t="shared" si="47"/>
        <v>6.0891415212788007E-2</v>
      </c>
      <c r="AC133" s="1">
        <f t="shared" si="47"/>
        <v>6.9204637347467832E-2</v>
      </c>
      <c r="AD133" s="1">
        <f t="shared" si="47"/>
        <v>7.680949461101054E-2</v>
      </c>
      <c r="AE133" s="1">
        <f t="shared" si="47"/>
        <v>8.3623992967874233E-2</v>
      </c>
      <c r="AF133" s="1">
        <f t="shared" si="47"/>
        <v>8.9605679167819682E-2</v>
      </c>
      <c r="AG133" s="1">
        <f t="shared" si="47"/>
        <v>9.468454087991332E-2</v>
      </c>
      <c r="AH133" s="1">
        <f t="shared" si="47"/>
        <v>9.8761369423203613E-2</v>
      </c>
      <c r="AI133" s="1">
        <f t="shared" si="47"/>
        <v>0.10168630211575815</v>
      </c>
      <c r="AJ133" s="1">
        <f t="shared" si="47"/>
        <v>0.10321971718894982</v>
      </c>
      <c r="AK133" s="1">
        <f t="shared" si="47"/>
        <v>0.10297651724314358</v>
      </c>
      <c r="AL133" s="1">
        <f t="shared" si="47"/>
        <v>0.10040226348726955</v>
      </c>
      <c r="AM133" s="1">
        <f t="shared" si="47"/>
        <v>9.4776339206473589E-2</v>
      </c>
      <c r="AN133" s="1">
        <f t="shared" si="47"/>
        <v>8.4340149619230226E-2</v>
      </c>
      <c r="AO133" s="1">
        <f t="shared" si="47"/>
        <v>6.3700452498337931E-2</v>
      </c>
    </row>
    <row r="134" spans="1:4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41">
      <c r="A135" s="1" t="s">
        <v>109</v>
      </c>
      <c r="B135" s="1">
        <f t="shared" ref="B135:U135" si="48">-B116*B117</f>
        <v>3.1850226249168938E-2</v>
      </c>
      <c r="C135" s="1">
        <f t="shared" si="48"/>
        <v>4.217007480961505E-2</v>
      </c>
      <c r="D135" s="1">
        <f t="shared" si="48"/>
        <v>4.7388169603236788E-2</v>
      </c>
      <c r="E135" s="1">
        <f t="shared" si="48"/>
        <v>5.0201131743634782E-2</v>
      </c>
      <c r="F135" s="1">
        <f t="shared" si="48"/>
        <v>5.1488258621571824E-2</v>
      </c>
      <c r="G135" s="1">
        <f t="shared" si="48"/>
        <v>5.1609858594474936E-2</v>
      </c>
      <c r="H135" s="1">
        <f t="shared" si="48"/>
        <v>5.08431510578791E-2</v>
      </c>
      <c r="I135" s="1">
        <f t="shared" si="48"/>
        <v>4.9380684711601834E-2</v>
      </c>
      <c r="J135" s="1">
        <f t="shared" si="48"/>
        <v>4.7342270439956702E-2</v>
      </c>
      <c r="K135" s="1">
        <f t="shared" si="48"/>
        <v>4.4802839583909848E-2</v>
      </c>
      <c r="L135" s="1">
        <f t="shared" si="48"/>
        <v>4.1811996483937117E-2</v>
      </c>
      <c r="M135" s="1">
        <f t="shared" si="48"/>
        <v>3.8404747305505325E-2</v>
      </c>
      <c r="N135" s="1">
        <f t="shared" si="48"/>
        <v>3.4602318673733937E-2</v>
      </c>
      <c r="O135" s="1">
        <f t="shared" si="48"/>
        <v>3.0445707606394007E-2</v>
      </c>
      <c r="P135" s="1">
        <f t="shared" si="48"/>
        <v>2.6063454735926375E-2</v>
      </c>
      <c r="Q135" s="1">
        <f t="shared" si="48"/>
        <v>2.1516628350618999E-2</v>
      </c>
      <c r="R135" s="1">
        <f t="shared" si="48"/>
        <v>1.6849235311096812E-2</v>
      </c>
      <c r="S135" s="1">
        <f t="shared" si="48"/>
        <v>1.2094589726849986E-2</v>
      </c>
      <c r="T135" s="1">
        <f t="shared" si="48"/>
        <v>7.2800802288533976E-3</v>
      </c>
      <c r="U135" s="1">
        <f t="shared" si="48"/>
        <v>2.4304567524988468E-3</v>
      </c>
    </row>
    <row r="136" spans="1:41">
      <c r="A136" s="1" t="s">
        <v>110</v>
      </c>
      <c r="B136" s="1">
        <f>SUM(B135:U135)</f>
        <v>0.69857588059046472</v>
      </c>
      <c r="D136" s="1" t="s">
        <v>111</v>
      </c>
      <c r="E136" s="1">
        <f>SUM(B116:U116)</f>
        <v>1.5949628603766854</v>
      </c>
      <c r="G136" s="1" t="s">
        <v>112</v>
      </c>
      <c r="H136" s="1">
        <f>B136/E136</f>
        <v>0.43798880710330818</v>
      </c>
    </row>
    <row r="137" spans="1:41">
      <c r="B137" s="1">
        <f>(0.025*C116)/$B$136</f>
        <v>1.6315074471908049E-3</v>
      </c>
      <c r="C137" s="1">
        <f>(0.075*B116+0.025*C116)/$B$136</f>
        <v>5.1386674735452382E-3</v>
      </c>
      <c r="D137" s="1">
        <f>(0.125*B116+0.075*C116+0.025*D116)/$B$136</f>
        <v>1.2677943146182546E-2</v>
      </c>
      <c r="E137" s="2">
        <f>(0.175*B116+0.125*C116+0.075*D116+0.025*E116)/$B$136</f>
        <v>2.4333012391585598E-2</v>
      </c>
      <c r="F137" s="1">
        <f>(0.225*B116+0.175*C116+0.125*D116+0.075*E116+0.025*F116)/$B$136</f>
        <v>4.054328898571917E-2</v>
      </c>
      <c r="G137" s="2">
        <f>(0.275*B116+0.225*C116+0.175*D116+0.125*E116+0.075*F116+0.025*G116)/$B$136</f>
        <v>6.1678673875734509E-2</v>
      </c>
      <c r="H137" s="1">
        <f>(0.325*B116+0.275*C116+0.225*D116+0.175*E116+0.125*F116+0.075*G116+0.025*H116)/$B$136</f>
        <v>8.8057197080338739E-2</v>
      </c>
      <c r="I137" s="2">
        <f>(0.375*B116+0.325*C116+0.275*D116+0.225*E116+0.175*F116+0.125*G116+0.075*H116+0.025*I116)/$B$136</f>
        <v>0.1199588240228121</v>
      </c>
      <c r="J137" s="1">
        <f>(0.425*B116+0.375*C116+0.325*D116+0.275*E116+0.225*F116+0.175*G116+0.125*H116+0.075*I116+0.025*J116)/$B$136</f>
        <v>0.15763446504862405</v>
      </c>
      <c r="K137" s="2">
        <f>(0.475*B116+0.425*C116+0.375*D116+0.325*E116+0.275*F116+0.225*G116+0.175*H116+0.125*I116+0.075*J116+0.025*K116)/$B$136</f>
        <v>0.20131063980660208</v>
      </c>
      <c r="L137" s="1">
        <f>(0.525*B116+0.475*C116+0.425*D116+0.375*E116+0.325*F116+0.275*G116+0.225*H116+0.175*I116+0.125*J116+0.075*K116+0.025*L116)/$B$136</f>
        <v>0.25119100807587463</v>
      </c>
      <c r="M137" s="2">
        <f>(0.575*B116+0.525*C116+0.475*D116+0.425*E116+0.375*F116+0.325*G116+0.275*H116+0.225*I116+0.175*J116+0.125*K116+0.075*L116+0.025*M116)/$B$136</f>
        <v>0.3074554132128367</v>
      </c>
      <c r="N137" s="1">
        <f>(0.625*B116+0.575*C116+0.525*D116+0.475*E116+0.425*F116+0.375*G116+0.325*H116+0.275*I116+0.225*J116+0.175*K116+0.125*L116+0.075*M116+0.025*N116)/$B$136</f>
        <v>0.37025586426042056</v>
      </c>
      <c r="O137" s="2">
        <f>(0.675*B116+0.625*C116+0.575*D116+0.525*E116+0.475*F116+0.425*G116+0.375*H116+0.325*I116+0.275*J116+0.225*K116+0.175*L116+0.125*M116+0.075*N116+0.025*O116)/$B$136</f>
        <v>0.43971099503896</v>
      </c>
      <c r="P137" s="1">
        <f>(0.725*B116+0.675*C116+0.625*D116+0.575*E116+0.525*F116+0.475*G116+0.425*H116+0.375*I116+0.325*J116+0.275*K116+0.225*L116+0.175*M116+0.125*N116+0.075*O116+0.025*P116)/$B$136</f>
        <v>0.51591039314060716</v>
      </c>
      <c r="Q137" s="2">
        <f>(0.775*B116+0.725*C116+0.675*D116+0.625*E116+0.575*F116+0.525*G116+0.475*H116+0.425*I116+0.375*J116+0.325*K116+0.275*L116+0.225*M116+0.175*N116+0.125*O116+0.075*P116+0.025*Q116)/$B$136</f>
        <v>0.59892385624457289</v>
      </c>
      <c r="R137" s="1">
        <f>(0.825*B116+0.775*C116+0.725*D116+0.675*E116+0.625*F116+0.575*G116+0.525*H116+0.475*I116+0.425*J116+0.375*K116+0.325*L116+0.275*M116+0.225*N116+0.175*O116+0.125*P116+0.075*Q116+0.025*R116)/$B$136</f>
        <v>0.68880524913623453</v>
      </c>
      <c r="S137" s="2">
        <f>(0.875*B116+0.825*C116+0.775*D116+0.725*E116+0.675*F116+0.625*G116+0.575*H116+0.525*I116+0.475*J116+0.425*K116+0.375*L116+0.325*M116+0.275*N116+0.225*O116+0.175*P116+0.125*Q116+0.075*R116+0.025*S116)/$B$136</f>
        <v>0.78559491311959462</v>
      </c>
      <c r="T137" s="1">
        <f>(0.925*B116+0.875*C116+0.825*D116+0.775*E116+0.725*F116+0.675*G116+0.625*H116+0.575*I116+0.525*J116+0.475*K116+0.425*L116+0.375*M116+0.325*N116+0.275*O116+0.225*P116+0.175*Q116+0.125*R116+0.075*S116+0.025*T116)/$B$136</f>
        <v>0.88932099086933336</v>
      </c>
      <c r="U137" s="1">
        <f>(0.975*B116+0.925*C116+0.875*D116+0.825*E116+0.775*F116+0.725*G116+0.675*H116+0.625*I116+0.575*J116+0.525*K116+0.475*L116+0.425*M116+0.375*N116+0.325*O116+0.275*P116+0.225*Q116+0.175*R116+0.125*S116+0.075*T116+0.025*U116)/$B$136</f>
        <v>1</v>
      </c>
    </row>
    <row r="138" spans="1:41">
      <c r="A138" s="1" t="s">
        <v>113</v>
      </c>
    </row>
    <row r="139" spans="1:41">
      <c r="B139" s="1">
        <f t="shared" ref="B139:K148" si="49">B$108-B$106</f>
        <v>-3.7244897959183842E-3</v>
      </c>
      <c r="C139" s="1">
        <f t="shared" si="49"/>
        <v>-3.7244897959183565E-3</v>
      </c>
      <c r="D139" s="1">
        <f t="shared" si="49"/>
        <v>-3.7244897959183565E-3</v>
      </c>
      <c r="E139" s="1">
        <f t="shared" si="49"/>
        <v>-3.7244897959183842E-3</v>
      </c>
      <c r="F139" s="1">
        <f t="shared" si="49"/>
        <v>-3.5063724529883211E-3</v>
      </c>
      <c r="G139" s="1">
        <f t="shared" si="49"/>
        <v>-1.7808219178082063E-3</v>
      </c>
      <c r="H139" s="1">
        <f t="shared" si="49"/>
        <v>-1.7808219178082341E-3</v>
      </c>
      <c r="I139" s="1">
        <f t="shared" si="49"/>
        <v>-1.7808219178082063E-3</v>
      </c>
      <c r="J139" s="1">
        <f t="shared" si="49"/>
        <v>-1.7808219178082063E-3</v>
      </c>
      <c r="K139" s="1">
        <f t="shared" si="49"/>
        <v>-1.7808219178082341E-3</v>
      </c>
      <c r="L139" s="1">
        <f t="shared" ref="L139:U148" si="50">L$108-L$106</f>
        <v>-1.7808219178082063E-3</v>
      </c>
      <c r="M139" s="1">
        <f t="shared" si="50"/>
        <v>-1.7808219178082341E-3</v>
      </c>
      <c r="N139" s="1">
        <f t="shared" si="50"/>
        <v>-6.3917919841352533E-4</v>
      </c>
      <c r="O139" s="1">
        <f t="shared" si="50"/>
        <v>-4.0605095541398906E-4</v>
      </c>
      <c r="P139" s="1">
        <f t="shared" si="50"/>
        <v>-4.0605095541401681E-4</v>
      </c>
      <c r="Q139" s="1">
        <f t="shared" si="50"/>
        <v>-4.0605095541401681E-4</v>
      </c>
      <c r="R139" s="1">
        <f t="shared" si="50"/>
        <v>-4.0605095541401681E-4</v>
      </c>
      <c r="S139" s="1">
        <f t="shared" si="50"/>
        <v>-4.0605095541401681E-4</v>
      </c>
      <c r="T139" s="1">
        <f t="shared" si="50"/>
        <v>-4.0605095541401681E-4</v>
      </c>
      <c r="U139" s="1">
        <f t="shared" si="50"/>
        <v>-4.0605095541401681E-4</v>
      </c>
      <c r="V139" s="1">
        <f t="shared" ref="V139:AE148" si="51">V$108-V$106</f>
        <v>4.0605095541401681E-4</v>
      </c>
      <c r="W139" s="1">
        <f t="shared" si="51"/>
        <v>4.0605095541401681E-4</v>
      </c>
      <c r="X139" s="1">
        <f t="shared" si="51"/>
        <v>4.0605095541401681E-4</v>
      </c>
      <c r="Y139" s="1">
        <f t="shared" si="51"/>
        <v>4.0605095541401681E-4</v>
      </c>
      <c r="Z139" s="1">
        <f t="shared" si="51"/>
        <v>4.0605095541401681E-4</v>
      </c>
      <c r="AA139" s="1">
        <f t="shared" si="51"/>
        <v>4.0605095541401681E-4</v>
      </c>
      <c r="AB139" s="1">
        <f t="shared" si="51"/>
        <v>4.0605095541398906E-4</v>
      </c>
      <c r="AC139" s="1">
        <f t="shared" si="51"/>
        <v>6.3917919841352533E-4</v>
      </c>
      <c r="AD139" s="1">
        <f t="shared" si="51"/>
        <v>1.7808219178082341E-3</v>
      </c>
      <c r="AE139" s="1">
        <f t="shared" si="51"/>
        <v>1.7808219178082063E-3</v>
      </c>
      <c r="AF139" s="1">
        <f t="shared" ref="AF139:AO148" si="52">AF$108-AF$106</f>
        <v>1.7808219178082341E-3</v>
      </c>
      <c r="AG139" s="1">
        <f t="shared" si="52"/>
        <v>1.7808219178082063E-3</v>
      </c>
      <c r="AH139" s="1">
        <f t="shared" si="52"/>
        <v>1.7808219178082063E-3</v>
      </c>
      <c r="AI139" s="1">
        <f t="shared" si="52"/>
        <v>1.7808219178082341E-3</v>
      </c>
      <c r="AJ139" s="1">
        <f t="shared" si="52"/>
        <v>1.7808219178082063E-3</v>
      </c>
      <c r="AK139" s="1">
        <f t="shared" si="52"/>
        <v>3.5063724529883211E-3</v>
      </c>
      <c r="AL139" s="1">
        <f t="shared" si="52"/>
        <v>3.7244897959183842E-3</v>
      </c>
      <c r="AM139" s="1">
        <f t="shared" si="52"/>
        <v>3.7244897959183565E-3</v>
      </c>
      <c r="AN139" s="1">
        <f t="shared" si="52"/>
        <v>3.7244897959183565E-3</v>
      </c>
      <c r="AO139" s="1">
        <f t="shared" si="52"/>
        <v>3.7244897959183842E-3</v>
      </c>
    </row>
    <row r="140" spans="1:41">
      <c r="B140" s="1">
        <f t="shared" si="49"/>
        <v>-3.7244897959183842E-3</v>
      </c>
      <c r="C140" s="1">
        <f t="shared" si="49"/>
        <v>-3.7244897959183565E-3</v>
      </c>
      <c r="D140" s="1">
        <f t="shared" si="49"/>
        <v>-3.7244897959183565E-3</v>
      </c>
      <c r="E140" s="1">
        <f t="shared" si="49"/>
        <v>-3.7244897959183842E-3</v>
      </c>
      <c r="F140" s="1">
        <f t="shared" si="49"/>
        <v>-3.5063724529883211E-3</v>
      </c>
      <c r="G140" s="1">
        <f t="shared" si="49"/>
        <v>-1.7808219178082063E-3</v>
      </c>
      <c r="H140" s="1">
        <f t="shared" si="49"/>
        <v>-1.7808219178082341E-3</v>
      </c>
      <c r="I140" s="1">
        <f t="shared" si="49"/>
        <v>-1.7808219178082063E-3</v>
      </c>
      <c r="J140" s="1">
        <f t="shared" si="49"/>
        <v>-1.7808219178082063E-3</v>
      </c>
      <c r="K140" s="1">
        <f t="shared" si="49"/>
        <v>-1.7808219178082341E-3</v>
      </c>
      <c r="L140" s="1">
        <f t="shared" si="50"/>
        <v>-1.7808219178082063E-3</v>
      </c>
      <c r="M140" s="1">
        <f t="shared" si="50"/>
        <v>-1.7808219178082341E-3</v>
      </c>
      <c r="N140" s="1">
        <f t="shared" si="50"/>
        <v>-6.3917919841352533E-4</v>
      </c>
      <c r="O140" s="1">
        <f t="shared" si="50"/>
        <v>-4.0605095541398906E-4</v>
      </c>
      <c r="P140" s="1">
        <f t="shared" si="50"/>
        <v>-4.0605095541401681E-4</v>
      </c>
      <c r="Q140" s="1">
        <f t="shared" si="50"/>
        <v>-4.0605095541401681E-4</v>
      </c>
      <c r="R140" s="1">
        <f t="shared" si="50"/>
        <v>-4.0605095541401681E-4</v>
      </c>
      <c r="S140" s="1">
        <f t="shared" si="50"/>
        <v>-4.0605095541401681E-4</v>
      </c>
      <c r="T140" s="1">
        <f t="shared" si="50"/>
        <v>-4.0605095541401681E-4</v>
      </c>
      <c r="U140" s="1">
        <f t="shared" si="50"/>
        <v>-4.0605095541401681E-4</v>
      </c>
      <c r="V140" s="1">
        <f t="shared" si="51"/>
        <v>4.0605095541401681E-4</v>
      </c>
      <c r="W140" s="1">
        <f t="shared" si="51"/>
        <v>4.0605095541401681E-4</v>
      </c>
      <c r="X140" s="1">
        <f t="shared" si="51"/>
        <v>4.0605095541401681E-4</v>
      </c>
      <c r="Y140" s="1">
        <f t="shared" si="51"/>
        <v>4.0605095541401681E-4</v>
      </c>
      <c r="Z140" s="1">
        <f t="shared" si="51"/>
        <v>4.0605095541401681E-4</v>
      </c>
      <c r="AA140" s="1">
        <f t="shared" si="51"/>
        <v>4.0605095541401681E-4</v>
      </c>
      <c r="AB140" s="1">
        <f t="shared" si="51"/>
        <v>4.0605095541398906E-4</v>
      </c>
      <c r="AC140" s="1">
        <f t="shared" si="51"/>
        <v>6.3917919841352533E-4</v>
      </c>
      <c r="AD140" s="1">
        <f t="shared" si="51"/>
        <v>1.7808219178082341E-3</v>
      </c>
      <c r="AE140" s="1">
        <f t="shared" si="51"/>
        <v>1.7808219178082063E-3</v>
      </c>
      <c r="AF140" s="1">
        <f t="shared" si="52"/>
        <v>1.7808219178082341E-3</v>
      </c>
      <c r="AG140" s="1">
        <f t="shared" si="52"/>
        <v>1.7808219178082063E-3</v>
      </c>
      <c r="AH140" s="1">
        <f t="shared" si="52"/>
        <v>1.7808219178082063E-3</v>
      </c>
      <c r="AI140" s="1">
        <f t="shared" si="52"/>
        <v>1.7808219178082341E-3</v>
      </c>
      <c r="AJ140" s="1">
        <f t="shared" si="52"/>
        <v>1.7808219178082063E-3</v>
      </c>
      <c r="AK140" s="1">
        <f t="shared" si="52"/>
        <v>3.5063724529883211E-3</v>
      </c>
      <c r="AL140" s="1">
        <f t="shared" si="52"/>
        <v>3.7244897959183842E-3</v>
      </c>
      <c r="AM140" s="1">
        <f t="shared" si="52"/>
        <v>3.7244897959183565E-3</v>
      </c>
      <c r="AN140" s="1">
        <f t="shared" si="52"/>
        <v>3.7244897959183565E-3</v>
      </c>
      <c r="AO140" s="1">
        <f t="shared" si="52"/>
        <v>3.7244897959183842E-3</v>
      </c>
    </row>
    <row r="141" spans="1:41">
      <c r="B141" s="1">
        <f t="shared" si="49"/>
        <v>-3.7244897959183842E-3</v>
      </c>
      <c r="C141" s="1">
        <f t="shared" si="49"/>
        <v>-3.7244897959183565E-3</v>
      </c>
      <c r="D141" s="1">
        <f t="shared" si="49"/>
        <v>-3.7244897959183565E-3</v>
      </c>
      <c r="E141" s="1">
        <f t="shared" si="49"/>
        <v>-3.7244897959183842E-3</v>
      </c>
      <c r="F141" s="1">
        <f t="shared" si="49"/>
        <v>-3.5063724529883211E-3</v>
      </c>
      <c r="G141" s="1">
        <f t="shared" si="49"/>
        <v>-1.7808219178082063E-3</v>
      </c>
      <c r="H141" s="1">
        <f t="shared" si="49"/>
        <v>-1.7808219178082341E-3</v>
      </c>
      <c r="I141" s="1">
        <f t="shared" si="49"/>
        <v>-1.7808219178082063E-3</v>
      </c>
      <c r="J141" s="1">
        <f t="shared" si="49"/>
        <v>-1.7808219178082063E-3</v>
      </c>
      <c r="K141" s="1">
        <f t="shared" si="49"/>
        <v>-1.7808219178082341E-3</v>
      </c>
      <c r="L141" s="1">
        <f t="shared" si="50"/>
        <v>-1.7808219178082063E-3</v>
      </c>
      <c r="M141" s="1">
        <f t="shared" si="50"/>
        <v>-1.7808219178082341E-3</v>
      </c>
      <c r="N141" s="1">
        <f t="shared" si="50"/>
        <v>-6.3917919841352533E-4</v>
      </c>
      <c r="O141" s="1">
        <f t="shared" si="50"/>
        <v>-4.0605095541398906E-4</v>
      </c>
      <c r="P141" s="1">
        <f t="shared" si="50"/>
        <v>-4.0605095541401681E-4</v>
      </c>
      <c r="Q141" s="1">
        <f t="shared" si="50"/>
        <v>-4.0605095541401681E-4</v>
      </c>
      <c r="R141" s="1">
        <f t="shared" si="50"/>
        <v>-4.0605095541401681E-4</v>
      </c>
      <c r="S141" s="1">
        <f t="shared" si="50"/>
        <v>-4.0605095541401681E-4</v>
      </c>
      <c r="T141" s="1">
        <f t="shared" si="50"/>
        <v>-4.0605095541401681E-4</v>
      </c>
      <c r="U141" s="1">
        <f t="shared" si="50"/>
        <v>-4.0605095541401681E-4</v>
      </c>
      <c r="V141" s="1">
        <f t="shared" si="51"/>
        <v>4.0605095541401681E-4</v>
      </c>
      <c r="W141" s="1">
        <f t="shared" si="51"/>
        <v>4.0605095541401681E-4</v>
      </c>
      <c r="X141" s="1">
        <f t="shared" si="51"/>
        <v>4.0605095541401681E-4</v>
      </c>
      <c r="Y141" s="1">
        <f t="shared" si="51"/>
        <v>4.0605095541401681E-4</v>
      </c>
      <c r="Z141" s="1">
        <f t="shared" si="51"/>
        <v>4.0605095541401681E-4</v>
      </c>
      <c r="AA141" s="1">
        <f t="shared" si="51"/>
        <v>4.0605095541401681E-4</v>
      </c>
      <c r="AB141" s="1">
        <f t="shared" si="51"/>
        <v>4.0605095541398906E-4</v>
      </c>
      <c r="AC141" s="1">
        <f t="shared" si="51"/>
        <v>6.3917919841352533E-4</v>
      </c>
      <c r="AD141" s="1">
        <f t="shared" si="51"/>
        <v>1.7808219178082341E-3</v>
      </c>
      <c r="AE141" s="1">
        <f t="shared" si="51"/>
        <v>1.7808219178082063E-3</v>
      </c>
      <c r="AF141" s="1">
        <f t="shared" si="52"/>
        <v>1.7808219178082341E-3</v>
      </c>
      <c r="AG141" s="1">
        <f t="shared" si="52"/>
        <v>1.7808219178082063E-3</v>
      </c>
      <c r="AH141" s="1">
        <f t="shared" si="52"/>
        <v>1.7808219178082063E-3</v>
      </c>
      <c r="AI141" s="1">
        <f t="shared" si="52"/>
        <v>1.7808219178082341E-3</v>
      </c>
      <c r="AJ141" s="1">
        <f t="shared" si="52"/>
        <v>1.7808219178082063E-3</v>
      </c>
      <c r="AK141" s="1">
        <f t="shared" si="52"/>
        <v>3.5063724529883211E-3</v>
      </c>
      <c r="AL141" s="1">
        <f t="shared" si="52"/>
        <v>3.7244897959183842E-3</v>
      </c>
      <c r="AM141" s="1">
        <f t="shared" si="52"/>
        <v>3.7244897959183565E-3</v>
      </c>
      <c r="AN141" s="1">
        <f t="shared" si="52"/>
        <v>3.7244897959183565E-3</v>
      </c>
      <c r="AO141" s="1">
        <f t="shared" si="52"/>
        <v>3.7244897959183842E-3</v>
      </c>
    </row>
    <row r="142" spans="1:41">
      <c r="B142" s="1">
        <f t="shared" si="49"/>
        <v>-3.7244897959183842E-3</v>
      </c>
      <c r="C142" s="1">
        <f t="shared" si="49"/>
        <v>-3.7244897959183565E-3</v>
      </c>
      <c r="D142" s="1">
        <f t="shared" si="49"/>
        <v>-3.7244897959183565E-3</v>
      </c>
      <c r="E142" s="1">
        <f t="shared" si="49"/>
        <v>-3.7244897959183842E-3</v>
      </c>
      <c r="F142" s="1">
        <f t="shared" si="49"/>
        <v>-3.5063724529883211E-3</v>
      </c>
      <c r="G142" s="1">
        <f t="shared" si="49"/>
        <v>-1.7808219178082063E-3</v>
      </c>
      <c r="H142" s="1">
        <f t="shared" si="49"/>
        <v>-1.7808219178082341E-3</v>
      </c>
      <c r="I142" s="1">
        <f t="shared" si="49"/>
        <v>-1.7808219178082063E-3</v>
      </c>
      <c r="J142" s="1">
        <f t="shared" si="49"/>
        <v>-1.7808219178082063E-3</v>
      </c>
      <c r="K142" s="1">
        <f t="shared" si="49"/>
        <v>-1.7808219178082341E-3</v>
      </c>
      <c r="L142" s="1">
        <f t="shared" si="50"/>
        <v>-1.7808219178082063E-3</v>
      </c>
      <c r="M142" s="1">
        <f t="shared" si="50"/>
        <v>-1.7808219178082341E-3</v>
      </c>
      <c r="N142" s="1">
        <f t="shared" si="50"/>
        <v>-6.3917919841352533E-4</v>
      </c>
      <c r="O142" s="1">
        <f t="shared" si="50"/>
        <v>-4.0605095541398906E-4</v>
      </c>
      <c r="P142" s="1">
        <f t="shared" si="50"/>
        <v>-4.0605095541401681E-4</v>
      </c>
      <c r="Q142" s="1">
        <f t="shared" si="50"/>
        <v>-4.0605095541401681E-4</v>
      </c>
      <c r="R142" s="1">
        <f t="shared" si="50"/>
        <v>-4.0605095541401681E-4</v>
      </c>
      <c r="S142" s="1">
        <f t="shared" si="50"/>
        <v>-4.0605095541401681E-4</v>
      </c>
      <c r="T142" s="1">
        <f t="shared" si="50"/>
        <v>-4.0605095541401681E-4</v>
      </c>
      <c r="U142" s="1">
        <f t="shared" si="50"/>
        <v>-4.0605095541401681E-4</v>
      </c>
      <c r="V142" s="1">
        <f t="shared" si="51"/>
        <v>4.0605095541401681E-4</v>
      </c>
      <c r="W142" s="1">
        <f t="shared" si="51"/>
        <v>4.0605095541401681E-4</v>
      </c>
      <c r="X142" s="1">
        <f t="shared" si="51"/>
        <v>4.0605095541401681E-4</v>
      </c>
      <c r="Y142" s="1">
        <f t="shared" si="51"/>
        <v>4.0605095541401681E-4</v>
      </c>
      <c r="Z142" s="1">
        <f t="shared" si="51"/>
        <v>4.0605095541401681E-4</v>
      </c>
      <c r="AA142" s="1">
        <f t="shared" si="51"/>
        <v>4.0605095541401681E-4</v>
      </c>
      <c r="AB142" s="1">
        <f t="shared" si="51"/>
        <v>4.0605095541398906E-4</v>
      </c>
      <c r="AC142" s="1">
        <f t="shared" si="51"/>
        <v>6.3917919841352533E-4</v>
      </c>
      <c r="AD142" s="1">
        <f t="shared" si="51"/>
        <v>1.7808219178082341E-3</v>
      </c>
      <c r="AE142" s="1">
        <f t="shared" si="51"/>
        <v>1.7808219178082063E-3</v>
      </c>
      <c r="AF142" s="1">
        <f t="shared" si="52"/>
        <v>1.7808219178082341E-3</v>
      </c>
      <c r="AG142" s="1">
        <f t="shared" si="52"/>
        <v>1.7808219178082063E-3</v>
      </c>
      <c r="AH142" s="1">
        <f t="shared" si="52"/>
        <v>1.7808219178082063E-3</v>
      </c>
      <c r="AI142" s="1">
        <f t="shared" si="52"/>
        <v>1.7808219178082341E-3</v>
      </c>
      <c r="AJ142" s="1">
        <f t="shared" si="52"/>
        <v>1.7808219178082063E-3</v>
      </c>
      <c r="AK142" s="1">
        <f t="shared" si="52"/>
        <v>3.5063724529883211E-3</v>
      </c>
      <c r="AL142" s="1">
        <f t="shared" si="52"/>
        <v>3.7244897959183842E-3</v>
      </c>
      <c r="AM142" s="1">
        <f t="shared" si="52"/>
        <v>3.7244897959183565E-3</v>
      </c>
      <c r="AN142" s="1">
        <f t="shared" si="52"/>
        <v>3.7244897959183565E-3</v>
      </c>
      <c r="AO142" s="1">
        <f t="shared" si="52"/>
        <v>3.7244897959183842E-3</v>
      </c>
    </row>
    <row r="143" spans="1:41">
      <c r="B143" s="1">
        <f t="shared" si="49"/>
        <v>-3.7244897959183842E-3</v>
      </c>
      <c r="C143" s="1">
        <f t="shared" si="49"/>
        <v>-3.7244897959183565E-3</v>
      </c>
      <c r="D143" s="1">
        <f t="shared" si="49"/>
        <v>-3.7244897959183565E-3</v>
      </c>
      <c r="E143" s="1">
        <f t="shared" si="49"/>
        <v>-3.7244897959183842E-3</v>
      </c>
      <c r="F143" s="1">
        <f t="shared" si="49"/>
        <v>-3.5063724529883211E-3</v>
      </c>
      <c r="G143" s="1">
        <f t="shared" si="49"/>
        <v>-1.7808219178082063E-3</v>
      </c>
      <c r="H143" s="1">
        <f t="shared" si="49"/>
        <v>-1.7808219178082341E-3</v>
      </c>
      <c r="I143" s="1">
        <f t="shared" si="49"/>
        <v>-1.7808219178082063E-3</v>
      </c>
      <c r="J143" s="1">
        <f t="shared" si="49"/>
        <v>-1.7808219178082063E-3</v>
      </c>
      <c r="K143" s="1">
        <f t="shared" si="49"/>
        <v>-1.7808219178082341E-3</v>
      </c>
      <c r="L143" s="1">
        <f t="shared" si="50"/>
        <v>-1.7808219178082063E-3</v>
      </c>
      <c r="M143" s="1">
        <f t="shared" si="50"/>
        <v>-1.7808219178082341E-3</v>
      </c>
      <c r="N143" s="1">
        <f t="shared" si="50"/>
        <v>-6.3917919841352533E-4</v>
      </c>
      <c r="O143" s="1">
        <f t="shared" si="50"/>
        <v>-4.0605095541398906E-4</v>
      </c>
      <c r="P143" s="1">
        <f t="shared" si="50"/>
        <v>-4.0605095541401681E-4</v>
      </c>
      <c r="Q143" s="1">
        <f t="shared" si="50"/>
        <v>-4.0605095541401681E-4</v>
      </c>
      <c r="R143" s="1">
        <f t="shared" si="50"/>
        <v>-4.0605095541401681E-4</v>
      </c>
      <c r="S143" s="1">
        <f t="shared" si="50"/>
        <v>-4.0605095541401681E-4</v>
      </c>
      <c r="T143" s="1">
        <f t="shared" si="50"/>
        <v>-4.0605095541401681E-4</v>
      </c>
      <c r="U143" s="1">
        <f t="shared" si="50"/>
        <v>-4.0605095541401681E-4</v>
      </c>
      <c r="V143" s="1">
        <f t="shared" si="51"/>
        <v>4.0605095541401681E-4</v>
      </c>
      <c r="W143" s="1">
        <f t="shared" si="51"/>
        <v>4.0605095541401681E-4</v>
      </c>
      <c r="X143" s="1">
        <f t="shared" si="51"/>
        <v>4.0605095541401681E-4</v>
      </c>
      <c r="Y143" s="1">
        <f t="shared" si="51"/>
        <v>4.0605095541401681E-4</v>
      </c>
      <c r="Z143" s="1">
        <f t="shared" si="51"/>
        <v>4.0605095541401681E-4</v>
      </c>
      <c r="AA143" s="1">
        <f t="shared" si="51"/>
        <v>4.0605095541401681E-4</v>
      </c>
      <c r="AB143" s="1">
        <f t="shared" si="51"/>
        <v>4.0605095541398906E-4</v>
      </c>
      <c r="AC143" s="1">
        <f t="shared" si="51"/>
        <v>6.3917919841352533E-4</v>
      </c>
      <c r="AD143" s="1">
        <f t="shared" si="51"/>
        <v>1.7808219178082341E-3</v>
      </c>
      <c r="AE143" s="1">
        <f t="shared" si="51"/>
        <v>1.7808219178082063E-3</v>
      </c>
      <c r="AF143" s="1">
        <f t="shared" si="52"/>
        <v>1.7808219178082341E-3</v>
      </c>
      <c r="AG143" s="1">
        <f t="shared" si="52"/>
        <v>1.7808219178082063E-3</v>
      </c>
      <c r="AH143" s="1">
        <f t="shared" si="52"/>
        <v>1.7808219178082063E-3</v>
      </c>
      <c r="AI143" s="1">
        <f t="shared" si="52"/>
        <v>1.7808219178082341E-3</v>
      </c>
      <c r="AJ143" s="1">
        <f t="shared" si="52"/>
        <v>1.7808219178082063E-3</v>
      </c>
      <c r="AK143" s="1">
        <f t="shared" si="52"/>
        <v>3.5063724529883211E-3</v>
      </c>
      <c r="AL143" s="1">
        <f t="shared" si="52"/>
        <v>3.7244897959183842E-3</v>
      </c>
      <c r="AM143" s="1">
        <f t="shared" si="52"/>
        <v>3.7244897959183565E-3</v>
      </c>
      <c r="AN143" s="1">
        <f t="shared" si="52"/>
        <v>3.7244897959183565E-3</v>
      </c>
      <c r="AO143" s="1">
        <f t="shared" si="52"/>
        <v>3.7244897959183842E-3</v>
      </c>
    </row>
    <row r="144" spans="1:41">
      <c r="B144" s="1">
        <f t="shared" si="49"/>
        <v>-3.7244897959183842E-3</v>
      </c>
      <c r="C144" s="1">
        <f t="shared" si="49"/>
        <v>-3.7244897959183565E-3</v>
      </c>
      <c r="D144" s="1">
        <f t="shared" si="49"/>
        <v>-3.7244897959183565E-3</v>
      </c>
      <c r="E144" s="1">
        <f t="shared" si="49"/>
        <v>-3.7244897959183842E-3</v>
      </c>
      <c r="F144" s="1">
        <f t="shared" si="49"/>
        <v>-3.5063724529883211E-3</v>
      </c>
      <c r="G144" s="1">
        <f t="shared" si="49"/>
        <v>-1.7808219178082063E-3</v>
      </c>
      <c r="H144" s="1">
        <f t="shared" si="49"/>
        <v>-1.7808219178082341E-3</v>
      </c>
      <c r="I144" s="1">
        <f t="shared" si="49"/>
        <v>-1.7808219178082063E-3</v>
      </c>
      <c r="J144" s="1">
        <f t="shared" si="49"/>
        <v>-1.7808219178082063E-3</v>
      </c>
      <c r="K144" s="1">
        <f t="shared" si="49"/>
        <v>-1.7808219178082341E-3</v>
      </c>
      <c r="L144" s="1">
        <f t="shared" si="50"/>
        <v>-1.7808219178082063E-3</v>
      </c>
      <c r="M144" s="1">
        <f t="shared" si="50"/>
        <v>-1.7808219178082341E-3</v>
      </c>
      <c r="N144" s="1">
        <f t="shared" si="50"/>
        <v>-6.3917919841352533E-4</v>
      </c>
      <c r="O144" s="1">
        <f t="shared" si="50"/>
        <v>-4.0605095541398906E-4</v>
      </c>
      <c r="P144" s="1">
        <f t="shared" si="50"/>
        <v>-4.0605095541401681E-4</v>
      </c>
      <c r="Q144" s="1">
        <f t="shared" si="50"/>
        <v>-4.0605095541401681E-4</v>
      </c>
      <c r="R144" s="1">
        <f t="shared" si="50"/>
        <v>-4.0605095541401681E-4</v>
      </c>
      <c r="S144" s="1">
        <f t="shared" si="50"/>
        <v>-4.0605095541401681E-4</v>
      </c>
      <c r="T144" s="1">
        <f t="shared" si="50"/>
        <v>-4.0605095541401681E-4</v>
      </c>
      <c r="U144" s="1">
        <f t="shared" si="50"/>
        <v>-4.0605095541401681E-4</v>
      </c>
      <c r="V144" s="1">
        <f t="shared" si="51"/>
        <v>4.0605095541401681E-4</v>
      </c>
      <c r="W144" s="1">
        <f t="shared" si="51"/>
        <v>4.0605095541401681E-4</v>
      </c>
      <c r="X144" s="1">
        <f t="shared" si="51"/>
        <v>4.0605095541401681E-4</v>
      </c>
      <c r="Y144" s="1">
        <f t="shared" si="51"/>
        <v>4.0605095541401681E-4</v>
      </c>
      <c r="Z144" s="1">
        <f t="shared" si="51"/>
        <v>4.0605095541401681E-4</v>
      </c>
      <c r="AA144" s="1">
        <f t="shared" si="51"/>
        <v>4.0605095541401681E-4</v>
      </c>
      <c r="AB144" s="1">
        <f t="shared" si="51"/>
        <v>4.0605095541398906E-4</v>
      </c>
      <c r="AC144" s="1">
        <f t="shared" si="51"/>
        <v>6.3917919841352533E-4</v>
      </c>
      <c r="AD144" s="1">
        <f t="shared" si="51"/>
        <v>1.7808219178082341E-3</v>
      </c>
      <c r="AE144" s="1">
        <f t="shared" si="51"/>
        <v>1.7808219178082063E-3</v>
      </c>
      <c r="AF144" s="1">
        <f t="shared" si="52"/>
        <v>1.7808219178082341E-3</v>
      </c>
      <c r="AG144" s="1">
        <f t="shared" si="52"/>
        <v>1.7808219178082063E-3</v>
      </c>
      <c r="AH144" s="1">
        <f t="shared" si="52"/>
        <v>1.7808219178082063E-3</v>
      </c>
      <c r="AI144" s="1">
        <f t="shared" si="52"/>
        <v>1.7808219178082341E-3</v>
      </c>
      <c r="AJ144" s="1">
        <f t="shared" si="52"/>
        <v>1.7808219178082063E-3</v>
      </c>
      <c r="AK144" s="1">
        <f t="shared" si="52"/>
        <v>3.5063724529883211E-3</v>
      </c>
      <c r="AL144" s="1">
        <f t="shared" si="52"/>
        <v>3.7244897959183842E-3</v>
      </c>
      <c r="AM144" s="1">
        <f t="shared" si="52"/>
        <v>3.7244897959183565E-3</v>
      </c>
      <c r="AN144" s="1">
        <f t="shared" si="52"/>
        <v>3.7244897959183565E-3</v>
      </c>
      <c r="AO144" s="1">
        <f t="shared" si="52"/>
        <v>3.7244897959183842E-3</v>
      </c>
    </row>
    <row r="145" spans="2:41">
      <c r="B145" s="1">
        <f t="shared" si="49"/>
        <v>-3.7244897959183842E-3</v>
      </c>
      <c r="C145" s="1">
        <f t="shared" si="49"/>
        <v>-3.7244897959183565E-3</v>
      </c>
      <c r="D145" s="1">
        <f t="shared" si="49"/>
        <v>-3.7244897959183565E-3</v>
      </c>
      <c r="E145" s="1">
        <f t="shared" si="49"/>
        <v>-3.7244897959183842E-3</v>
      </c>
      <c r="F145" s="1">
        <f t="shared" si="49"/>
        <v>-3.5063724529883211E-3</v>
      </c>
      <c r="G145" s="1">
        <f t="shared" si="49"/>
        <v>-1.7808219178082063E-3</v>
      </c>
      <c r="H145" s="1">
        <f t="shared" si="49"/>
        <v>-1.7808219178082341E-3</v>
      </c>
      <c r="I145" s="1">
        <f t="shared" si="49"/>
        <v>-1.7808219178082063E-3</v>
      </c>
      <c r="J145" s="1">
        <f t="shared" si="49"/>
        <v>-1.7808219178082063E-3</v>
      </c>
      <c r="K145" s="1">
        <f t="shared" si="49"/>
        <v>-1.7808219178082341E-3</v>
      </c>
      <c r="L145" s="1">
        <f t="shared" si="50"/>
        <v>-1.7808219178082063E-3</v>
      </c>
      <c r="M145" s="1">
        <f t="shared" si="50"/>
        <v>-1.7808219178082341E-3</v>
      </c>
      <c r="N145" s="1">
        <f t="shared" si="50"/>
        <v>-6.3917919841352533E-4</v>
      </c>
      <c r="O145" s="1">
        <f t="shared" si="50"/>
        <v>-4.0605095541398906E-4</v>
      </c>
      <c r="P145" s="1">
        <f t="shared" si="50"/>
        <v>-4.0605095541401681E-4</v>
      </c>
      <c r="Q145" s="1">
        <f t="shared" si="50"/>
        <v>-4.0605095541401681E-4</v>
      </c>
      <c r="R145" s="1">
        <f t="shared" si="50"/>
        <v>-4.0605095541401681E-4</v>
      </c>
      <c r="S145" s="1">
        <f t="shared" si="50"/>
        <v>-4.0605095541401681E-4</v>
      </c>
      <c r="T145" s="1">
        <f t="shared" si="50"/>
        <v>-4.0605095541401681E-4</v>
      </c>
      <c r="U145" s="1">
        <f t="shared" si="50"/>
        <v>-4.0605095541401681E-4</v>
      </c>
      <c r="V145" s="1">
        <f t="shared" si="51"/>
        <v>4.0605095541401681E-4</v>
      </c>
      <c r="W145" s="1">
        <f t="shared" si="51"/>
        <v>4.0605095541401681E-4</v>
      </c>
      <c r="X145" s="1">
        <f t="shared" si="51"/>
        <v>4.0605095541401681E-4</v>
      </c>
      <c r="Y145" s="1">
        <f t="shared" si="51"/>
        <v>4.0605095541401681E-4</v>
      </c>
      <c r="Z145" s="1">
        <f t="shared" si="51"/>
        <v>4.0605095541401681E-4</v>
      </c>
      <c r="AA145" s="1">
        <f t="shared" si="51"/>
        <v>4.0605095541401681E-4</v>
      </c>
      <c r="AB145" s="1">
        <f t="shared" si="51"/>
        <v>4.0605095541398906E-4</v>
      </c>
      <c r="AC145" s="1">
        <f t="shared" si="51"/>
        <v>6.3917919841352533E-4</v>
      </c>
      <c r="AD145" s="1">
        <f t="shared" si="51"/>
        <v>1.7808219178082341E-3</v>
      </c>
      <c r="AE145" s="1">
        <f t="shared" si="51"/>
        <v>1.7808219178082063E-3</v>
      </c>
      <c r="AF145" s="1">
        <f t="shared" si="52"/>
        <v>1.7808219178082341E-3</v>
      </c>
      <c r="AG145" s="1">
        <f t="shared" si="52"/>
        <v>1.7808219178082063E-3</v>
      </c>
      <c r="AH145" s="1">
        <f t="shared" si="52"/>
        <v>1.7808219178082063E-3</v>
      </c>
      <c r="AI145" s="1">
        <f t="shared" si="52"/>
        <v>1.7808219178082341E-3</v>
      </c>
      <c r="AJ145" s="1">
        <f t="shared" si="52"/>
        <v>1.7808219178082063E-3</v>
      </c>
      <c r="AK145" s="1">
        <f t="shared" si="52"/>
        <v>3.5063724529883211E-3</v>
      </c>
      <c r="AL145" s="1">
        <f t="shared" si="52"/>
        <v>3.7244897959183842E-3</v>
      </c>
      <c r="AM145" s="1">
        <f t="shared" si="52"/>
        <v>3.7244897959183565E-3</v>
      </c>
      <c r="AN145" s="1">
        <f t="shared" si="52"/>
        <v>3.7244897959183565E-3</v>
      </c>
      <c r="AO145" s="1">
        <f t="shared" si="52"/>
        <v>3.7244897959183842E-3</v>
      </c>
    </row>
    <row r="146" spans="2:41">
      <c r="B146" s="1">
        <f t="shared" si="49"/>
        <v>-3.7244897959183842E-3</v>
      </c>
      <c r="C146" s="1">
        <f t="shared" si="49"/>
        <v>-3.7244897959183565E-3</v>
      </c>
      <c r="D146" s="1">
        <f t="shared" si="49"/>
        <v>-3.7244897959183565E-3</v>
      </c>
      <c r="E146" s="1">
        <f t="shared" si="49"/>
        <v>-3.7244897959183842E-3</v>
      </c>
      <c r="F146" s="1">
        <f t="shared" si="49"/>
        <v>-3.5063724529883211E-3</v>
      </c>
      <c r="G146" s="1">
        <f t="shared" si="49"/>
        <v>-1.7808219178082063E-3</v>
      </c>
      <c r="H146" s="1">
        <f t="shared" si="49"/>
        <v>-1.7808219178082341E-3</v>
      </c>
      <c r="I146" s="1">
        <f t="shared" si="49"/>
        <v>-1.7808219178082063E-3</v>
      </c>
      <c r="J146" s="1">
        <f t="shared" si="49"/>
        <v>-1.7808219178082063E-3</v>
      </c>
      <c r="K146" s="1">
        <f t="shared" si="49"/>
        <v>-1.7808219178082341E-3</v>
      </c>
      <c r="L146" s="1">
        <f t="shared" si="50"/>
        <v>-1.7808219178082063E-3</v>
      </c>
      <c r="M146" s="1">
        <f t="shared" si="50"/>
        <v>-1.7808219178082341E-3</v>
      </c>
      <c r="N146" s="1">
        <f t="shared" si="50"/>
        <v>-6.3917919841352533E-4</v>
      </c>
      <c r="O146" s="1">
        <f t="shared" si="50"/>
        <v>-4.0605095541398906E-4</v>
      </c>
      <c r="P146" s="1">
        <f t="shared" si="50"/>
        <v>-4.0605095541401681E-4</v>
      </c>
      <c r="Q146" s="1">
        <f t="shared" si="50"/>
        <v>-4.0605095541401681E-4</v>
      </c>
      <c r="R146" s="1">
        <f t="shared" si="50"/>
        <v>-4.0605095541401681E-4</v>
      </c>
      <c r="S146" s="1">
        <f t="shared" si="50"/>
        <v>-4.0605095541401681E-4</v>
      </c>
      <c r="T146" s="1">
        <f t="shared" si="50"/>
        <v>-4.0605095541401681E-4</v>
      </c>
      <c r="U146" s="1">
        <f t="shared" si="50"/>
        <v>-4.0605095541401681E-4</v>
      </c>
      <c r="V146" s="1">
        <f t="shared" si="51"/>
        <v>4.0605095541401681E-4</v>
      </c>
      <c r="W146" s="1">
        <f t="shared" si="51"/>
        <v>4.0605095541401681E-4</v>
      </c>
      <c r="X146" s="1">
        <f t="shared" si="51"/>
        <v>4.0605095541401681E-4</v>
      </c>
      <c r="Y146" s="1">
        <f t="shared" si="51"/>
        <v>4.0605095541401681E-4</v>
      </c>
      <c r="Z146" s="1">
        <f t="shared" si="51"/>
        <v>4.0605095541401681E-4</v>
      </c>
      <c r="AA146" s="1">
        <f t="shared" si="51"/>
        <v>4.0605095541401681E-4</v>
      </c>
      <c r="AB146" s="1">
        <f t="shared" si="51"/>
        <v>4.0605095541398906E-4</v>
      </c>
      <c r="AC146" s="1">
        <f t="shared" si="51"/>
        <v>6.3917919841352533E-4</v>
      </c>
      <c r="AD146" s="1">
        <f t="shared" si="51"/>
        <v>1.7808219178082341E-3</v>
      </c>
      <c r="AE146" s="1">
        <f t="shared" si="51"/>
        <v>1.7808219178082063E-3</v>
      </c>
      <c r="AF146" s="1">
        <f t="shared" si="52"/>
        <v>1.7808219178082341E-3</v>
      </c>
      <c r="AG146" s="1">
        <f t="shared" si="52"/>
        <v>1.7808219178082063E-3</v>
      </c>
      <c r="AH146" s="1">
        <f t="shared" si="52"/>
        <v>1.7808219178082063E-3</v>
      </c>
      <c r="AI146" s="1">
        <f t="shared" si="52"/>
        <v>1.7808219178082341E-3</v>
      </c>
      <c r="AJ146" s="1">
        <f t="shared" si="52"/>
        <v>1.7808219178082063E-3</v>
      </c>
      <c r="AK146" s="1">
        <f t="shared" si="52"/>
        <v>3.5063724529883211E-3</v>
      </c>
      <c r="AL146" s="1">
        <f t="shared" si="52"/>
        <v>3.7244897959183842E-3</v>
      </c>
      <c r="AM146" s="1">
        <f t="shared" si="52"/>
        <v>3.7244897959183565E-3</v>
      </c>
      <c r="AN146" s="1">
        <f t="shared" si="52"/>
        <v>3.7244897959183565E-3</v>
      </c>
      <c r="AO146" s="1">
        <f t="shared" si="52"/>
        <v>3.7244897959183842E-3</v>
      </c>
    </row>
    <row r="147" spans="2:41">
      <c r="B147" s="1">
        <f t="shared" si="49"/>
        <v>-3.7244897959183842E-3</v>
      </c>
      <c r="C147" s="1">
        <f t="shared" si="49"/>
        <v>-3.7244897959183565E-3</v>
      </c>
      <c r="D147" s="1">
        <f t="shared" si="49"/>
        <v>-3.7244897959183565E-3</v>
      </c>
      <c r="E147" s="1">
        <f t="shared" si="49"/>
        <v>-3.7244897959183842E-3</v>
      </c>
      <c r="F147" s="1">
        <f t="shared" si="49"/>
        <v>-3.5063724529883211E-3</v>
      </c>
      <c r="G147" s="1">
        <f t="shared" si="49"/>
        <v>-1.7808219178082063E-3</v>
      </c>
      <c r="H147" s="1">
        <f t="shared" si="49"/>
        <v>-1.7808219178082341E-3</v>
      </c>
      <c r="I147" s="1">
        <f t="shared" si="49"/>
        <v>-1.7808219178082063E-3</v>
      </c>
      <c r="J147" s="1">
        <f t="shared" si="49"/>
        <v>-1.7808219178082063E-3</v>
      </c>
      <c r="K147" s="1">
        <f t="shared" si="49"/>
        <v>-1.7808219178082341E-3</v>
      </c>
      <c r="L147" s="1">
        <f t="shared" si="50"/>
        <v>-1.7808219178082063E-3</v>
      </c>
      <c r="M147" s="1">
        <f t="shared" si="50"/>
        <v>-1.7808219178082341E-3</v>
      </c>
      <c r="N147" s="1">
        <f t="shared" si="50"/>
        <v>-6.3917919841352533E-4</v>
      </c>
      <c r="O147" s="1">
        <f t="shared" si="50"/>
        <v>-4.0605095541398906E-4</v>
      </c>
      <c r="P147" s="1">
        <f t="shared" si="50"/>
        <v>-4.0605095541401681E-4</v>
      </c>
      <c r="Q147" s="1">
        <f t="shared" si="50"/>
        <v>-4.0605095541401681E-4</v>
      </c>
      <c r="R147" s="1">
        <f t="shared" si="50"/>
        <v>-4.0605095541401681E-4</v>
      </c>
      <c r="S147" s="1">
        <f t="shared" si="50"/>
        <v>-4.0605095541401681E-4</v>
      </c>
      <c r="T147" s="1">
        <f t="shared" si="50"/>
        <v>-4.0605095541401681E-4</v>
      </c>
      <c r="U147" s="1">
        <f t="shared" si="50"/>
        <v>-4.0605095541401681E-4</v>
      </c>
      <c r="V147" s="1">
        <f t="shared" si="51"/>
        <v>4.0605095541401681E-4</v>
      </c>
      <c r="W147" s="1">
        <f t="shared" si="51"/>
        <v>4.0605095541401681E-4</v>
      </c>
      <c r="X147" s="1">
        <f t="shared" si="51"/>
        <v>4.0605095541401681E-4</v>
      </c>
      <c r="Y147" s="1">
        <f t="shared" si="51"/>
        <v>4.0605095541401681E-4</v>
      </c>
      <c r="Z147" s="1">
        <f t="shared" si="51"/>
        <v>4.0605095541401681E-4</v>
      </c>
      <c r="AA147" s="1">
        <f t="shared" si="51"/>
        <v>4.0605095541401681E-4</v>
      </c>
      <c r="AB147" s="1">
        <f t="shared" si="51"/>
        <v>4.0605095541398906E-4</v>
      </c>
      <c r="AC147" s="1">
        <f t="shared" si="51"/>
        <v>6.3917919841352533E-4</v>
      </c>
      <c r="AD147" s="1">
        <f t="shared" si="51"/>
        <v>1.7808219178082341E-3</v>
      </c>
      <c r="AE147" s="1">
        <f t="shared" si="51"/>
        <v>1.7808219178082063E-3</v>
      </c>
      <c r="AF147" s="1">
        <f t="shared" si="52"/>
        <v>1.7808219178082341E-3</v>
      </c>
      <c r="AG147" s="1">
        <f t="shared" si="52"/>
        <v>1.7808219178082063E-3</v>
      </c>
      <c r="AH147" s="1">
        <f t="shared" si="52"/>
        <v>1.7808219178082063E-3</v>
      </c>
      <c r="AI147" s="1">
        <f t="shared" si="52"/>
        <v>1.7808219178082341E-3</v>
      </c>
      <c r="AJ147" s="1">
        <f t="shared" si="52"/>
        <v>1.7808219178082063E-3</v>
      </c>
      <c r="AK147" s="1">
        <f t="shared" si="52"/>
        <v>3.5063724529883211E-3</v>
      </c>
      <c r="AL147" s="1">
        <f t="shared" si="52"/>
        <v>3.7244897959183842E-3</v>
      </c>
      <c r="AM147" s="1">
        <f t="shared" si="52"/>
        <v>3.7244897959183565E-3</v>
      </c>
      <c r="AN147" s="1">
        <f t="shared" si="52"/>
        <v>3.7244897959183565E-3</v>
      </c>
      <c r="AO147" s="1">
        <f t="shared" si="52"/>
        <v>3.7244897959183842E-3</v>
      </c>
    </row>
    <row r="148" spans="2:41">
      <c r="B148" s="1">
        <f t="shared" si="49"/>
        <v>-3.7244897959183842E-3</v>
      </c>
      <c r="C148" s="1">
        <f t="shared" si="49"/>
        <v>-3.7244897959183565E-3</v>
      </c>
      <c r="D148" s="1">
        <f t="shared" si="49"/>
        <v>-3.7244897959183565E-3</v>
      </c>
      <c r="E148" s="1">
        <f t="shared" si="49"/>
        <v>-3.7244897959183842E-3</v>
      </c>
      <c r="F148" s="1">
        <f t="shared" si="49"/>
        <v>-3.5063724529883211E-3</v>
      </c>
      <c r="G148" s="1">
        <f t="shared" si="49"/>
        <v>-1.7808219178082063E-3</v>
      </c>
      <c r="H148" s="1">
        <f t="shared" si="49"/>
        <v>-1.7808219178082341E-3</v>
      </c>
      <c r="I148" s="1">
        <f t="shared" si="49"/>
        <v>-1.7808219178082063E-3</v>
      </c>
      <c r="J148" s="1">
        <f t="shared" si="49"/>
        <v>-1.7808219178082063E-3</v>
      </c>
      <c r="K148" s="1">
        <f t="shared" si="49"/>
        <v>-1.7808219178082341E-3</v>
      </c>
      <c r="L148" s="1">
        <f t="shared" si="50"/>
        <v>-1.7808219178082063E-3</v>
      </c>
      <c r="M148" s="1">
        <f t="shared" si="50"/>
        <v>-1.7808219178082341E-3</v>
      </c>
      <c r="N148" s="1">
        <f t="shared" si="50"/>
        <v>-6.3917919841352533E-4</v>
      </c>
      <c r="O148" s="1">
        <f t="shared" si="50"/>
        <v>-4.0605095541398906E-4</v>
      </c>
      <c r="P148" s="1">
        <f t="shared" si="50"/>
        <v>-4.0605095541401681E-4</v>
      </c>
      <c r="Q148" s="1">
        <f t="shared" si="50"/>
        <v>-4.0605095541401681E-4</v>
      </c>
      <c r="R148" s="1">
        <f t="shared" si="50"/>
        <v>-4.0605095541401681E-4</v>
      </c>
      <c r="S148" s="1">
        <f t="shared" si="50"/>
        <v>-4.0605095541401681E-4</v>
      </c>
      <c r="T148" s="1">
        <f t="shared" si="50"/>
        <v>-4.0605095541401681E-4</v>
      </c>
      <c r="U148" s="1">
        <f t="shared" si="50"/>
        <v>-4.0605095541401681E-4</v>
      </c>
      <c r="V148" s="1">
        <f t="shared" si="51"/>
        <v>4.0605095541401681E-4</v>
      </c>
      <c r="W148" s="1">
        <f t="shared" si="51"/>
        <v>4.0605095541401681E-4</v>
      </c>
      <c r="X148" s="1">
        <f t="shared" si="51"/>
        <v>4.0605095541401681E-4</v>
      </c>
      <c r="Y148" s="1">
        <f t="shared" si="51"/>
        <v>4.0605095541401681E-4</v>
      </c>
      <c r="Z148" s="1">
        <f t="shared" si="51"/>
        <v>4.0605095541401681E-4</v>
      </c>
      <c r="AA148" s="1">
        <f t="shared" si="51"/>
        <v>4.0605095541401681E-4</v>
      </c>
      <c r="AB148" s="1">
        <f t="shared" si="51"/>
        <v>4.0605095541398906E-4</v>
      </c>
      <c r="AC148" s="1">
        <f t="shared" si="51"/>
        <v>6.3917919841352533E-4</v>
      </c>
      <c r="AD148" s="1">
        <f t="shared" si="51"/>
        <v>1.7808219178082341E-3</v>
      </c>
      <c r="AE148" s="1">
        <f t="shared" si="51"/>
        <v>1.7808219178082063E-3</v>
      </c>
      <c r="AF148" s="1">
        <f t="shared" si="52"/>
        <v>1.7808219178082341E-3</v>
      </c>
      <c r="AG148" s="1">
        <f t="shared" si="52"/>
        <v>1.7808219178082063E-3</v>
      </c>
      <c r="AH148" s="1">
        <f t="shared" si="52"/>
        <v>1.7808219178082063E-3</v>
      </c>
      <c r="AI148" s="1">
        <f t="shared" si="52"/>
        <v>1.7808219178082341E-3</v>
      </c>
      <c r="AJ148" s="1">
        <f t="shared" si="52"/>
        <v>1.7808219178082063E-3</v>
      </c>
      <c r="AK148" s="1">
        <f t="shared" si="52"/>
        <v>3.5063724529883211E-3</v>
      </c>
      <c r="AL148" s="1">
        <f t="shared" si="52"/>
        <v>3.7244897959183842E-3</v>
      </c>
      <c r="AM148" s="1">
        <f t="shared" si="52"/>
        <v>3.7244897959183565E-3</v>
      </c>
      <c r="AN148" s="1">
        <f t="shared" si="52"/>
        <v>3.7244897959183565E-3</v>
      </c>
      <c r="AO148" s="1">
        <f t="shared" si="52"/>
        <v>3.7244897959183842E-3</v>
      </c>
    </row>
    <row r="149" spans="2:41">
      <c r="B149" s="1">
        <f t="shared" ref="B149:K158" si="53">B$108-B$106</f>
        <v>-3.7244897959183842E-3</v>
      </c>
      <c r="C149" s="1">
        <f t="shared" si="53"/>
        <v>-3.7244897959183565E-3</v>
      </c>
      <c r="D149" s="1">
        <f t="shared" si="53"/>
        <v>-3.7244897959183565E-3</v>
      </c>
      <c r="E149" s="1">
        <f t="shared" si="53"/>
        <v>-3.7244897959183842E-3</v>
      </c>
      <c r="F149" s="1">
        <f t="shared" si="53"/>
        <v>-3.5063724529883211E-3</v>
      </c>
      <c r="G149" s="1">
        <f t="shared" si="53"/>
        <v>-1.7808219178082063E-3</v>
      </c>
      <c r="H149" s="1">
        <f t="shared" si="53"/>
        <v>-1.7808219178082341E-3</v>
      </c>
      <c r="I149" s="1">
        <f t="shared" si="53"/>
        <v>-1.7808219178082063E-3</v>
      </c>
      <c r="J149" s="1">
        <f t="shared" si="53"/>
        <v>-1.7808219178082063E-3</v>
      </c>
      <c r="K149" s="1">
        <f t="shared" si="53"/>
        <v>-1.7808219178082341E-3</v>
      </c>
      <c r="L149" s="1">
        <f t="shared" ref="L149:U158" si="54">L$108-L$106</f>
        <v>-1.7808219178082063E-3</v>
      </c>
      <c r="M149" s="1">
        <f t="shared" si="54"/>
        <v>-1.7808219178082341E-3</v>
      </c>
      <c r="N149" s="1">
        <f t="shared" si="54"/>
        <v>-6.3917919841352533E-4</v>
      </c>
      <c r="O149" s="1">
        <f t="shared" si="54"/>
        <v>-4.0605095541398906E-4</v>
      </c>
      <c r="P149" s="1">
        <f t="shared" si="54"/>
        <v>-4.0605095541401681E-4</v>
      </c>
      <c r="Q149" s="1">
        <f t="shared" si="54"/>
        <v>-4.0605095541401681E-4</v>
      </c>
      <c r="R149" s="1">
        <f t="shared" si="54"/>
        <v>-4.0605095541401681E-4</v>
      </c>
      <c r="S149" s="1">
        <f t="shared" si="54"/>
        <v>-4.0605095541401681E-4</v>
      </c>
      <c r="T149" s="1">
        <f t="shared" si="54"/>
        <v>-4.0605095541401681E-4</v>
      </c>
      <c r="U149" s="1">
        <f t="shared" si="54"/>
        <v>-4.0605095541401681E-4</v>
      </c>
      <c r="V149" s="1">
        <f t="shared" ref="V149:AE158" si="55">V$108-V$106</f>
        <v>4.0605095541401681E-4</v>
      </c>
      <c r="W149" s="1">
        <f t="shared" si="55"/>
        <v>4.0605095541401681E-4</v>
      </c>
      <c r="X149" s="1">
        <f t="shared" si="55"/>
        <v>4.0605095541401681E-4</v>
      </c>
      <c r="Y149" s="1">
        <f t="shared" si="55"/>
        <v>4.0605095541401681E-4</v>
      </c>
      <c r="Z149" s="1">
        <f t="shared" si="55"/>
        <v>4.0605095541401681E-4</v>
      </c>
      <c r="AA149" s="1">
        <f t="shared" si="55"/>
        <v>4.0605095541401681E-4</v>
      </c>
      <c r="AB149" s="1">
        <f t="shared" si="55"/>
        <v>4.0605095541398906E-4</v>
      </c>
      <c r="AC149" s="1">
        <f t="shared" si="55"/>
        <v>6.3917919841352533E-4</v>
      </c>
      <c r="AD149" s="1">
        <f t="shared" si="55"/>
        <v>1.7808219178082341E-3</v>
      </c>
      <c r="AE149" s="1">
        <f t="shared" si="55"/>
        <v>1.7808219178082063E-3</v>
      </c>
      <c r="AF149" s="1">
        <f t="shared" ref="AF149:AO158" si="56">AF$108-AF$106</f>
        <v>1.7808219178082341E-3</v>
      </c>
      <c r="AG149" s="1">
        <f t="shared" si="56"/>
        <v>1.7808219178082063E-3</v>
      </c>
      <c r="AH149" s="1">
        <f t="shared" si="56"/>
        <v>1.7808219178082063E-3</v>
      </c>
      <c r="AI149" s="1">
        <f t="shared" si="56"/>
        <v>1.7808219178082341E-3</v>
      </c>
      <c r="AJ149" s="1">
        <f t="shared" si="56"/>
        <v>1.7808219178082063E-3</v>
      </c>
      <c r="AK149" s="1">
        <f t="shared" si="56"/>
        <v>3.5063724529883211E-3</v>
      </c>
      <c r="AL149" s="1">
        <f t="shared" si="56"/>
        <v>3.7244897959183842E-3</v>
      </c>
      <c r="AM149" s="1">
        <f t="shared" si="56"/>
        <v>3.7244897959183565E-3</v>
      </c>
      <c r="AN149" s="1">
        <f t="shared" si="56"/>
        <v>3.7244897959183565E-3</v>
      </c>
      <c r="AO149" s="1">
        <f t="shared" si="56"/>
        <v>3.7244897959183842E-3</v>
      </c>
    </row>
    <row r="150" spans="2:41">
      <c r="B150" s="1">
        <f t="shared" si="53"/>
        <v>-3.7244897959183842E-3</v>
      </c>
      <c r="C150" s="1">
        <f t="shared" si="53"/>
        <v>-3.7244897959183565E-3</v>
      </c>
      <c r="D150" s="1">
        <f t="shared" si="53"/>
        <v>-3.7244897959183565E-3</v>
      </c>
      <c r="E150" s="1">
        <f t="shared" si="53"/>
        <v>-3.7244897959183842E-3</v>
      </c>
      <c r="F150" s="1">
        <f t="shared" si="53"/>
        <v>-3.5063724529883211E-3</v>
      </c>
      <c r="G150" s="1">
        <f t="shared" si="53"/>
        <v>-1.7808219178082063E-3</v>
      </c>
      <c r="H150" s="1">
        <f t="shared" si="53"/>
        <v>-1.7808219178082341E-3</v>
      </c>
      <c r="I150" s="1">
        <f t="shared" si="53"/>
        <v>-1.7808219178082063E-3</v>
      </c>
      <c r="J150" s="1">
        <f t="shared" si="53"/>
        <v>-1.7808219178082063E-3</v>
      </c>
      <c r="K150" s="1">
        <f t="shared" si="53"/>
        <v>-1.7808219178082341E-3</v>
      </c>
      <c r="L150" s="1">
        <f t="shared" si="54"/>
        <v>-1.7808219178082063E-3</v>
      </c>
      <c r="M150" s="1">
        <f t="shared" si="54"/>
        <v>-1.7808219178082341E-3</v>
      </c>
      <c r="N150" s="1">
        <f t="shared" si="54"/>
        <v>-6.3917919841352533E-4</v>
      </c>
      <c r="O150" s="1">
        <f t="shared" si="54"/>
        <v>-4.0605095541398906E-4</v>
      </c>
      <c r="P150" s="1">
        <f t="shared" si="54"/>
        <v>-4.0605095541401681E-4</v>
      </c>
      <c r="Q150" s="1">
        <f t="shared" si="54"/>
        <v>-4.0605095541401681E-4</v>
      </c>
      <c r="R150" s="1">
        <f t="shared" si="54"/>
        <v>-4.0605095541401681E-4</v>
      </c>
      <c r="S150" s="1">
        <f t="shared" si="54"/>
        <v>-4.0605095541401681E-4</v>
      </c>
      <c r="T150" s="1">
        <f t="shared" si="54"/>
        <v>-4.0605095541401681E-4</v>
      </c>
      <c r="U150" s="1">
        <f t="shared" si="54"/>
        <v>-4.0605095541401681E-4</v>
      </c>
      <c r="V150" s="1">
        <f t="shared" si="55"/>
        <v>4.0605095541401681E-4</v>
      </c>
      <c r="W150" s="1">
        <f t="shared" si="55"/>
        <v>4.0605095541401681E-4</v>
      </c>
      <c r="X150" s="1">
        <f t="shared" si="55"/>
        <v>4.0605095541401681E-4</v>
      </c>
      <c r="Y150" s="1">
        <f t="shared" si="55"/>
        <v>4.0605095541401681E-4</v>
      </c>
      <c r="Z150" s="1">
        <f t="shared" si="55"/>
        <v>4.0605095541401681E-4</v>
      </c>
      <c r="AA150" s="1">
        <f t="shared" si="55"/>
        <v>4.0605095541401681E-4</v>
      </c>
      <c r="AB150" s="1">
        <f t="shared" si="55"/>
        <v>4.0605095541398906E-4</v>
      </c>
      <c r="AC150" s="1">
        <f t="shared" si="55"/>
        <v>6.3917919841352533E-4</v>
      </c>
      <c r="AD150" s="1">
        <f t="shared" si="55"/>
        <v>1.7808219178082341E-3</v>
      </c>
      <c r="AE150" s="1">
        <f t="shared" si="55"/>
        <v>1.7808219178082063E-3</v>
      </c>
      <c r="AF150" s="1">
        <f t="shared" si="56"/>
        <v>1.7808219178082341E-3</v>
      </c>
      <c r="AG150" s="1">
        <f t="shared" si="56"/>
        <v>1.7808219178082063E-3</v>
      </c>
      <c r="AH150" s="1">
        <f t="shared" si="56"/>
        <v>1.7808219178082063E-3</v>
      </c>
      <c r="AI150" s="1">
        <f t="shared" si="56"/>
        <v>1.7808219178082341E-3</v>
      </c>
      <c r="AJ150" s="1">
        <f t="shared" si="56"/>
        <v>1.7808219178082063E-3</v>
      </c>
      <c r="AK150" s="1">
        <f t="shared" si="56"/>
        <v>3.5063724529883211E-3</v>
      </c>
      <c r="AL150" s="1">
        <f t="shared" si="56"/>
        <v>3.7244897959183842E-3</v>
      </c>
      <c r="AM150" s="1">
        <f t="shared" si="56"/>
        <v>3.7244897959183565E-3</v>
      </c>
      <c r="AN150" s="1">
        <f t="shared" si="56"/>
        <v>3.7244897959183565E-3</v>
      </c>
      <c r="AO150" s="1">
        <f t="shared" si="56"/>
        <v>3.7244897959183842E-3</v>
      </c>
    </row>
    <row r="151" spans="2:41">
      <c r="B151" s="1">
        <f t="shared" si="53"/>
        <v>-3.7244897959183842E-3</v>
      </c>
      <c r="C151" s="1">
        <f t="shared" si="53"/>
        <v>-3.7244897959183565E-3</v>
      </c>
      <c r="D151" s="1">
        <f t="shared" si="53"/>
        <v>-3.7244897959183565E-3</v>
      </c>
      <c r="E151" s="1">
        <f t="shared" si="53"/>
        <v>-3.7244897959183842E-3</v>
      </c>
      <c r="F151" s="1">
        <f t="shared" si="53"/>
        <v>-3.5063724529883211E-3</v>
      </c>
      <c r="G151" s="1">
        <f t="shared" si="53"/>
        <v>-1.7808219178082063E-3</v>
      </c>
      <c r="H151" s="1">
        <f t="shared" si="53"/>
        <v>-1.7808219178082341E-3</v>
      </c>
      <c r="I151" s="1">
        <f t="shared" si="53"/>
        <v>-1.7808219178082063E-3</v>
      </c>
      <c r="J151" s="1">
        <f t="shared" si="53"/>
        <v>-1.7808219178082063E-3</v>
      </c>
      <c r="K151" s="1">
        <f t="shared" si="53"/>
        <v>-1.7808219178082341E-3</v>
      </c>
      <c r="L151" s="1">
        <f t="shared" si="54"/>
        <v>-1.7808219178082063E-3</v>
      </c>
      <c r="M151" s="1">
        <f t="shared" si="54"/>
        <v>-1.7808219178082341E-3</v>
      </c>
      <c r="N151" s="1">
        <f t="shared" si="54"/>
        <v>-6.3917919841352533E-4</v>
      </c>
      <c r="O151" s="1">
        <f t="shared" si="54"/>
        <v>-4.0605095541398906E-4</v>
      </c>
      <c r="P151" s="1">
        <f t="shared" si="54"/>
        <v>-4.0605095541401681E-4</v>
      </c>
      <c r="Q151" s="1">
        <f t="shared" si="54"/>
        <v>-4.0605095541401681E-4</v>
      </c>
      <c r="R151" s="1">
        <f t="shared" si="54"/>
        <v>-4.0605095541401681E-4</v>
      </c>
      <c r="S151" s="1">
        <f t="shared" si="54"/>
        <v>-4.0605095541401681E-4</v>
      </c>
      <c r="T151" s="1">
        <f t="shared" si="54"/>
        <v>-4.0605095541401681E-4</v>
      </c>
      <c r="U151" s="1">
        <f t="shared" si="54"/>
        <v>-4.0605095541401681E-4</v>
      </c>
      <c r="V151" s="1">
        <f t="shared" si="55"/>
        <v>4.0605095541401681E-4</v>
      </c>
      <c r="W151" s="1">
        <f t="shared" si="55"/>
        <v>4.0605095541401681E-4</v>
      </c>
      <c r="X151" s="1">
        <f t="shared" si="55"/>
        <v>4.0605095541401681E-4</v>
      </c>
      <c r="Y151" s="1">
        <f t="shared" si="55"/>
        <v>4.0605095541401681E-4</v>
      </c>
      <c r="Z151" s="1">
        <f t="shared" si="55"/>
        <v>4.0605095541401681E-4</v>
      </c>
      <c r="AA151" s="1">
        <f t="shared" si="55"/>
        <v>4.0605095541401681E-4</v>
      </c>
      <c r="AB151" s="1">
        <f t="shared" si="55"/>
        <v>4.0605095541398906E-4</v>
      </c>
      <c r="AC151" s="1">
        <f t="shared" si="55"/>
        <v>6.3917919841352533E-4</v>
      </c>
      <c r="AD151" s="1">
        <f t="shared" si="55"/>
        <v>1.7808219178082341E-3</v>
      </c>
      <c r="AE151" s="1">
        <f t="shared" si="55"/>
        <v>1.7808219178082063E-3</v>
      </c>
      <c r="AF151" s="1">
        <f t="shared" si="56"/>
        <v>1.7808219178082341E-3</v>
      </c>
      <c r="AG151" s="1">
        <f t="shared" si="56"/>
        <v>1.7808219178082063E-3</v>
      </c>
      <c r="AH151" s="1">
        <f t="shared" si="56"/>
        <v>1.7808219178082063E-3</v>
      </c>
      <c r="AI151" s="1">
        <f t="shared" si="56"/>
        <v>1.7808219178082341E-3</v>
      </c>
      <c r="AJ151" s="1">
        <f t="shared" si="56"/>
        <v>1.7808219178082063E-3</v>
      </c>
      <c r="AK151" s="1">
        <f t="shared" si="56"/>
        <v>3.5063724529883211E-3</v>
      </c>
      <c r="AL151" s="1">
        <f t="shared" si="56"/>
        <v>3.7244897959183842E-3</v>
      </c>
      <c r="AM151" s="1">
        <f t="shared" si="56"/>
        <v>3.7244897959183565E-3</v>
      </c>
      <c r="AN151" s="1">
        <f t="shared" si="56"/>
        <v>3.7244897959183565E-3</v>
      </c>
      <c r="AO151" s="1">
        <f t="shared" si="56"/>
        <v>3.7244897959183842E-3</v>
      </c>
    </row>
    <row r="152" spans="2:41">
      <c r="B152" s="1">
        <f t="shared" si="53"/>
        <v>-3.7244897959183842E-3</v>
      </c>
      <c r="C152" s="1">
        <f t="shared" si="53"/>
        <v>-3.7244897959183565E-3</v>
      </c>
      <c r="D152" s="1">
        <f t="shared" si="53"/>
        <v>-3.7244897959183565E-3</v>
      </c>
      <c r="E152" s="1">
        <f t="shared" si="53"/>
        <v>-3.7244897959183842E-3</v>
      </c>
      <c r="F152" s="1">
        <f t="shared" si="53"/>
        <v>-3.5063724529883211E-3</v>
      </c>
      <c r="G152" s="1">
        <f t="shared" si="53"/>
        <v>-1.7808219178082063E-3</v>
      </c>
      <c r="H152" s="1">
        <f t="shared" si="53"/>
        <v>-1.7808219178082341E-3</v>
      </c>
      <c r="I152" s="1">
        <f t="shared" si="53"/>
        <v>-1.7808219178082063E-3</v>
      </c>
      <c r="J152" s="1">
        <f t="shared" si="53"/>
        <v>-1.7808219178082063E-3</v>
      </c>
      <c r="K152" s="1">
        <f t="shared" si="53"/>
        <v>-1.7808219178082341E-3</v>
      </c>
      <c r="L152" s="1">
        <f t="shared" si="54"/>
        <v>-1.7808219178082063E-3</v>
      </c>
      <c r="M152" s="1">
        <f t="shared" si="54"/>
        <v>-1.7808219178082341E-3</v>
      </c>
      <c r="N152" s="1">
        <f t="shared" si="54"/>
        <v>-6.3917919841352533E-4</v>
      </c>
      <c r="O152" s="1">
        <f t="shared" si="54"/>
        <v>-4.0605095541398906E-4</v>
      </c>
      <c r="P152" s="1">
        <f t="shared" si="54"/>
        <v>-4.0605095541401681E-4</v>
      </c>
      <c r="Q152" s="1">
        <f t="shared" si="54"/>
        <v>-4.0605095541401681E-4</v>
      </c>
      <c r="R152" s="1">
        <f t="shared" si="54"/>
        <v>-4.0605095541401681E-4</v>
      </c>
      <c r="S152" s="1">
        <f t="shared" si="54"/>
        <v>-4.0605095541401681E-4</v>
      </c>
      <c r="T152" s="1">
        <f t="shared" si="54"/>
        <v>-4.0605095541401681E-4</v>
      </c>
      <c r="U152" s="1">
        <f t="shared" si="54"/>
        <v>-4.0605095541401681E-4</v>
      </c>
      <c r="V152" s="1">
        <f t="shared" si="55"/>
        <v>4.0605095541401681E-4</v>
      </c>
      <c r="W152" s="1">
        <f t="shared" si="55"/>
        <v>4.0605095541401681E-4</v>
      </c>
      <c r="X152" s="1">
        <f t="shared" si="55"/>
        <v>4.0605095541401681E-4</v>
      </c>
      <c r="Y152" s="1">
        <f t="shared" si="55"/>
        <v>4.0605095541401681E-4</v>
      </c>
      <c r="Z152" s="1">
        <f t="shared" si="55"/>
        <v>4.0605095541401681E-4</v>
      </c>
      <c r="AA152" s="1">
        <f t="shared" si="55"/>
        <v>4.0605095541401681E-4</v>
      </c>
      <c r="AB152" s="1">
        <f t="shared" si="55"/>
        <v>4.0605095541398906E-4</v>
      </c>
      <c r="AC152" s="1">
        <f t="shared" si="55"/>
        <v>6.3917919841352533E-4</v>
      </c>
      <c r="AD152" s="1">
        <f t="shared" si="55"/>
        <v>1.7808219178082341E-3</v>
      </c>
      <c r="AE152" s="1">
        <f t="shared" si="55"/>
        <v>1.7808219178082063E-3</v>
      </c>
      <c r="AF152" s="1">
        <f t="shared" si="56"/>
        <v>1.7808219178082341E-3</v>
      </c>
      <c r="AG152" s="1">
        <f t="shared" si="56"/>
        <v>1.7808219178082063E-3</v>
      </c>
      <c r="AH152" s="1">
        <f t="shared" si="56"/>
        <v>1.7808219178082063E-3</v>
      </c>
      <c r="AI152" s="1">
        <f t="shared" si="56"/>
        <v>1.7808219178082341E-3</v>
      </c>
      <c r="AJ152" s="1">
        <f t="shared" si="56"/>
        <v>1.7808219178082063E-3</v>
      </c>
      <c r="AK152" s="1">
        <f t="shared" si="56"/>
        <v>3.5063724529883211E-3</v>
      </c>
      <c r="AL152" s="1">
        <f t="shared" si="56"/>
        <v>3.7244897959183842E-3</v>
      </c>
      <c r="AM152" s="1">
        <f t="shared" si="56"/>
        <v>3.7244897959183565E-3</v>
      </c>
      <c r="AN152" s="1">
        <f t="shared" si="56"/>
        <v>3.7244897959183565E-3</v>
      </c>
      <c r="AO152" s="1">
        <f t="shared" si="56"/>
        <v>3.7244897959183842E-3</v>
      </c>
    </row>
    <row r="153" spans="2:41">
      <c r="B153" s="1">
        <f t="shared" si="53"/>
        <v>-3.7244897959183842E-3</v>
      </c>
      <c r="C153" s="1">
        <f t="shared" si="53"/>
        <v>-3.7244897959183565E-3</v>
      </c>
      <c r="D153" s="1">
        <f t="shared" si="53"/>
        <v>-3.7244897959183565E-3</v>
      </c>
      <c r="E153" s="1">
        <f t="shared" si="53"/>
        <v>-3.7244897959183842E-3</v>
      </c>
      <c r="F153" s="1">
        <f t="shared" si="53"/>
        <v>-3.5063724529883211E-3</v>
      </c>
      <c r="G153" s="1">
        <f t="shared" si="53"/>
        <v>-1.7808219178082063E-3</v>
      </c>
      <c r="H153" s="1">
        <f t="shared" si="53"/>
        <v>-1.7808219178082341E-3</v>
      </c>
      <c r="I153" s="1">
        <f t="shared" si="53"/>
        <v>-1.7808219178082063E-3</v>
      </c>
      <c r="J153" s="1">
        <f t="shared" si="53"/>
        <v>-1.7808219178082063E-3</v>
      </c>
      <c r="K153" s="1">
        <f t="shared" si="53"/>
        <v>-1.7808219178082341E-3</v>
      </c>
      <c r="L153" s="1">
        <f t="shared" si="54"/>
        <v>-1.7808219178082063E-3</v>
      </c>
      <c r="M153" s="1">
        <f t="shared" si="54"/>
        <v>-1.7808219178082341E-3</v>
      </c>
      <c r="N153" s="1">
        <f t="shared" si="54"/>
        <v>-6.3917919841352533E-4</v>
      </c>
      <c r="O153" s="1">
        <f t="shared" si="54"/>
        <v>-4.0605095541398906E-4</v>
      </c>
      <c r="P153" s="1">
        <f t="shared" si="54"/>
        <v>-4.0605095541401681E-4</v>
      </c>
      <c r="Q153" s="1">
        <f t="shared" si="54"/>
        <v>-4.0605095541401681E-4</v>
      </c>
      <c r="R153" s="1">
        <f t="shared" si="54"/>
        <v>-4.0605095541401681E-4</v>
      </c>
      <c r="S153" s="1">
        <f t="shared" si="54"/>
        <v>-4.0605095541401681E-4</v>
      </c>
      <c r="T153" s="1">
        <f t="shared" si="54"/>
        <v>-4.0605095541401681E-4</v>
      </c>
      <c r="U153" s="1">
        <f t="shared" si="54"/>
        <v>-4.0605095541401681E-4</v>
      </c>
      <c r="V153" s="1">
        <f t="shared" si="55"/>
        <v>4.0605095541401681E-4</v>
      </c>
      <c r="W153" s="1">
        <f t="shared" si="55"/>
        <v>4.0605095541401681E-4</v>
      </c>
      <c r="X153" s="1">
        <f t="shared" si="55"/>
        <v>4.0605095541401681E-4</v>
      </c>
      <c r="Y153" s="1">
        <f t="shared" si="55"/>
        <v>4.0605095541401681E-4</v>
      </c>
      <c r="Z153" s="1">
        <f t="shared" si="55"/>
        <v>4.0605095541401681E-4</v>
      </c>
      <c r="AA153" s="1">
        <f t="shared" si="55"/>
        <v>4.0605095541401681E-4</v>
      </c>
      <c r="AB153" s="1">
        <f t="shared" si="55"/>
        <v>4.0605095541398906E-4</v>
      </c>
      <c r="AC153" s="1">
        <f t="shared" si="55"/>
        <v>6.3917919841352533E-4</v>
      </c>
      <c r="AD153" s="1">
        <f t="shared" si="55"/>
        <v>1.7808219178082341E-3</v>
      </c>
      <c r="AE153" s="1">
        <f t="shared" si="55"/>
        <v>1.7808219178082063E-3</v>
      </c>
      <c r="AF153" s="1">
        <f t="shared" si="56"/>
        <v>1.7808219178082341E-3</v>
      </c>
      <c r="AG153" s="1">
        <f t="shared" si="56"/>
        <v>1.7808219178082063E-3</v>
      </c>
      <c r="AH153" s="1">
        <f t="shared" si="56"/>
        <v>1.7808219178082063E-3</v>
      </c>
      <c r="AI153" s="1">
        <f t="shared" si="56"/>
        <v>1.7808219178082341E-3</v>
      </c>
      <c r="AJ153" s="1">
        <f t="shared" si="56"/>
        <v>1.7808219178082063E-3</v>
      </c>
      <c r="AK153" s="1">
        <f t="shared" si="56"/>
        <v>3.5063724529883211E-3</v>
      </c>
      <c r="AL153" s="1">
        <f t="shared" si="56"/>
        <v>3.7244897959183842E-3</v>
      </c>
      <c r="AM153" s="1">
        <f t="shared" si="56"/>
        <v>3.7244897959183565E-3</v>
      </c>
      <c r="AN153" s="1">
        <f t="shared" si="56"/>
        <v>3.7244897959183565E-3</v>
      </c>
      <c r="AO153" s="1">
        <f t="shared" si="56"/>
        <v>3.7244897959183842E-3</v>
      </c>
    </row>
    <row r="154" spans="2:41">
      <c r="B154" s="1">
        <f t="shared" si="53"/>
        <v>-3.7244897959183842E-3</v>
      </c>
      <c r="C154" s="1">
        <f t="shared" si="53"/>
        <v>-3.7244897959183565E-3</v>
      </c>
      <c r="D154" s="1">
        <f t="shared" si="53"/>
        <v>-3.7244897959183565E-3</v>
      </c>
      <c r="E154" s="1">
        <f t="shared" si="53"/>
        <v>-3.7244897959183842E-3</v>
      </c>
      <c r="F154" s="1">
        <f t="shared" si="53"/>
        <v>-3.5063724529883211E-3</v>
      </c>
      <c r="G154" s="1">
        <f t="shared" si="53"/>
        <v>-1.7808219178082063E-3</v>
      </c>
      <c r="H154" s="1">
        <f t="shared" si="53"/>
        <v>-1.7808219178082341E-3</v>
      </c>
      <c r="I154" s="1">
        <f t="shared" si="53"/>
        <v>-1.7808219178082063E-3</v>
      </c>
      <c r="J154" s="1">
        <f t="shared" si="53"/>
        <v>-1.7808219178082063E-3</v>
      </c>
      <c r="K154" s="1">
        <f t="shared" si="53"/>
        <v>-1.7808219178082341E-3</v>
      </c>
      <c r="L154" s="1">
        <f t="shared" si="54"/>
        <v>-1.7808219178082063E-3</v>
      </c>
      <c r="M154" s="1">
        <f t="shared" si="54"/>
        <v>-1.7808219178082341E-3</v>
      </c>
      <c r="N154" s="1">
        <f t="shared" si="54"/>
        <v>-6.3917919841352533E-4</v>
      </c>
      <c r="O154" s="1">
        <f t="shared" si="54"/>
        <v>-4.0605095541398906E-4</v>
      </c>
      <c r="P154" s="1">
        <f t="shared" si="54"/>
        <v>-4.0605095541401681E-4</v>
      </c>
      <c r="Q154" s="1">
        <f t="shared" si="54"/>
        <v>-4.0605095541401681E-4</v>
      </c>
      <c r="R154" s="1">
        <f t="shared" si="54"/>
        <v>-4.0605095541401681E-4</v>
      </c>
      <c r="S154" s="1">
        <f t="shared" si="54"/>
        <v>-4.0605095541401681E-4</v>
      </c>
      <c r="T154" s="1">
        <f t="shared" si="54"/>
        <v>-4.0605095541401681E-4</v>
      </c>
      <c r="U154" s="1">
        <f t="shared" si="54"/>
        <v>-4.0605095541401681E-4</v>
      </c>
      <c r="V154" s="1">
        <f t="shared" si="55"/>
        <v>4.0605095541401681E-4</v>
      </c>
      <c r="W154" s="1">
        <f t="shared" si="55"/>
        <v>4.0605095541401681E-4</v>
      </c>
      <c r="X154" s="1">
        <f t="shared" si="55"/>
        <v>4.0605095541401681E-4</v>
      </c>
      <c r="Y154" s="1">
        <f t="shared" si="55"/>
        <v>4.0605095541401681E-4</v>
      </c>
      <c r="Z154" s="1">
        <f t="shared" si="55"/>
        <v>4.0605095541401681E-4</v>
      </c>
      <c r="AA154" s="1">
        <f t="shared" si="55"/>
        <v>4.0605095541401681E-4</v>
      </c>
      <c r="AB154" s="1">
        <f t="shared" si="55"/>
        <v>4.0605095541398906E-4</v>
      </c>
      <c r="AC154" s="1">
        <f t="shared" si="55"/>
        <v>6.3917919841352533E-4</v>
      </c>
      <c r="AD154" s="1">
        <f t="shared" si="55"/>
        <v>1.7808219178082341E-3</v>
      </c>
      <c r="AE154" s="1">
        <f t="shared" si="55"/>
        <v>1.7808219178082063E-3</v>
      </c>
      <c r="AF154" s="1">
        <f t="shared" si="56"/>
        <v>1.7808219178082341E-3</v>
      </c>
      <c r="AG154" s="1">
        <f t="shared" si="56"/>
        <v>1.7808219178082063E-3</v>
      </c>
      <c r="AH154" s="1">
        <f t="shared" si="56"/>
        <v>1.7808219178082063E-3</v>
      </c>
      <c r="AI154" s="1">
        <f t="shared" si="56"/>
        <v>1.7808219178082341E-3</v>
      </c>
      <c r="AJ154" s="1">
        <f t="shared" si="56"/>
        <v>1.7808219178082063E-3</v>
      </c>
      <c r="AK154" s="1">
        <f t="shared" si="56"/>
        <v>3.5063724529883211E-3</v>
      </c>
      <c r="AL154" s="1">
        <f t="shared" si="56"/>
        <v>3.7244897959183842E-3</v>
      </c>
      <c r="AM154" s="1">
        <f t="shared" si="56"/>
        <v>3.7244897959183565E-3</v>
      </c>
      <c r="AN154" s="1">
        <f t="shared" si="56"/>
        <v>3.7244897959183565E-3</v>
      </c>
      <c r="AO154" s="1">
        <f t="shared" si="56"/>
        <v>3.7244897959183842E-3</v>
      </c>
    </row>
    <row r="155" spans="2:41">
      <c r="B155" s="1">
        <f t="shared" si="53"/>
        <v>-3.7244897959183842E-3</v>
      </c>
      <c r="C155" s="1">
        <f t="shared" si="53"/>
        <v>-3.7244897959183565E-3</v>
      </c>
      <c r="D155" s="1">
        <f t="shared" si="53"/>
        <v>-3.7244897959183565E-3</v>
      </c>
      <c r="E155" s="1">
        <f t="shared" si="53"/>
        <v>-3.7244897959183842E-3</v>
      </c>
      <c r="F155" s="1">
        <f t="shared" si="53"/>
        <v>-3.5063724529883211E-3</v>
      </c>
      <c r="G155" s="1">
        <f t="shared" si="53"/>
        <v>-1.7808219178082063E-3</v>
      </c>
      <c r="H155" s="1">
        <f t="shared" si="53"/>
        <v>-1.7808219178082341E-3</v>
      </c>
      <c r="I155" s="1">
        <f t="shared" si="53"/>
        <v>-1.7808219178082063E-3</v>
      </c>
      <c r="J155" s="1">
        <f t="shared" si="53"/>
        <v>-1.7808219178082063E-3</v>
      </c>
      <c r="K155" s="1">
        <f t="shared" si="53"/>
        <v>-1.7808219178082341E-3</v>
      </c>
      <c r="L155" s="1">
        <f t="shared" si="54"/>
        <v>-1.7808219178082063E-3</v>
      </c>
      <c r="M155" s="1">
        <f t="shared" si="54"/>
        <v>-1.7808219178082341E-3</v>
      </c>
      <c r="N155" s="1">
        <f t="shared" si="54"/>
        <v>-6.3917919841352533E-4</v>
      </c>
      <c r="O155" s="1">
        <f t="shared" si="54"/>
        <v>-4.0605095541398906E-4</v>
      </c>
      <c r="P155" s="1">
        <f t="shared" si="54"/>
        <v>-4.0605095541401681E-4</v>
      </c>
      <c r="Q155" s="1">
        <f t="shared" si="54"/>
        <v>-4.0605095541401681E-4</v>
      </c>
      <c r="R155" s="1">
        <f t="shared" si="54"/>
        <v>-4.0605095541401681E-4</v>
      </c>
      <c r="S155" s="1">
        <f t="shared" si="54"/>
        <v>-4.0605095541401681E-4</v>
      </c>
      <c r="T155" s="1">
        <f t="shared" si="54"/>
        <v>-4.0605095541401681E-4</v>
      </c>
      <c r="U155" s="1">
        <f t="shared" si="54"/>
        <v>-4.0605095541401681E-4</v>
      </c>
      <c r="V155" s="1">
        <f t="shared" si="55"/>
        <v>4.0605095541401681E-4</v>
      </c>
      <c r="W155" s="1">
        <f t="shared" si="55"/>
        <v>4.0605095541401681E-4</v>
      </c>
      <c r="X155" s="1">
        <f t="shared" si="55"/>
        <v>4.0605095541401681E-4</v>
      </c>
      <c r="Y155" s="1">
        <f t="shared" si="55"/>
        <v>4.0605095541401681E-4</v>
      </c>
      <c r="Z155" s="1">
        <f t="shared" si="55"/>
        <v>4.0605095541401681E-4</v>
      </c>
      <c r="AA155" s="1">
        <f t="shared" si="55"/>
        <v>4.0605095541401681E-4</v>
      </c>
      <c r="AB155" s="1">
        <f t="shared" si="55"/>
        <v>4.0605095541398906E-4</v>
      </c>
      <c r="AC155" s="1">
        <f t="shared" si="55"/>
        <v>6.3917919841352533E-4</v>
      </c>
      <c r="AD155" s="1">
        <f t="shared" si="55"/>
        <v>1.7808219178082341E-3</v>
      </c>
      <c r="AE155" s="1">
        <f t="shared" si="55"/>
        <v>1.7808219178082063E-3</v>
      </c>
      <c r="AF155" s="1">
        <f t="shared" si="56"/>
        <v>1.7808219178082341E-3</v>
      </c>
      <c r="AG155" s="1">
        <f t="shared" si="56"/>
        <v>1.7808219178082063E-3</v>
      </c>
      <c r="AH155" s="1">
        <f t="shared" si="56"/>
        <v>1.7808219178082063E-3</v>
      </c>
      <c r="AI155" s="1">
        <f t="shared" si="56"/>
        <v>1.7808219178082341E-3</v>
      </c>
      <c r="AJ155" s="1">
        <f t="shared" si="56"/>
        <v>1.7808219178082063E-3</v>
      </c>
      <c r="AK155" s="1">
        <f t="shared" si="56"/>
        <v>3.5063724529883211E-3</v>
      </c>
      <c r="AL155" s="1">
        <f t="shared" si="56"/>
        <v>3.7244897959183842E-3</v>
      </c>
      <c r="AM155" s="1">
        <f t="shared" si="56"/>
        <v>3.7244897959183565E-3</v>
      </c>
      <c r="AN155" s="1">
        <f t="shared" si="56"/>
        <v>3.7244897959183565E-3</v>
      </c>
      <c r="AO155" s="1">
        <f t="shared" si="56"/>
        <v>3.7244897959183842E-3</v>
      </c>
    </row>
    <row r="156" spans="2:41">
      <c r="B156" s="1">
        <f t="shared" si="53"/>
        <v>-3.7244897959183842E-3</v>
      </c>
      <c r="C156" s="1">
        <f t="shared" si="53"/>
        <v>-3.7244897959183565E-3</v>
      </c>
      <c r="D156" s="1">
        <f t="shared" si="53"/>
        <v>-3.7244897959183565E-3</v>
      </c>
      <c r="E156" s="1">
        <f t="shared" si="53"/>
        <v>-3.7244897959183842E-3</v>
      </c>
      <c r="F156" s="1">
        <f t="shared" si="53"/>
        <v>-3.5063724529883211E-3</v>
      </c>
      <c r="G156" s="1">
        <f t="shared" si="53"/>
        <v>-1.7808219178082063E-3</v>
      </c>
      <c r="H156" s="1">
        <f t="shared" si="53"/>
        <v>-1.7808219178082341E-3</v>
      </c>
      <c r="I156" s="1">
        <f t="shared" si="53"/>
        <v>-1.7808219178082063E-3</v>
      </c>
      <c r="J156" s="1">
        <f t="shared" si="53"/>
        <v>-1.7808219178082063E-3</v>
      </c>
      <c r="K156" s="1">
        <f t="shared" si="53"/>
        <v>-1.7808219178082341E-3</v>
      </c>
      <c r="L156" s="1">
        <f t="shared" si="54"/>
        <v>-1.7808219178082063E-3</v>
      </c>
      <c r="M156" s="1">
        <f t="shared" si="54"/>
        <v>-1.7808219178082341E-3</v>
      </c>
      <c r="N156" s="1">
        <f t="shared" si="54"/>
        <v>-6.3917919841352533E-4</v>
      </c>
      <c r="O156" s="1">
        <f t="shared" si="54"/>
        <v>-4.0605095541398906E-4</v>
      </c>
      <c r="P156" s="1">
        <f t="shared" si="54"/>
        <v>-4.0605095541401681E-4</v>
      </c>
      <c r="Q156" s="1">
        <f t="shared" si="54"/>
        <v>-4.0605095541401681E-4</v>
      </c>
      <c r="R156" s="1">
        <f t="shared" si="54"/>
        <v>-4.0605095541401681E-4</v>
      </c>
      <c r="S156" s="1">
        <f t="shared" si="54"/>
        <v>-4.0605095541401681E-4</v>
      </c>
      <c r="T156" s="1">
        <f t="shared" si="54"/>
        <v>-4.0605095541401681E-4</v>
      </c>
      <c r="U156" s="1">
        <f t="shared" si="54"/>
        <v>-4.0605095541401681E-4</v>
      </c>
      <c r="V156" s="1">
        <f t="shared" si="55"/>
        <v>4.0605095541401681E-4</v>
      </c>
      <c r="W156" s="1">
        <f t="shared" si="55"/>
        <v>4.0605095541401681E-4</v>
      </c>
      <c r="X156" s="1">
        <f t="shared" si="55"/>
        <v>4.0605095541401681E-4</v>
      </c>
      <c r="Y156" s="1">
        <f t="shared" si="55"/>
        <v>4.0605095541401681E-4</v>
      </c>
      <c r="Z156" s="1">
        <f t="shared" si="55"/>
        <v>4.0605095541401681E-4</v>
      </c>
      <c r="AA156" s="1">
        <f t="shared" si="55"/>
        <v>4.0605095541401681E-4</v>
      </c>
      <c r="AB156" s="1">
        <f t="shared" si="55"/>
        <v>4.0605095541398906E-4</v>
      </c>
      <c r="AC156" s="1">
        <f t="shared" si="55"/>
        <v>6.3917919841352533E-4</v>
      </c>
      <c r="AD156" s="1">
        <f t="shared" si="55"/>
        <v>1.7808219178082341E-3</v>
      </c>
      <c r="AE156" s="1">
        <f t="shared" si="55"/>
        <v>1.7808219178082063E-3</v>
      </c>
      <c r="AF156" s="1">
        <f t="shared" si="56"/>
        <v>1.7808219178082341E-3</v>
      </c>
      <c r="AG156" s="1">
        <f t="shared" si="56"/>
        <v>1.7808219178082063E-3</v>
      </c>
      <c r="AH156" s="1">
        <f t="shared" si="56"/>
        <v>1.7808219178082063E-3</v>
      </c>
      <c r="AI156" s="1">
        <f t="shared" si="56"/>
        <v>1.7808219178082341E-3</v>
      </c>
      <c r="AJ156" s="1">
        <f t="shared" si="56"/>
        <v>1.7808219178082063E-3</v>
      </c>
      <c r="AK156" s="1">
        <f t="shared" si="56"/>
        <v>3.5063724529883211E-3</v>
      </c>
      <c r="AL156" s="1">
        <f t="shared" si="56"/>
        <v>3.7244897959183842E-3</v>
      </c>
      <c r="AM156" s="1">
        <f t="shared" si="56"/>
        <v>3.7244897959183565E-3</v>
      </c>
      <c r="AN156" s="1">
        <f t="shared" si="56"/>
        <v>3.7244897959183565E-3</v>
      </c>
      <c r="AO156" s="1">
        <f t="shared" si="56"/>
        <v>3.7244897959183842E-3</v>
      </c>
    </row>
    <row r="157" spans="2:41">
      <c r="B157" s="1">
        <f t="shared" si="53"/>
        <v>-3.7244897959183842E-3</v>
      </c>
      <c r="C157" s="1">
        <f t="shared" si="53"/>
        <v>-3.7244897959183565E-3</v>
      </c>
      <c r="D157" s="1">
        <f t="shared" si="53"/>
        <v>-3.7244897959183565E-3</v>
      </c>
      <c r="E157" s="1">
        <f t="shared" si="53"/>
        <v>-3.7244897959183842E-3</v>
      </c>
      <c r="F157" s="1">
        <f t="shared" si="53"/>
        <v>-3.5063724529883211E-3</v>
      </c>
      <c r="G157" s="1">
        <f t="shared" si="53"/>
        <v>-1.7808219178082063E-3</v>
      </c>
      <c r="H157" s="1">
        <f t="shared" si="53"/>
        <v>-1.7808219178082341E-3</v>
      </c>
      <c r="I157" s="1">
        <f t="shared" si="53"/>
        <v>-1.7808219178082063E-3</v>
      </c>
      <c r="J157" s="1">
        <f t="shared" si="53"/>
        <v>-1.7808219178082063E-3</v>
      </c>
      <c r="K157" s="1">
        <f t="shared" si="53"/>
        <v>-1.7808219178082341E-3</v>
      </c>
      <c r="L157" s="1">
        <f t="shared" si="54"/>
        <v>-1.7808219178082063E-3</v>
      </c>
      <c r="M157" s="1">
        <f t="shared" si="54"/>
        <v>-1.7808219178082341E-3</v>
      </c>
      <c r="N157" s="1">
        <f t="shared" si="54"/>
        <v>-6.3917919841352533E-4</v>
      </c>
      <c r="O157" s="1">
        <f t="shared" si="54"/>
        <v>-4.0605095541398906E-4</v>
      </c>
      <c r="P157" s="1">
        <f t="shared" si="54"/>
        <v>-4.0605095541401681E-4</v>
      </c>
      <c r="Q157" s="1">
        <f t="shared" si="54"/>
        <v>-4.0605095541401681E-4</v>
      </c>
      <c r="R157" s="1">
        <f t="shared" si="54"/>
        <v>-4.0605095541401681E-4</v>
      </c>
      <c r="S157" s="1">
        <f t="shared" si="54"/>
        <v>-4.0605095541401681E-4</v>
      </c>
      <c r="T157" s="1">
        <f t="shared" si="54"/>
        <v>-4.0605095541401681E-4</v>
      </c>
      <c r="U157" s="1">
        <f t="shared" si="54"/>
        <v>-4.0605095541401681E-4</v>
      </c>
      <c r="V157" s="1">
        <f t="shared" si="55"/>
        <v>4.0605095541401681E-4</v>
      </c>
      <c r="W157" s="1">
        <f t="shared" si="55"/>
        <v>4.0605095541401681E-4</v>
      </c>
      <c r="X157" s="1">
        <f t="shared" si="55"/>
        <v>4.0605095541401681E-4</v>
      </c>
      <c r="Y157" s="1">
        <f t="shared" si="55"/>
        <v>4.0605095541401681E-4</v>
      </c>
      <c r="Z157" s="1">
        <f t="shared" si="55"/>
        <v>4.0605095541401681E-4</v>
      </c>
      <c r="AA157" s="1">
        <f t="shared" si="55"/>
        <v>4.0605095541401681E-4</v>
      </c>
      <c r="AB157" s="1">
        <f t="shared" si="55"/>
        <v>4.0605095541398906E-4</v>
      </c>
      <c r="AC157" s="1">
        <f t="shared" si="55"/>
        <v>6.3917919841352533E-4</v>
      </c>
      <c r="AD157" s="1">
        <f t="shared" si="55"/>
        <v>1.7808219178082341E-3</v>
      </c>
      <c r="AE157" s="1">
        <f t="shared" si="55"/>
        <v>1.7808219178082063E-3</v>
      </c>
      <c r="AF157" s="1">
        <f t="shared" si="56"/>
        <v>1.7808219178082341E-3</v>
      </c>
      <c r="AG157" s="1">
        <f t="shared" si="56"/>
        <v>1.7808219178082063E-3</v>
      </c>
      <c r="AH157" s="1">
        <f t="shared" si="56"/>
        <v>1.7808219178082063E-3</v>
      </c>
      <c r="AI157" s="1">
        <f t="shared" si="56"/>
        <v>1.7808219178082341E-3</v>
      </c>
      <c r="AJ157" s="1">
        <f t="shared" si="56"/>
        <v>1.7808219178082063E-3</v>
      </c>
      <c r="AK157" s="1">
        <f t="shared" si="56"/>
        <v>3.5063724529883211E-3</v>
      </c>
      <c r="AL157" s="1">
        <f t="shared" si="56"/>
        <v>3.7244897959183842E-3</v>
      </c>
      <c r="AM157" s="1">
        <f t="shared" si="56"/>
        <v>3.7244897959183565E-3</v>
      </c>
      <c r="AN157" s="1">
        <f t="shared" si="56"/>
        <v>3.7244897959183565E-3</v>
      </c>
      <c r="AO157" s="1">
        <f t="shared" si="56"/>
        <v>3.7244897959183842E-3</v>
      </c>
    </row>
    <row r="158" spans="2:41">
      <c r="B158" s="1">
        <f t="shared" si="53"/>
        <v>-3.7244897959183842E-3</v>
      </c>
      <c r="C158" s="1">
        <f t="shared" si="53"/>
        <v>-3.7244897959183565E-3</v>
      </c>
      <c r="D158" s="1">
        <f t="shared" si="53"/>
        <v>-3.7244897959183565E-3</v>
      </c>
      <c r="E158" s="1">
        <f t="shared" si="53"/>
        <v>-3.7244897959183842E-3</v>
      </c>
      <c r="F158" s="1">
        <f t="shared" si="53"/>
        <v>-3.5063724529883211E-3</v>
      </c>
      <c r="G158" s="1">
        <f t="shared" si="53"/>
        <v>-1.7808219178082063E-3</v>
      </c>
      <c r="H158" s="1">
        <f t="shared" si="53"/>
        <v>-1.7808219178082341E-3</v>
      </c>
      <c r="I158" s="1">
        <f t="shared" si="53"/>
        <v>-1.7808219178082063E-3</v>
      </c>
      <c r="J158" s="1">
        <f t="shared" si="53"/>
        <v>-1.7808219178082063E-3</v>
      </c>
      <c r="K158" s="1">
        <f t="shared" si="53"/>
        <v>-1.7808219178082341E-3</v>
      </c>
      <c r="L158" s="1">
        <f t="shared" si="54"/>
        <v>-1.7808219178082063E-3</v>
      </c>
      <c r="M158" s="1">
        <f t="shared" si="54"/>
        <v>-1.7808219178082341E-3</v>
      </c>
      <c r="N158" s="1">
        <f t="shared" si="54"/>
        <v>-6.3917919841352533E-4</v>
      </c>
      <c r="O158" s="1">
        <f t="shared" si="54"/>
        <v>-4.0605095541398906E-4</v>
      </c>
      <c r="P158" s="1">
        <f t="shared" si="54"/>
        <v>-4.0605095541401681E-4</v>
      </c>
      <c r="Q158" s="1">
        <f t="shared" si="54"/>
        <v>-4.0605095541401681E-4</v>
      </c>
      <c r="R158" s="1">
        <f t="shared" si="54"/>
        <v>-4.0605095541401681E-4</v>
      </c>
      <c r="S158" s="1">
        <f t="shared" si="54"/>
        <v>-4.0605095541401681E-4</v>
      </c>
      <c r="T158" s="1">
        <f t="shared" si="54"/>
        <v>-4.0605095541401681E-4</v>
      </c>
      <c r="U158" s="1">
        <f t="shared" si="54"/>
        <v>-4.0605095541401681E-4</v>
      </c>
      <c r="V158" s="1">
        <f t="shared" si="55"/>
        <v>4.0605095541401681E-4</v>
      </c>
      <c r="W158" s="1">
        <f t="shared" si="55"/>
        <v>4.0605095541401681E-4</v>
      </c>
      <c r="X158" s="1">
        <f t="shared" si="55"/>
        <v>4.0605095541401681E-4</v>
      </c>
      <c r="Y158" s="1">
        <f t="shared" si="55"/>
        <v>4.0605095541401681E-4</v>
      </c>
      <c r="Z158" s="1">
        <f t="shared" si="55"/>
        <v>4.0605095541401681E-4</v>
      </c>
      <c r="AA158" s="1">
        <f t="shared" si="55"/>
        <v>4.0605095541401681E-4</v>
      </c>
      <c r="AB158" s="1">
        <f t="shared" si="55"/>
        <v>4.0605095541398906E-4</v>
      </c>
      <c r="AC158" s="1">
        <f t="shared" si="55"/>
        <v>6.3917919841352533E-4</v>
      </c>
      <c r="AD158" s="1">
        <f t="shared" si="55"/>
        <v>1.7808219178082341E-3</v>
      </c>
      <c r="AE158" s="1">
        <f t="shared" si="55"/>
        <v>1.7808219178082063E-3</v>
      </c>
      <c r="AF158" s="1">
        <f t="shared" si="56"/>
        <v>1.7808219178082341E-3</v>
      </c>
      <c r="AG158" s="1">
        <f t="shared" si="56"/>
        <v>1.7808219178082063E-3</v>
      </c>
      <c r="AH158" s="1">
        <f t="shared" si="56"/>
        <v>1.7808219178082063E-3</v>
      </c>
      <c r="AI158" s="1">
        <f t="shared" si="56"/>
        <v>1.7808219178082341E-3</v>
      </c>
      <c r="AJ158" s="1">
        <f t="shared" si="56"/>
        <v>1.7808219178082063E-3</v>
      </c>
      <c r="AK158" s="1">
        <f t="shared" si="56"/>
        <v>3.5063724529883211E-3</v>
      </c>
      <c r="AL158" s="1">
        <f t="shared" si="56"/>
        <v>3.7244897959183842E-3</v>
      </c>
      <c r="AM158" s="1">
        <f t="shared" si="56"/>
        <v>3.7244897959183565E-3</v>
      </c>
      <c r="AN158" s="1">
        <f t="shared" si="56"/>
        <v>3.7244897959183565E-3</v>
      </c>
      <c r="AO158" s="1">
        <f t="shared" si="56"/>
        <v>3.7244897959183842E-3</v>
      </c>
    </row>
    <row r="159" spans="2:41">
      <c r="B159" s="1">
        <f t="shared" ref="B159:K168" si="57">B$108-B$106</f>
        <v>-3.7244897959183842E-3</v>
      </c>
      <c r="C159" s="1">
        <f t="shared" si="57"/>
        <v>-3.7244897959183565E-3</v>
      </c>
      <c r="D159" s="1">
        <f t="shared" si="57"/>
        <v>-3.7244897959183565E-3</v>
      </c>
      <c r="E159" s="1">
        <f t="shared" si="57"/>
        <v>-3.7244897959183842E-3</v>
      </c>
      <c r="F159" s="1">
        <f t="shared" si="57"/>
        <v>-3.5063724529883211E-3</v>
      </c>
      <c r="G159" s="1">
        <f t="shared" si="57"/>
        <v>-1.7808219178082063E-3</v>
      </c>
      <c r="H159" s="1">
        <f t="shared" si="57"/>
        <v>-1.7808219178082341E-3</v>
      </c>
      <c r="I159" s="1">
        <f t="shared" si="57"/>
        <v>-1.7808219178082063E-3</v>
      </c>
      <c r="J159" s="1">
        <f t="shared" si="57"/>
        <v>-1.7808219178082063E-3</v>
      </c>
      <c r="K159" s="1">
        <f t="shared" si="57"/>
        <v>-1.7808219178082341E-3</v>
      </c>
      <c r="L159" s="1">
        <f t="shared" ref="L159:U168" si="58">L$108-L$106</f>
        <v>-1.7808219178082063E-3</v>
      </c>
      <c r="M159" s="1">
        <f t="shared" si="58"/>
        <v>-1.7808219178082341E-3</v>
      </c>
      <c r="N159" s="1">
        <f t="shared" si="58"/>
        <v>-6.3917919841352533E-4</v>
      </c>
      <c r="O159" s="1">
        <f t="shared" si="58"/>
        <v>-4.0605095541398906E-4</v>
      </c>
      <c r="P159" s="1">
        <f t="shared" si="58"/>
        <v>-4.0605095541401681E-4</v>
      </c>
      <c r="Q159" s="1">
        <f t="shared" si="58"/>
        <v>-4.0605095541401681E-4</v>
      </c>
      <c r="R159" s="1">
        <f t="shared" si="58"/>
        <v>-4.0605095541401681E-4</v>
      </c>
      <c r="S159" s="1">
        <f t="shared" si="58"/>
        <v>-4.0605095541401681E-4</v>
      </c>
      <c r="T159" s="1">
        <f t="shared" si="58"/>
        <v>-4.0605095541401681E-4</v>
      </c>
      <c r="U159" s="1">
        <f t="shared" si="58"/>
        <v>-4.0605095541401681E-4</v>
      </c>
      <c r="V159" s="1">
        <f t="shared" ref="V159:AE168" si="59">V$108-V$106</f>
        <v>4.0605095541401681E-4</v>
      </c>
      <c r="W159" s="1">
        <f t="shared" si="59"/>
        <v>4.0605095541401681E-4</v>
      </c>
      <c r="X159" s="1">
        <f t="shared" si="59"/>
        <v>4.0605095541401681E-4</v>
      </c>
      <c r="Y159" s="1">
        <f t="shared" si="59"/>
        <v>4.0605095541401681E-4</v>
      </c>
      <c r="Z159" s="1">
        <f t="shared" si="59"/>
        <v>4.0605095541401681E-4</v>
      </c>
      <c r="AA159" s="1">
        <f t="shared" si="59"/>
        <v>4.0605095541401681E-4</v>
      </c>
      <c r="AB159" s="1">
        <f t="shared" si="59"/>
        <v>4.0605095541398906E-4</v>
      </c>
      <c r="AC159" s="1">
        <f t="shared" si="59"/>
        <v>6.3917919841352533E-4</v>
      </c>
      <c r="AD159" s="1">
        <f t="shared" si="59"/>
        <v>1.7808219178082341E-3</v>
      </c>
      <c r="AE159" s="1">
        <f t="shared" si="59"/>
        <v>1.7808219178082063E-3</v>
      </c>
      <c r="AF159" s="1">
        <f t="shared" ref="AF159:AO168" si="60">AF$108-AF$106</f>
        <v>1.7808219178082341E-3</v>
      </c>
      <c r="AG159" s="1">
        <f t="shared" si="60"/>
        <v>1.7808219178082063E-3</v>
      </c>
      <c r="AH159" s="1">
        <f t="shared" si="60"/>
        <v>1.7808219178082063E-3</v>
      </c>
      <c r="AI159" s="1">
        <f t="shared" si="60"/>
        <v>1.7808219178082341E-3</v>
      </c>
      <c r="AJ159" s="1">
        <f t="shared" si="60"/>
        <v>1.7808219178082063E-3</v>
      </c>
      <c r="AK159" s="1">
        <f t="shared" si="60"/>
        <v>3.5063724529883211E-3</v>
      </c>
      <c r="AL159" s="1">
        <f t="shared" si="60"/>
        <v>3.7244897959183842E-3</v>
      </c>
      <c r="AM159" s="1">
        <f t="shared" si="60"/>
        <v>3.7244897959183565E-3</v>
      </c>
      <c r="AN159" s="1">
        <f t="shared" si="60"/>
        <v>3.7244897959183565E-3</v>
      </c>
      <c r="AO159" s="1">
        <f t="shared" si="60"/>
        <v>3.7244897959183842E-3</v>
      </c>
    </row>
    <row r="160" spans="2:41">
      <c r="B160" s="1">
        <f t="shared" si="57"/>
        <v>-3.7244897959183842E-3</v>
      </c>
      <c r="C160" s="1">
        <f t="shared" si="57"/>
        <v>-3.7244897959183565E-3</v>
      </c>
      <c r="D160" s="1">
        <f t="shared" si="57"/>
        <v>-3.7244897959183565E-3</v>
      </c>
      <c r="E160" s="1">
        <f t="shared" si="57"/>
        <v>-3.7244897959183842E-3</v>
      </c>
      <c r="F160" s="1">
        <f t="shared" si="57"/>
        <v>-3.5063724529883211E-3</v>
      </c>
      <c r="G160" s="1">
        <f t="shared" si="57"/>
        <v>-1.7808219178082063E-3</v>
      </c>
      <c r="H160" s="1">
        <f t="shared" si="57"/>
        <v>-1.7808219178082341E-3</v>
      </c>
      <c r="I160" s="1">
        <f t="shared" si="57"/>
        <v>-1.7808219178082063E-3</v>
      </c>
      <c r="J160" s="1">
        <f t="shared" si="57"/>
        <v>-1.7808219178082063E-3</v>
      </c>
      <c r="K160" s="1">
        <f t="shared" si="57"/>
        <v>-1.7808219178082341E-3</v>
      </c>
      <c r="L160" s="1">
        <f t="shared" si="58"/>
        <v>-1.7808219178082063E-3</v>
      </c>
      <c r="M160" s="1">
        <f t="shared" si="58"/>
        <v>-1.7808219178082341E-3</v>
      </c>
      <c r="N160" s="1">
        <f t="shared" si="58"/>
        <v>-6.3917919841352533E-4</v>
      </c>
      <c r="O160" s="1">
        <f t="shared" si="58"/>
        <v>-4.0605095541398906E-4</v>
      </c>
      <c r="P160" s="1">
        <f t="shared" si="58"/>
        <v>-4.0605095541401681E-4</v>
      </c>
      <c r="Q160" s="1">
        <f t="shared" si="58"/>
        <v>-4.0605095541401681E-4</v>
      </c>
      <c r="R160" s="1">
        <f t="shared" si="58"/>
        <v>-4.0605095541401681E-4</v>
      </c>
      <c r="S160" s="1">
        <f t="shared" si="58"/>
        <v>-4.0605095541401681E-4</v>
      </c>
      <c r="T160" s="1">
        <f t="shared" si="58"/>
        <v>-4.0605095541401681E-4</v>
      </c>
      <c r="U160" s="1">
        <f t="shared" si="58"/>
        <v>-4.0605095541401681E-4</v>
      </c>
      <c r="V160" s="1">
        <f t="shared" si="59"/>
        <v>4.0605095541401681E-4</v>
      </c>
      <c r="W160" s="1">
        <f t="shared" si="59"/>
        <v>4.0605095541401681E-4</v>
      </c>
      <c r="X160" s="1">
        <f t="shared" si="59"/>
        <v>4.0605095541401681E-4</v>
      </c>
      <c r="Y160" s="1">
        <f t="shared" si="59"/>
        <v>4.0605095541401681E-4</v>
      </c>
      <c r="Z160" s="1">
        <f t="shared" si="59"/>
        <v>4.0605095541401681E-4</v>
      </c>
      <c r="AA160" s="1">
        <f t="shared" si="59"/>
        <v>4.0605095541401681E-4</v>
      </c>
      <c r="AB160" s="1">
        <f t="shared" si="59"/>
        <v>4.0605095541398906E-4</v>
      </c>
      <c r="AC160" s="1">
        <f t="shared" si="59"/>
        <v>6.3917919841352533E-4</v>
      </c>
      <c r="AD160" s="1">
        <f t="shared" si="59"/>
        <v>1.7808219178082341E-3</v>
      </c>
      <c r="AE160" s="1">
        <f t="shared" si="59"/>
        <v>1.7808219178082063E-3</v>
      </c>
      <c r="AF160" s="1">
        <f t="shared" si="60"/>
        <v>1.7808219178082341E-3</v>
      </c>
      <c r="AG160" s="1">
        <f t="shared" si="60"/>
        <v>1.7808219178082063E-3</v>
      </c>
      <c r="AH160" s="1">
        <f t="shared" si="60"/>
        <v>1.7808219178082063E-3</v>
      </c>
      <c r="AI160" s="1">
        <f t="shared" si="60"/>
        <v>1.7808219178082341E-3</v>
      </c>
      <c r="AJ160" s="1">
        <f t="shared" si="60"/>
        <v>1.7808219178082063E-3</v>
      </c>
      <c r="AK160" s="1">
        <f t="shared" si="60"/>
        <v>3.5063724529883211E-3</v>
      </c>
      <c r="AL160" s="1">
        <f t="shared" si="60"/>
        <v>3.7244897959183842E-3</v>
      </c>
      <c r="AM160" s="1">
        <f t="shared" si="60"/>
        <v>3.7244897959183565E-3</v>
      </c>
      <c r="AN160" s="1">
        <f t="shared" si="60"/>
        <v>3.7244897959183565E-3</v>
      </c>
      <c r="AO160" s="1">
        <f t="shared" si="60"/>
        <v>3.7244897959183842E-3</v>
      </c>
    </row>
    <row r="161" spans="2:41">
      <c r="B161" s="1">
        <f t="shared" si="57"/>
        <v>-3.7244897959183842E-3</v>
      </c>
      <c r="C161" s="1">
        <f t="shared" si="57"/>
        <v>-3.7244897959183565E-3</v>
      </c>
      <c r="D161" s="1">
        <f t="shared" si="57"/>
        <v>-3.7244897959183565E-3</v>
      </c>
      <c r="E161" s="1">
        <f t="shared" si="57"/>
        <v>-3.7244897959183842E-3</v>
      </c>
      <c r="F161" s="1">
        <f t="shared" si="57"/>
        <v>-3.5063724529883211E-3</v>
      </c>
      <c r="G161" s="1">
        <f t="shared" si="57"/>
        <v>-1.7808219178082063E-3</v>
      </c>
      <c r="H161" s="1">
        <f t="shared" si="57"/>
        <v>-1.7808219178082341E-3</v>
      </c>
      <c r="I161" s="1">
        <f t="shared" si="57"/>
        <v>-1.7808219178082063E-3</v>
      </c>
      <c r="J161" s="1">
        <f t="shared" si="57"/>
        <v>-1.7808219178082063E-3</v>
      </c>
      <c r="K161" s="1">
        <f t="shared" si="57"/>
        <v>-1.7808219178082341E-3</v>
      </c>
      <c r="L161" s="1">
        <f t="shared" si="58"/>
        <v>-1.7808219178082063E-3</v>
      </c>
      <c r="M161" s="1">
        <f t="shared" si="58"/>
        <v>-1.7808219178082341E-3</v>
      </c>
      <c r="N161" s="1">
        <f t="shared" si="58"/>
        <v>-6.3917919841352533E-4</v>
      </c>
      <c r="O161" s="1">
        <f t="shared" si="58"/>
        <v>-4.0605095541398906E-4</v>
      </c>
      <c r="P161" s="1">
        <f t="shared" si="58"/>
        <v>-4.0605095541401681E-4</v>
      </c>
      <c r="Q161" s="1">
        <f t="shared" si="58"/>
        <v>-4.0605095541401681E-4</v>
      </c>
      <c r="R161" s="1">
        <f t="shared" si="58"/>
        <v>-4.0605095541401681E-4</v>
      </c>
      <c r="S161" s="1">
        <f t="shared" si="58"/>
        <v>-4.0605095541401681E-4</v>
      </c>
      <c r="T161" s="1">
        <f t="shared" si="58"/>
        <v>-4.0605095541401681E-4</v>
      </c>
      <c r="U161" s="1">
        <f t="shared" si="58"/>
        <v>-4.0605095541401681E-4</v>
      </c>
      <c r="V161" s="1">
        <f t="shared" si="59"/>
        <v>4.0605095541401681E-4</v>
      </c>
      <c r="W161" s="1">
        <f t="shared" si="59"/>
        <v>4.0605095541401681E-4</v>
      </c>
      <c r="X161" s="1">
        <f t="shared" si="59"/>
        <v>4.0605095541401681E-4</v>
      </c>
      <c r="Y161" s="1">
        <f t="shared" si="59"/>
        <v>4.0605095541401681E-4</v>
      </c>
      <c r="Z161" s="1">
        <f t="shared" si="59"/>
        <v>4.0605095541401681E-4</v>
      </c>
      <c r="AA161" s="1">
        <f t="shared" si="59"/>
        <v>4.0605095541401681E-4</v>
      </c>
      <c r="AB161" s="1">
        <f t="shared" si="59"/>
        <v>4.0605095541398906E-4</v>
      </c>
      <c r="AC161" s="1">
        <f t="shared" si="59"/>
        <v>6.3917919841352533E-4</v>
      </c>
      <c r="AD161" s="1">
        <f t="shared" si="59"/>
        <v>1.7808219178082341E-3</v>
      </c>
      <c r="AE161" s="1">
        <f t="shared" si="59"/>
        <v>1.7808219178082063E-3</v>
      </c>
      <c r="AF161" s="1">
        <f t="shared" si="60"/>
        <v>1.7808219178082341E-3</v>
      </c>
      <c r="AG161" s="1">
        <f t="shared" si="60"/>
        <v>1.7808219178082063E-3</v>
      </c>
      <c r="AH161" s="1">
        <f t="shared" si="60"/>
        <v>1.7808219178082063E-3</v>
      </c>
      <c r="AI161" s="1">
        <f t="shared" si="60"/>
        <v>1.7808219178082341E-3</v>
      </c>
      <c r="AJ161" s="1">
        <f t="shared" si="60"/>
        <v>1.7808219178082063E-3</v>
      </c>
      <c r="AK161" s="1">
        <f t="shared" si="60"/>
        <v>3.5063724529883211E-3</v>
      </c>
      <c r="AL161" s="1">
        <f t="shared" si="60"/>
        <v>3.7244897959183842E-3</v>
      </c>
      <c r="AM161" s="1">
        <f t="shared" si="60"/>
        <v>3.7244897959183565E-3</v>
      </c>
      <c r="AN161" s="1">
        <f t="shared" si="60"/>
        <v>3.7244897959183565E-3</v>
      </c>
      <c r="AO161" s="1">
        <f t="shared" si="60"/>
        <v>3.7244897959183842E-3</v>
      </c>
    </row>
    <row r="162" spans="2:41">
      <c r="B162" s="1">
        <f t="shared" si="57"/>
        <v>-3.7244897959183842E-3</v>
      </c>
      <c r="C162" s="1">
        <f t="shared" si="57"/>
        <v>-3.7244897959183565E-3</v>
      </c>
      <c r="D162" s="1">
        <f t="shared" si="57"/>
        <v>-3.7244897959183565E-3</v>
      </c>
      <c r="E162" s="1">
        <f t="shared" si="57"/>
        <v>-3.7244897959183842E-3</v>
      </c>
      <c r="F162" s="1">
        <f t="shared" si="57"/>
        <v>-3.5063724529883211E-3</v>
      </c>
      <c r="G162" s="1">
        <f t="shared" si="57"/>
        <v>-1.7808219178082063E-3</v>
      </c>
      <c r="H162" s="1">
        <f t="shared" si="57"/>
        <v>-1.7808219178082341E-3</v>
      </c>
      <c r="I162" s="1">
        <f t="shared" si="57"/>
        <v>-1.7808219178082063E-3</v>
      </c>
      <c r="J162" s="1">
        <f t="shared" si="57"/>
        <v>-1.7808219178082063E-3</v>
      </c>
      <c r="K162" s="1">
        <f t="shared" si="57"/>
        <v>-1.7808219178082341E-3</v>
      </c>
      <c r="L162" s="1">
        <f t="shared" si="58"/>
        <v>-1.7808219178082063E-3</v>
      </c>
      <c r="M162" s="1">
        <f t="shared" si="58"/>
        <v>-1.7808219178082341E-3</v>
      </c>
      <c r="N162" s="1">
        <f t="shared" si="58"/>
        <v>-6.3917919841352533E-4</v>
      </c>
      <c r="O162" s="1">
        <f t="shared" si="58"/>
        <v>-4.0605095541398906E-4</v>
      </c>
      <c r="P162" s="1">
        <f t="shared" si="58"/>
        <v>-4.0605095541401681E-4</v>
      </c>
      <c r="Q162" s="1">
        <f t="shared" si="58"/>
        <v>-4.0605095541401681E-4</v>
      </c>
      <c r="R162" s="1">
        <f t="shared" si="58"/>
        <v>-4.0605095541401681E-4</v>
      </c>
      <c r="S162" s="1">
        <f t="shared" si="58"/>
        <v>-4.0605095541401681E-4</v>
      </c>
      <c r="T162" s="1">
        <f t="shared" si="58"/>
        <v>-4.0605095541401681E-4</v>
      </c>
      <c r="U162" s="1">
        <f t="shared" si="58"/>
        <v>-4.0605095541401681E-4</v>
      </c>
      <c r="V162" s="1">
        <f t="shared" si="59"/>
        <v>4.0605095541401681E-4</v>
      </c>
      <c r="W162" s="1">
        <f t="shared" si="59"/>
        <v>4.0605095541401681E-4</v>
      </c>
      <c r="X162" s="1">
        <f t="shared" si="59"/>
        <v>4.0605095541401681E-4</v>
      </c>
      <c r="Y162" s="1">
        <f t="shared" si="59"/>
        <v>4.0605095541401681E-4</v>
      </c>
      <c r="Z162" s="1">
        <f t="shared" si="59"/>
        <v>4.0605095541401681E-4</v>
      </c>
      <c r="AA162" s="1">
        <f t="shared" si="59"/>
        <v>4.0605095541401681E-4</v>
      </c>
      <c r="AB162" s="1">
        <f t="shared" si="59"/>
        <v>4.0605095541398906E-4</v>
      </c>
      <c r="AC162" s="1">
        <f t="shared" si="59"/>
        <v>6.3917919841352533E-4</v>
      </c>
      <c r="AD162" s="1">
        <f t="shared" si="59"/>
        <v>1.7808219178082341E-3</v>
      </c>
      <c r="AE162" s="1">
        <f t="shared" si="59"/>
        <v>1.7808219178082063E-3</v>
      </c>
      <c r="AF162" s="1">
        <f t="shared" si="60"/>
        <v>1.7808219178082341E-3</v>
      </c>
      <c r="AG162" s="1">
        <f t="shared" si="60"/>
        <v>1.7808219178082063E-3</v>
      </c>
      <c r="AH162" s="1">
        <f t="shared" si="60"/>
        <v>1.7808219178082063E-3</v>
      </c>
      <c r="AI162" s="1">
        <f t="shared" si="60"/>
        <v>1.7808219178082341E-3</v>
      </c>
      <c r="AJ162" s="1">
        <f t="shared" si="60"/>
        <v>1.7808219178082063E-3</v>
      </c>
      <c r="AK162" s="1">
        <f t="shared" si="60"/>
        <v>3.5063724529883211E-3</v>
      </c>
      <c r="AL162" s="1">
        <f t="shared" si="60"/>
        <v>3.7244897959183842E-3</v>
      </c>
      <c r="AM162" s="1">
        <f t="shared" si="60"/>
        <v>3.7244897959183565E-3</v>
      </c>
      <c r="AN162" s="1">
        <f t="shared" si="60"/>
        <v>3.7244897959183565E-3</v>
      </c>
      <c r="AO162" s="1">
        <f t="shared" si="60"/>
        <v>3.7244897959183842E-3</v>
      </c>
    </row>
    <row r="163" spans="2:41">
      <c r="B163" s="1">
        <f t="shared" si="57"/>
        <v>-3.7244897959183842E-3</v>
      </c>
      <c r="C163" s="1">
        <f t="shared" si="57"/>
        <v>-3.7244897959183565E-3</v>
      </c>
      <c r="D163" s="1">
        <f t="shared" si="57"/>
        <v>-3.7244897959183565E-3</v>
      </c>
      <c r="E163" s="1">
        <f t="shared" si="57"/>
        <v>-3.7244897959183842E-3</v>
      </c>
      <c r="F163" s="1">
        <f t="shared" si="57"/>
        <v>-3.5063724529883211E-3</v>
      </c>
      <c r="G163" s="1">
        <f t="shared" si="57"/>
        <v>-1.7808219178082063E-3</v>
      </c>
      <c r="H163" s="1">
        <f t="shared" si="57"/>
        <v>-1.7808219178082341E-3</v>
      </c>
      <c r="I163" s="1">
        <f t="shared" si="57"/>
        <v>-1.7808219178082063E-3</v>
      </c>
      <c r="J163" s="1">
        <f t="shared" si="57"/>
        <v>-1.7808219178082063E-3</v>
      </c>
      <c r="K163" s="1">
        <f t="shared" si="57"/>
        <v>-1.7808219178082341E-3</v>
      </c>
      <c r="L163" s="1">
        <f t="shared" si="58"/>
        <v>-1.7808219178082063E-3</v>
      </c>
      <c r="M163" s="1">
        <f t="shared" si="58"/>
        <v>-1.7808219178082341E-3</v>
      </c>
      <c r="N163" s="1">
        <f t="shared" si="58"/>
        <v>-6.3917919841352533E-4</v>
      </c>
      <c r="O163" s="1">
        <f t="shared" si="58"/>
        <v>-4.0605095541398906E-4</v>
      </c>
      <c r="P163" s="1">
        <f t="shared" si="58"/>
        <v>-4.0605095541401681E-4</v>
      </c>
      <c r="Q163" s="1">
        <f t="shared" si="58"/>
        <v>-4.0605095541401681E-4</v>
      </c>
      <c r="R163" s="1">
        <f t="shared" si="58"/>
        <v>-4.0605095541401681E-4</v>
      </c>
      <c r="S163" s="1">
        <f t="shared" si="58"/>
        <v>-4.0605095541401681E-4</v>
      </c>
      <c r="T163" s="1">
        <f t="shared" si="58"/>
        <v>-4.0605095541401681E-4</v>
      </c>
      <c r="U163" s="1">
        <f t="shared" si="58"/>
        <v>-4.0605095541401681E-4</v>
      </c>
      <c r="V163" s="1">
        <f t="shared" si="59"/>
        <v>4.0605095541401681E-4</v>
      </c>
      <c r="W163" s="1">
        <f t="shared" si="59"/>
        <v>4.0605095541401681E-4</v>
      </c>
      <c r="X163" s="1">
        <f t="shared" si="59"/>
        <v>4.0605095541401681E-4</v>
      </c>
      <c r="Y163" s="1">
        <f t="shared" si="59"/>
        <v>4.0605095541401681E-4</v>
      </c>
      <c r="Z163" s="1">
        <f t="shared" si="59"/>
        <v>4.0605095541401681E-4</v>
      </c>
      <c r="AA163" s="1">
        <f t="shared" si="59"/>
        <v>4.0605095541401681E-4</v>
      </c>
      <c r="AB163" s="1">
        <f t="shared" si="59"/>
        <v>4.0605095541398906E-4</v>
      </c>
      <c r="AC163" s="1">
        <f t="shared" si="59"/>
        <v>6.3917919841352533E-4</v>
      </c>
      <c r="AD163" s="1">
        <f t="shared" si="59"/>
        <v>1.7808219178082341E-3</v>
      </c>
      <c r="AE163" s="1">
        <f t="shared" si="59"/>
        <v>1.7808219178082063E-3</v>
      </c>
      <c r="AF163" s="1">
        <f t="shared" si="60"/>
        <v>1.7808219178082341E-3</v>
      </c>
      <c r="AG163" s="1">
        <f t="shared" si="60"/>
        <v>1.7808219178082063E-3</v>
      </c>
      <c r="AH163" s="1">
        <f t="shared" si="60"/>
        <v>1.7808219178082063E-3</v>
      </c>
      <c r="AI163" s="1">
        <f t="shared" si="60"/>
        <v>1.7808219178082341E-3</v>
      </c>
      <c r="AJ163" s="1">
        <f t="shared" si="60"/>
        <v>1.7808219178082063E-3</v>
      </c>
      <c r="AK163" s="1">
        <f t="shared" si="60"/>
        <v>3.5063724529883211E-3</v>
      </c>
      <c r="AL163" s="1">
        <f t="shared" si="60"/>
        <v>3.7244897959183842E-3</v>
      </c>
      <c r="AM163" s="1">
        <f t="shared" si="60"/>
        <v>3.7244897959183565E-3</v>
      </c>
      <c r="AN163" s="1">
        <f t="shared" si="60"/>
        <v>3.7244897959183565E-3</v>
      </c>
      <c r="AO163" s="1">
        <f t="shared" si="60"/>
        <v>3.7244897959183842E-3</v>
      </c>
    </row>
    <row r="164" spans="2:41">
      <c r="B164" s="1">
        <f t="shared" si="57"/>
        <v>-3.7244897959183842E-3</v>
      </c>
      <c r="C164" s="1">
        <f t="shared" si="57"/>
        <v>-3.7244897959183565E-3</v>
      </c>
      <c r="D164" s="1">
        <f t="shared" si="57"/>
        <v>-3.7244897959183565E-3</v>
      </c>
      <c r="E164" s="1">
        <f t="shared" si="57"/>
        <v>-3.7244897959183842E-3</v>
      </c>
      <c r="F164" s="1">
        <f t="shared" si="57"/>
        <v>-3.5063724529883211E-3</v>
      </c>
      <c r="G164" s="1">
        <f t="shared" si="57"/>
        <v>-1.7808219178082063E-3</v>
      </c>
      <c r="H164" s="1">
        <f t="shared" si="57"/>
        <v>-1.7808219178082341E-3</v>
      </c>
      <c r="I164" s="1">
        <f t="shared" si="57"/>
        <v>-1.7808219178082063E-3</v>
      </c>
      <c r="J164" s="1">
        <f t="shared" si="57"/>
        <v>-1.7808219178082063E-3</v>
      </c>
      <c r="K164" s="1">
        <f t="shared" si="57"/>
        <v>-1.7808219178082341E-3</v>
      </c>
      <c r="L164" s="1">
        <f t="shared" si="58"/>
        <v>-1.7808219178082063E-3</v>
      </c>
      <c r="M164" s="1">
        <f t="shared" si="58"/>
        <v>-1.7808219178082341E-3</v>
      </c>
      <c r="N164" s="1">
        <f t="shared" si="58"/>
        <v>-6.3917919841352533E-4</v>
      </c>
      <c r="O164" s="1">
        <f t="shared" si="58"/>
        <v>-4.0605095541398906E-4</v>
      </c>
      <c r="P164" s="1">
        <f t="shared" si="58"/>
        <v>-4.0605095541401681E-4</v>
      </c>
      <c r="Q164" s="1">
        <f t="shared" si="58"/>
        <v>-4.0605095541401681E-4</v>
      </c>
      <c r="R164" s="1">
        <f t="shared" si="58"/>
        <v>-4.0605095541401681E-4</v>
      </c>
      <c r="S164" s="1">
        <f t="shared" si="58"/>
        <v>-4.0605095541401681E-4</v>
      </c>
      <c r="T164" s="1">
        <f t="shared" si="58"/>
        <v>-4.0605095541401681E-4</v>
      </c>
      <c r="U164" s="1">
        <f t="shared" si="58"/>
        <v>-4.0605095541401681E-4</v>
      </c>
      <c r="V164" s="1">
        <f t="shared" si="59"/>
        <v>4.0605095541401681E-4</v>
      </c>
      <c r="W164" s="1">
        <f t="shared" si="59"/>
        <v>4.0605095541401681E-4</v>
      </c>
      <c r="X164" s="1">
        <f t="shared" si="59"/>
        <v>4.0605095541401681E-4</v>
      </c>
      <c r="Y164" s="1">
        <f t="shared" si="59"/>
        <v>4.0605095541401681E-4</v>
      </c>
      <c r="Z164" s="1">
        <f t="shared" si="59"/>
        <v>4.0605095541401681E-4</v>
      </c>
      <c r="AA164" s="1">
        <f t="shared" si="59"/>
        <v>4.0605095541401681E-4</v>
      </c>
      <c r="AB164" s="1">
        <f t="shared" si="59"/>
        <v>4.0605095541398906E-4</v>
      </c>
      <c r="AC164" s="1">
        <f t="shared" si="59"/>
        <v>6.3917919841352533E-4</v>
      </c>
      <c r="AD164" s="1">
        <f t="shared" si="59"/>
        <v>1.7808219178082341E-3</v>
      </c>
      <c r="AE164" s="1">
        <f t="shared" si="59"/>
        <v>1.7808219178082063E-3</v>
      </c>
      <c r="AF164" s="1">
        <f t="shared" si="60"/>
        <v>1.7808219178082341E-3</v>
      </c>
      <c r="AG164" s="1">
        <f t="shared" si="60"/>
        <v>1.7808219178082063E-3</v>
      </c>
      <c r="AH164" s="1">
        <f t="shared" si="60"/>
        <v>1.7808219178082063E-3</v>
      </c>
      <c r="AI164" s="1">
        <f t="shared" si="60"/>
        <v>1.7808219178082341E-3</v>
      </c>
      <c r="AJ164" s="1">
        <f t="shared" si="60"/>
        <v>1.7808219178082063E-3</v>
      </c>
      <c r="AK164" s="1">
        <f t="shared" si="60"/>
        <v>3.5063724529883211E-3</v>
      </c>
      <c r="AL164" s="1">
        <f t="shared" si="60"/>
        <v>3.7244897959183842E-3</v>
      </c>
      <c r="AM164" s="1">
        <f t="shared" si="60"/>
        <v>3.7244897959183565E-3</v>
      </c>
      <c r="AN164" s="1">
        <f t="shared" si="60"/>
        <v>3.7244897959183565E-3</v>
      </c>
      <c r="AO164" s="1">
        <f t="shared" si="60"/>
        <v>3.7244897959183842E-3</v>
      </c>
    </row>
    <row r="165" spans="2:41">
      <c r="B165" s="1">
        <f t="shared" si="57"/>
        <v>-3.7244897959183842E-3</v>
      </c>
      <c r="C165" s="1">
        <f t="shared" si="57"/>
        <v>-3.7244897959183565E-3</v>
      </c>
      <c r="D165" s="1">
        <f t="shared" si="57"/>
        <v>-3.7244897959183565E-3</v>
      </c>
      <c r="E165" s="1">
        <f t="shared" si="57"/>
        <v>-3.7244897959183842E-3</v>
      </c>
      <c r="F165" s="1">
        <f t="shared" si="57"/>
        <v>-3.5063724529883211E-3</v>
      </c>
      <c r="G165" s="1">
        <f t="shared" si="57"/>
        <v>-1.7808219178082063E-3</v>
      </c>
      <c r="H165" s="1">
        <f t="shared" si="57"/>
        <v>-1.7808219178082341E-3</v>
      </c>
      <c r="I165" s="1">
        <f t="shared" si="57"/>
        <v>-1.7808219178082063E-3</v>
      </c>
      <c r="J165" s="1">
        <f t="shared" si="57"/>
        <v>-1.7808219178082063E-3</v>
      </c>
      <c r="K165" s="1">
        <f t="shared" si="57"/>
        <v>-1.7808219178082341E-3</v>
      </c>
      <c r="L165" s="1">
        <f t="shared" si="58"/>
        <v>-1.7808219178082063E-3</v>
      </c>
      <c r="M165" s="1">
        <f t="shared" si="58"/>
        <v>-1.7808219178082341E-3</v>
      </c>
      <c r="N165" s="1">
        <f t="shared" si="58"/>
        <v>-6.3917919841352533E-4</v>
      </c>
      <c r="O165" s="1">
        <f t="shared" si="58"/>
        <v>-4.0605095541398906E-4</v>
      </c>
      <c r="P165" s="1">
        <f t="shared" si="58"/>
        <v>-4.0605095541401681E-4</v>
      </c>
      <c r="Q165" s="1">
        <f t="shared" si="58"/>
        <v>-4.0605095541401681E-4</v>
      </c>
      <c r="R165" s="1">
        <f t="shared" si="58"/>
        <v>-4.0605095541401681E-4</v>
      </c>
      <c r="S165" s="1">
        <f t="shared" si="58"/>
        <v>-4.0605095541401681E-4</v>
      </c>
      <c r="T165" s="1">
        <f t="shared" si="58"/>
        <v>-4.0605095541401681E-4</v>
      </c>
      <c r="U165" s="1">
        <f t="shared" si="58"/>
        <v>-4.0605095541401681E-4</v>
      </c>
      <c r="V165" s="1">
        <f t="shared" si="59"/>
        <v>4.0605095541401681E-4</v>
      </c>
      <c r="W165" s="1">
        <f t="shared" si="59"/>
        <v>4.0605095541401681E-4</v>
      </c>
      <c r="X165" s="1">
        <f t="shared" si="59"/>
        <v>4.0605095541401681E-4</v>
      </c>
      <c r="Y165" s="1">
        <f t="shared" si="59"/>
        <v>4.0605095541401681E-4</v>
      </c>
      <c r="Z165" s="1">
        <f t="shared" si="59"/>
        <v>4.0605095541401681E-4</v>
      </c>
      <c r="AA165" s="1">
        <f t="shared" si="59"/>
        <v>4.0605095541401681E-4</v>
      </c>
      <c r="AB165" s="1">
        <f t="shared" si="59"/>
        <v>4.0605095541398906E-4</v>
      </c>
      <c r="AC165" s="1">
        <f t="shared" si="59"/>
        <v>6.3917919841352533E-4</v>
      </c>
      <c r="AD165" s="1">
        <f t="shared" si="59"/>
        <v>1.7808219178082341E-3</v>
      </c>
      <c r="AE165" s="1">
        <f t="shared" si="59"/>
        <v>1.7808219178082063E-3</v>
      </c>
      <c r="AF165" s="1">
        <f t="shared" si="60"/>
        <v>1.7808219178082341E-3</v>
      </c>
      <c r="AG165" s="1">
        <f t="shared" si="60"/>
        <v>1.7808219178082063E-3</v>
      </c>
      <c r="AH165" s="1">
        <f t="shared" si="60"/>
        <v>1.7808219178082063E-3</v>
      </c>
      <c r="AI165" s="1">
        <f t="shared" si="60"/>
        <v>1.7808219178082341E-3</v>
      </c>
      <c r="AJ165" s="1">
        <f t="shared" si="60"/>
        <v>1.7808219178082063E-3</v>
      </c>
      <c r="AK165" s="1">
        <f t="shared" si="60"/>
        <v>3.5063724529883211E-3</v>
      </c>
      <c r="AL165" s="1">
        <f t="shared" si="60"/>
        <v>3.7244897959183842E-3</v>
      </c>
      <c r="AM165" s="1">
        <f t="shared" si="60"/>
        <v>3.7244897959183565E-3</v>
      </c>
      <c r="AN165" s="1">
        <f t="shared" si="60"/>
        <v>3.7244897959183565E-3</v>
      </c>
      <c r="AO165" s="1">
        <f t="shared" si="60"/>
        <v>3.7244897959183842E-3</v>
      </c>
    </row>
    <row r="166" spans="2:41">
      <c r="B166" s="1">
        <f t="shared" si="57"/>
        <v>-3.7244897959183842E-3</v>
      </c>
      <c r="C166" s="1">
        <f t="shared" si="57"/>
        <v>-3.7244897959183565E-3</v>
      </c>
      <c r="D166" s="1">
        <f t="shared" si="57"/>
        <v>-3.7244897959183565E-3</v>
      </c>
      <c r="E166" s="1">
        <f t="shared" si="57"/>
        <v>-3.7244897959183842E-3</v>
      </c>
      <c r="F166" s="1">
        <f t="shared" si="57"/>
        <v>-3.5063724529883211E-3</v>
      </c>
      <c r="G166" s="1">
        <f t="shared" si="57"/>
        <v>-1.7808219178082063E-3</v>
      </c>
      <c r="H166" s="1">
        <f t="shared" si="57"/>
        <v>-1.7808219178082341E-3</v>
      </c>
      <c r="I166" s="1">
        <f t="shared" si="57"/>
        <v>-1.7808219178082063E-3</v>
      </c>
      <c r="J166" s="1">
        <f t="shared" si="57"/>
        <v>-1.7808219178082063E-3</v>
      </c>
      <c r="K166" s="1">
        <f t="shared" si="57"/>
        <v>-1.7808219178082341E-3</v>
      </c>
      <c r="L166" s="1">
        <f t="shared" si="58"/>
        <v>-1.7808219178082063E-3</v>
      </c>
      <c r="M166" s="1">
        <f t="shared" si="58"/>
        <v>-1.7808219178082341E-3</v>
      </c>
      <c r="N166" s="1">
        <f t="shared" si="58"/>
        <v>-6.3917919841352533E-4</v>
      </c>
      <c r="O166" s="1">
        <f t="shared" si="58"/>
        <v>-4.0605095541398906E-4</v>
      </c>
      <c r="P166" s="1">
        <f t="shared" si="58"/>
        <v>-4.0605095541401681E-4</v>
      </c>
      <c r="Q166" s="1">
        <f t="shared" si="58"/>
        <v>-4.0605095541401681E-4</v>
      </c>
      <c r="R166" s="1">
        <f t="shared" si="58"/>
        <v>-4.0605095541401681E-4</v>
      </c>
      <c r="S166" s="1">
        <f t="shared" si="58"/>
        <v>-4.0605095541401681E-4</v>
      </c>
      <c r="T166" s="1">
        <f t="shared" si="58"/>
        <v>-4.0605095541401681E-4</v>
      </c>
      <c r="U166" s="1">
        <f t="shared" si="58"/>
        <v>-4.0605095541401681E-4</v>
      </c>
      <c r="V166" s="1">
        <f t="shared" si="59"/>
        <v>4.0605095541401681E-4</v>
      </c>
      <c r="W166" s="1">
        <f t="shared" si="59"/>
        <v>4.0605095541401681E-4</v>
      </c>
      <c r="X166" s="1">
        <f t="shared" si="59"/>
        <v>4.0605095541401681E-4</v>
      </c>
      <c r="Y166" s="1">
        <f t="shared" si="59"/>
        <v>4.0605095541401681E-4</v>
      </c>
      <c r="Z166" s="1">
        <f t="shared" si="59"/>
        <v>4.0605095541401681E-4</v>
      </c>
      <c r="AA166" s="1">
        <f t="shared" si="59"/>
        <v>4.0605095541401681E-4</v>
      </c>
      <c r="AB166" s="1">
        <f t="shared" si="59"/>
        <v>4.0605095541398906E-4</v>
      </c>
      <c r="AC166" s="1">
        <f t="shared" si="59"/>
        <v>6.3917919841352533E-4</v>
      </c>
      <c r="AD166" s="1">
        <f t="shared" si="59"/>
        <v>1.7808219178082341E-3</v>
      </c>
      <c r="AE166" s="1">
        <f t="shared" si="59"/>
        <v>1.7808219178082063E-3</v>
      </c>
      <c r="AF166" s="1">
        <f t="shared" si="60"/>
        <v>1.7808219178082341E-3</v>
      </c>
      <c r="AG166" s="1">
        <f t="shared" si="60"/>
        <v>1.7808219178082063E-3</v>
      </c>
      <c r="AH166" s="1">
        <f t="shared" si="60"/>
        <v>1.7808219178082063E-3</v>
      </c>
      <c r="AI166" s="1">
        <f t="shared" si="60"/>
        <v>1.7808219178082341E-3</v>
      </c>
      <c r="AJ166" s="1">
        <f t="shared" si="60"/>
        <v>1.7808219178082063E-3</v>
      </c>
      <c r="AK166" s="1">
        <f t="shared" si="60"/>
        <v>3.5063724529883211E-3</v>
      </c>
      <c r="AL166" s="1">
        <f t="shared" si="60"/>
        <v>3.7244897959183842E-3</v>
      </c>
      <c r="AM166" s="1">
        <f t="shared" si="60"/>
        <v>3.7244897959183565E-3</v>
      </c>
      <c r="AN166" s="1">
        <f t="shared" si="60"/>
        <v>3.7244897959183565E-3</v>
      </c>
      <c r="AO166" s="1">
        <f t="shared" si="60"/>
        <v>3.7244897959183842E-3</v>
      </c>
    </row>
    <row r="167" spans="2:41">
      <c r="B167" s="1">
        <f t="shared" si="57"/>
        <v>-3.7244897959183842E-3</v>
      </c>
      <c r="C167" s="1">
        <f t="shared" si="57"/>
        <v>-3.7244897959183565E-3</v>
      </c>
      <c r="D167" s="1">
        <f t="shared" si="57"/>
        <v>-3.7244897959183565E-3</v>
      </c>
      <c r="E167" s="1">
        <f t="shared" si="57"/>
        <v>-3.7244897959183842E-3</v>
      </c>
      <c r="F167" s="1">
        <f t="shared" si="57"/>
        <v>-3.5063724529883211E-3</v>
      </c>
      <c r="G167" s="1">
        <f t="shared" si="57"/>
        <v>-1.7808219178082063E-3</v>
      </c>
      <c r="H167" s="1">
        <f t="shared" si="57"/>
        <v>-1.7808219178082341E-3</v>
      </c>
      <c r="I167" s="1">
        <f t="shared" si="57"/>
        <v>-1.7808219178082063E-3</v>
      </c>
      <c r="J167" s="1">
        <f t="shared" si="57"/>
        <v>-1.7808219178082063E-3</v>
      </c>
      <c r="K167" s="1">
        <f t="shared" si="57"/>
        <v>-1.7808219178082341E-3</v>
      </c>
      <c r="L167" s="1">
        <f t="shared" si="58"/>
        <v>-1.7808219178082063E-3</v>
      </c>
      <c r="M167" s="1">
        <f t="shared" si="58"/>
        <v>-1.7808219178082341E-3</v>
      </c>
      <c r="N167" s="1">
        <f t="shared" si="58"/>
        <v>-6.3917919841352533E-4</v>
      </c>
      <c r="O167" s="1">
        <f t="shared" si="58"/>
        <v>-4.0605095541398906E-4</v>
      </c>
      <c r="P167" s="1">
        <f t="shared" si="58"/>
        <v>-4.0605095541401681E-4</v>
      </c>
      <c r="Q167" s="1">
        <f t="shared" si="58"/>
        <v>-4.0605095541401681E-4</v>
      </c>
      <c r="R167" s="1">
        <f t="shared" si="58"/>
        <v>-4.0605095541401681E-4</v>
      </c>
      <c r="S167" s="1">
        <f t="shared" si="58"/>
        <v>-4.0605095541401681E-4</v>
      </c>
      <c r="T167" s="1">
        <f t="shared" si="58"/>
        <v>-4.0605095541401681E-4</v>
      </c>
      <c r="U167" s="1">
        <f t="shared" si="58"/>
        <v>-4.0605095541401681E-4</v>
      </c>
      <c r="V167" s="1">
        <f t="shared" si="59"/>
        <v>4.0605095541401681E-4</v>
      </c>
      <c r="W167" s="1">
        <f t="shared" si="59"/>
        <v>4.0605095541401681E-4</v>
      </c>
      <c r="X167" s="1">
        <f t="shared" si="59"/>
        <v>4.0605095541401681E-4</v>
      </c>
      <c r="Y167" s="1">
        <f t="shared" si="59"/>
        <v>4.0605095541401681E-4</v>
      </c>
      <c r="Z167" s="1">
        <f t="shared" si="59"/>
        <v>4.0605095541401681E-4</v>
      </c>
      <c r="AA167" s="1">
        <f t="shared" si="59"/>
        <v>4.0605095541401681E-4</v>
      </c>
      <c r="AB167" s="1">
        <f t="shared" si="59"/>
        <v>4.0605095541398906E-4</v>
      </c>
      <c r="AC167" s="1">
        <f t="shared" si="59"/>
        <v>6.3917919841352533E-4</v>
      </c>
      <c r="AD167" s="1">
        <f t="shared" si="59"/>
        <v>1.7808219178082341E-3</v>
      </c>
      <c r="AE167" s="1">
        <f t="shared" si="59"/>
        <v>1.7808219178082063E-3</v>
      </c>
      <c r="AF167" s="1">
        <f t="shared" si="60"/>
        <v>1.7808219178082341E-3</v>
      </c>
      <c r="AG167" s="1">
        <f t="shared" si="60"/>
        <v>1.7808219178082063E-3</v>
      </c>
      <c r="AH167" s="1">
        <f t="shared" si="60"/>
        <v>1.7808219178082063E-3</v>
      </c>
      <c r="AI167" s="1">
        <f t="shared" si="60"/>
        <v>1.7808219178082341E-3</v>
      </c>
      <c r="AJ167" s="1">
        <f t="shared" si="60"/>
        <v>1.7808219178082063E-3</v>
      </c>
      <c r="AK167" s="1">
        <f t="shared" si="60"/>
        <v>3.5063724529883211E-3</v>
      </c>
      <c r="AL167" s="1">
        <f t="shared" si="60"/>
        <v>3.7244897959183842E-3</v>
      </c>
      <c r="AM167" s="1">
        <f t="shared" si="60"/>
        <v>3.7244897959183565E-3</v>
      </c>
      <c r="AN167" s="1">
        <f t="shared" si="60"/>
        <v>3.7244897959183565E-3</v>
      </c>
      <c r="AO167" s="1">
        <f t="shared" si="60"/>
        <v>3.7244897959183842E-3</v>
      </c>
    </row>
    <row r="168" spans="2:41">
      <c r="B168" s="1">
        <f t="shared" si="57"/>
        <v>-3.7244897959183842E-3</v>
      </c>
      <c r="C168" s="1">
        <f t="shared" si="57"/>
        <v>-3.7244897959183565E-3</v>
      </c>
      <c r="D168" s="1">
        <f t="shared" si="57"/>
        <v>-3.7244897959183565E-3</v>
      </c>
      <c r="E168" s="1">
        <f t="shared" si="57"/>
        <v>-3.7244897959183842E-3</v>
      </c>
      <c r="F168" s="1">
        <f t="shared" si="57"/>
        <v>-3.5063724529883211E-3</v>
      </c>
      <c r="G168" s="1">
        <f t="shared" si="57"/>
        <v>-1.7808219178082063E-3</v>
      </c>
      <c r="H168" s="1">
        <f t="shared" si="57"/>
        <v>-1.7808219178082341E-3</v>
      </c>
      <c r="I168" s="1">
        <f t="shared" si="57"/>
        <v>-1.7808219178082063E-3</v>
      </c>
      <c r="J168" s="1">
        <f t="shared" si="57"/>
        <v>-1.7808219178082063E-3</v>
      </c>
      <c r="K168" s="1">
        <f t="shared" si="57"/>
        <v>-1.7808219178082341E-3</v>
      </c>
      <c r="L168" s="1">
        <f t="shared" si="58"/>
        <v>-1.7808219178082063E-3</v>
      </c>
      <c r="M168" s="1">
        <f t="shared" si="58"/>
        <v>-1.7808219178082341E-3</v>
      </c>
      <c r="N168" s="1">
        <f t="shared" si="58"/>
        <v>-6.3917919841352533E-4</v>
      </c>
      <c r="O168" s="1">
        <f t="shared" si="58"/>
        <v>-4.0605095541398906E-4</v>
      </c>
      <c r="P168" s="1">
        <f t="shared" si="58"/>
        <v>-4.0605095541401681E-4</v>
      </c>
      <c r="Q168" s="1">
        <f t="shared" si="58"/>
        <v>-4.0605095541401681E-4</v>
      </c>
      <c r="R168" s="1">
        <f t="shared" si="58"/>
        <v>-4.0605095541401681E-4</v>
      </c>
      <c r="S168" s="1">
        <f t="shared" si="58"/>
        <v>-4.0605095541401681E-4</v>
      </c>
      <c r="T168" s="1">
        <f t="shared" si="58"/>
        <v>-4.0605095541401681E-4</v>
      </c>
      <c r="U168" s="1">
        <f t="shared" si="58"/>
        <v>-4.0605095541401681E-4</v>
      </c>
      <c r="V168" s="1">
        <f t="shared" si="59"/>
        <v>4.0605095541401681E-4</v>
      </c>
      <c r="W168" s="1">
        <f t="shared" si="59"/>
        <v>4.0605095541401681E-4</v>
      </c>
      <c r="X168" s="1">
        <f t="shared" si="59"/>
        <v>4.0605095541401681E-4</v>
      </c>
      <c r="Y168" s="1">
        <f t="shared" si="59"/>
        <v>4.0605095541401681E-4</v>
      </c>
      <c r="Z168" s="1">
        <f t="shared" si="59"/>
        <v>4.0605095541401681E-4</v>
      </c>
      <c r="AA168" s="1">
        <f t="shared" si="59"/>
        <v>4.0605095541401681E-4</v>
      </c>
      <c r="AB168" s="1">
        <f t="shared" si="59"/>
        <v>4.0605095541398906E-4</v>
      </c>
      <c r="AC168" s="1">
        <f t="shared" si="59"/>
        <v>6.3917919841352533E-4</v>
      </c>
      <c r="AD168" s="1">
        <f t="shared" si="59"/>
        <v>1.7808219178082341E-3</v>
      </c>
      <c r="AE168" s="1">
        <f t="shared" si="59"/>
        <v>1.7808219178082063E-3</v>
      </c>
      <c r="AF168" s="1">
        <f t="shared" si="60"/>
        <v>1.7808219178082341E-3</v>
      </c>
      <c r="AG168" s="1">
        <f t="shared" si="60"/>
        <v>1.7808219178082063E-3</v>
      </c>
      <c r="AH168" s="1">
        <f t="shared" si="60"/>
        <v>1.7808219178082063E-3</v>
      </c>
      <c r="AI168" s="1">
        <f t="shared" si="60"/>
        <v>1.7808219178082341E-3</v>
      </c>
      <c r="AJ168" s="1">
        <f t="shared" si="60"/>
        <v>1.7808219178082063E-3</v>
      </c>
      <c r="AK168" s="1">
        <f t="shared" si="60"/>
        <v>3.5063724529883211E-3</v>
      </c>
      <c r="AL168" s="1">
        <f t="shared" si="60"/>
        <v>3.7244897959183842E-3</v>
      </c>
      <c r="AM168" s="1">
        <f t="shared" si="60"/>
        <v>3.7244897959183565E-3</v>
      </c>
      <c r="AN168" s="1">
        <f t="shared" si="60"/>
        <v>3.7244897959183565E-3</v>
      </c>
      <c r="AO168" s="1">
        <f t="shared" si="60"/>
        <v>3.7244897959183842E-3</v>
      </c>
    </row>
    <row r="169" spans="2:41">
      <c r="B169" s="1">
        <f t="shared" ref="B169:K178" si="61">B$108-B$106</f>
        <v>-3.7244897959183842E-3</v>
      </c>
      <c r="C169" s="1">
        <f t="shared" si="61"/>
        <v>-3.7244897959183565E-3</v>
      </c>
      <c r="D169" s="1">
        <f t="shared" si="61"/>
        <v>-3.7244897959183565E-3</v>
      </c>
      <c r="E169" s="1">
        <f t="shared" si="61"/>
        <v>-3.7244897959183842E-3</v>
      </c>
      <c r="F169" s="1">
        <f t="shared" si="61"/>
        <v>-3.5063724529883211E-3</v>
      </c>
      <c r="G169" s="1">
        <f t="shared" si="61"/>
        <v>-1.7808219178082063E-3</v>
      </c>
      <c r="H169" s="1">
        <f t="shared" si="61"/>
        <v>-1.7808219178082341E-3</v>
      </c>
      <c r="I169" s="1">
        <f t="shared" si="61"/>
        <v>-1.7808219178082063E-3</v>
      </c>
      <c r="J169" s="1">
        <f t="shared" si="61"/>
        <v>-1.7808219178082063E-3</v>
      </c>
      <c r="K169" s="1">
        <f t="shared" si="61"/>
        <v>-1.7808219178082341E-3</v>
      </c>
      <c r="L169" s="1">
        <f t="shared" ref="L169:U178" si="62">L$108-L$106</f>
        <v>-1.7808219178082063E-3</v>
      </c>
      <c r="M169" s="1">
        <f t="shared" si="62"/>
        <v>-1.7808219178082341E-3</v>
      </c>
      <c r="N169" s="1">
        <f t="shared" si="62"/>
        <v>-6.3917919841352533E-4</v>
      </c>
      <c r="O169" s="1">
        <f t="shared" si="62"/>
        <v>-4.0605095541398906E-4</v>
      </c>
      <c r="P169" s="1">
        <f t="shared" si="62"/>
        <v>-4.0605095541401681E-4</v>
      </c>
      <c r="Q169" s="1">
        <f t="shared" si="62"/>
        <v>-4.0605095541401681E-4</v>
      </c>
      <c r="R169" s="1">
        <f t="shared" si="62"/>
        <v>-4.0605095541401681E-4</v>
      </c>
      <c r="S169" s="1">
        <f t="shared" si="62"/>
        <v>-4.0605095541401681E-4</v>
      </c>
      <c r="T169" s="1">
        <f t="shared" si="62"/>
        <v>-4.0605095541401681E-4</v>
      </c>
      <c r="U169" s="1">
        <f t="shared" si="62"/>
        <v>-4.0605095541401681E-4</v>
      </c>
      <c r="V169" s="1">
        <f t="shared" ref="V169:AE178" si="63">V$108-V$106</f>
        <v>4.0605095541401681E-4</v>
      </c>
      <c r="W169" s="1">
        <f t="shared" si="63"/>
        <v>4.0605095541401681E-4</v>
      </c>
      <c r="X169" s="1">
        <f t="shared" si="63"/>
        <v>4.0605095541401681E-4</v>
      </c>
      <c r="Y169" s="1">
        <f t="shared" si="63"/>
        <v>4.0605095541401681E-4</v>
      </c>
      <c r="Z169" s="1">
        <f t="shared" si="63"/>
        <v>4.0605095541401681E-4</v>
      </c>
      <c r="AA169" s="1">
        <f t="shared" si="63"/>
        <v>4.0605095541401681E-4</v>
      </c>
      <c r="AB169" s="1">
        <f t="shared" si="63"/>
        <v>4.0605095541398906E-4</v>
      </c>
      <c r="AC169" s="1">
        <f t="shared" si="63"/>
        <v>6.3917919841352533E-4</v>
      </c>
      <c r="AD169" s="1">
        <f t="shared" si="63"/>
        <v>1.7808219178082341E-3</v>
      </c>
      <c r="AE169" s="1">
        <f t="shared" si="63"/>
        <v>1.7808219178082063E-3</v>
      </c>
      <c r="AF169" s="1">
        <f t="shared" ref="AF169:AO178" si="64">AF$108-AF$106</f>
        <v>1.7808219178082341E-3</v>
      </c>
      <c r="AG169" s="1">
        <f t="shared" si="64"/>
        <v>1.7808219178082063E-3</v>
      </c>
      <c r="AH169" s="1">
        <f t="shared" si="64"/>
        <v>1.7808219178082063E-3</v>
      </c>
      <c r="AI169" s="1">
        <f t="shared" si="64"/>
        <v>1.7808219178082341E-3</v>
      </c>
      <c r="AJ169" s="1">
        <f t="shared" si="64"/>
        <v>1.7808219178082063E-3</v>
      </c>
      <c r="AK169" s="1">
        <f t="shared" si="64"/>
        <v>3.5063724529883211E-3</v>
      </c>
      <c r="AL169" s="1">
        <f t="shared" si="64"/>
        <v>3.7244897959183842E-3</v>
      </c>
      <c r="AM169" s="1">
        <f t="shared" si="64"/>
        <v>3.7244897959183565E-3</v>
      </c>
      <c r="AN169" s="1">
        <f t="shared" si="64"/>
        <v>3.7244897959183565E-3</v>
      </c>
      <c r="AO169" s="1">
        <f t="shared" si="64"/>
        <v>3.7244897959183842E-3</v>
      </c>
    </row>
    <row r="170" spans="2:41">
      <c r="B170" s="1">
        <f t="shared" si="61"/>
        <v>-3.7244897959183842E-3</v>
      </c>
      <c r="C170" s="1">
        <f t="shared" si="61"/>
        <v>-3.7244897959183565E-3</v>
      </c>
      <c r="D170" s="1">
        <f t="shared" si="61"/>
        <v>-3.7244897959183565E-3</v>
      </c>
      <c r="E170" s="1">
        <f t="shared" si="61"/>
        <v>-3.7244897959183842E-3</v>
      </c>
      <c r="F170" s="1">
        <f t="shared" si="61"/>
        <v>-3.5063724529883211E-3</v>
      </c>
      <c r="G170" s="1">
        <f t="shared" si="61"/>
        <v>-1.7808219178082063E-3</v>
      </c>
      <c r="H170" s="1">
        <f t="shared" si="61"/>
        <v>-1.7808219178082341E-3</v>
      </c>
      <c r="I170" s="1">
        <f t="shared" si="61"/>
        <v>-1.7808219178082063E-3</v>
      </c>
      <c r="J170" s="1">
        <f t="shared" si="61"/>
        <v>-1.7808219178082063E-3</v>
      </c>
      <c r="K170" s="1">
        <f t="shared" si="61"/>
        <v>-1.7808219178082341E-3</v>
      </c>
      <c r="L170" s="1">
        <f t="shared" si="62"/>
        <v>-1.7808219178082063E-3</v>
      </c>
      <c r="M170" s="1">
        <f t="shared" si="62"/>
        <v>-1.7808219178082341E-3</v>
      </c>
      <c r="N170" s="1">
        <f t="shared" si="62"/>
        <v>-6.3917919841352533E-4</v>
      </c>
      <c r="O170" s="1">
        <f t="shared" si="62"/>
        <v>-4.0605095541398906E-4</v>
      </c>
      <c r="P170" s="1">
        <f t="shared" si="62"/>
        <v>-4.0605095541401681E-4</v>
      </c>
      <c r="Q170" s="1">
        <f t="shared" si="62"/>
        <v>-4.0605095541401681E-4</v>
      </c>
      <c r="R170" s="1">
        <f t="shared" si="62"/>
        <v>-4.0605095541401681E-4</v>
      </c>
      <c r="S170" s="1">
        <f t="shared" si="62"/>
        <v>-4.0605095541401681E-4</v>
      </c>
      <c r="T170" s="1">
        <f t="shared" si="62"/>
        <v>-4.0605095541401681E-4</v>
      </c>
      <c r="U170" s="1">
        <f t="shared" si="62"/>
        <v>-4.0605095541401681E-4</v>
      </c>
      <c r="V170" s="1">
        <f t="shared" si="63"/>
        <v>4.0605095541401681E-4</v>
      </c>
      <c r="W170" s="1">
        <f t="shared" si="63"/>
        <v>4.0605095541401681E-4</v>
      </c>
      <c r="X170" s="1">
        <f t="shared" si="63"/>
        <v>4.0605095541401681E-4</v>
      </c>
      <c r="Y170" s="1">
        <f t="shared" si="63"/>
        <v>4.0605095541401681E-4</v>
      </c>
      <c r="Z170" s="1">
        <f t="shared" si="63"/>
        <v>4.0605095541401681E-4</v>
      </c>
      <c r="AA170" s="1">
        <f t="shared" si="63"/>
        <v>4.0605095541401681E-4</v>
      </c>
      <c r="AB170" s="1">
        <f t="shared" si="63"/>
        <v>4.0605095541398906E-4</v>
      </c>
      <c r="AC170" s="1">
        <f t="shared" si="63"/>
        <v>6.3917919841352533E-4</v>
      </c>
      <c r="AD170" s="1">
        <f t="shared" si="63"/>
        <v>1.7808219178082341E-3</v>
      </c>
      <c r="AE170" s="1">
        <f t="shared" si="63"/>
        <v>1.7808219178082063E-3</v>
      </c>
      <c r="AF170" s="1">
        <f t="shared" si="64"/>
        <v>1.7808219178082341E-3</v>
      </c>
      <c r="AG170" s="1">
        <f t="shared" si="64"/>
        <v>1.7808219178082063E-3</v>
      </c>
      <c r="AH170" s="1">
        <f t="shared" si="64"/>
        <v>1.7808219178082063E-3</v>
      </c>
      <c r="AI170" s="1">
        <f t="shared" si="64"/>
        <v>1.7808219178082341E-3</v>
      </c>
      <c r="AJ170" s="1">
        <f t="shared" si="64"/>
        <v>1.7808219178082063E-3</v>
      </c>
      <c r="AK170" s="1">
        <f t="shared" si="64"/>
        <v>3.5063724529883211E-3</v>
      </c>
      <c r="AL170" s="1">
        <f t="shared" si="64"/>
        <v>3.7244897959183842E-3</v>
      </c>
      <c r="AM170" s="1">
        <f t="shared" si="64"/>
        <v>3.7244897959183565E-3</v>
      </c>
      <c r="AN170" s="1">
        <f t="shared" si="64"/>
        <v>3.7244897959183565E-3</v>
      </c>
      <c r="AO170" s="1">
        <f t="shared" si="64"/>
        <v>3.7244897959183842E-3</v>
      </c>
    </row>
    <row r="171" spans="2:41">
      <c r="B171" s="1">
        <f t="shared" si="61"/>
        <v>-3.7244897959183842E-3</v>
      </c>
      <c r="C171" s="1">
        <f t="shared" si="61"/>
        <v>-3.7244897959183565E-3</v>
      </c>
      <c r="D171" s="1">
        <f t="shared" si="61"/>
        <v>-3.7244897959183565E-3</v>
      </c>
      <c r="E171" s="1">
        <f t="shared" si="61"/>
        <v>-3.7244897959183842E-3</v>
      </c>
      <c r="F171" s="1">
        <f t="shared" si="61"/>
        <v>-3.5063724529883211E-3</v>
      </c>
      <c r="G171" s="1">
        <f t="shared" si="61"/>
        <v>-1.7808219178082063E-3</v>
      </c>
      <c r="H171" s="1">
        <f t="shared" si="61"/>
        <v>-1.7808219178082341E-3</v>
      </c>
      <c r="I171" s="1">
        <f t="shared" si="61"/>
        <v>-1.7808219178082063E-3</v>
      </c>
      <c r="J171" s="1">
        <f t="shared" si="61"/>
        <v>-1.7808219178082063E-3</v>
      </c>
      <c r="K171" s="1">
        <f t="shared" si="61"/>
        <v>-1.7808219178082341E-3</v>
      </c>
      <c r="L171" s="1">
        <f t="shared" si="62"/>
        <v>-1.7808219178082063E-3</v>
      </c>
      <c r="M171" s="1">
        <f t="shared" si="62"/>
        <v>-1.7808219178082341E-3</v>
      </c>
      <c r="N171" s="1">
        <f t="shared" si="62"/>
        <v>-6.3917919841352533E-4</v>
      </c>
      <c r="O171" s="1">
        <f t="shared" si="62"/>
        <v>-4.0605095541398906E-4</v>
      </c>
      <c r="P171" s="1">
        <f t="shared" si="62"/>
        <v>-4.0605095541401681E-4</v>
      </c>
      <c r="Q171" s="1">
        <f t="shared" si="62"/>
        <v>-4.0605095541401681E-4</v>
      </c>
      <c r="R171" s="1">
        <f t="shared" si="62"/>
        <v>-4.0605095541401681E-4</v>
      </c>
      <c r="S171" s="1">
        <f t="shared" si="62"/>
        <v>-4.0605095541401681E-4</v>
      </c>
      <c r="T171" s="1">
        <f t="shared" si="62"/>
        <v>-4.0605095541401681E-4</v>
      </c>
      <c r="U171" s="1">
        <f t="shared" si="62"/>
        <v>-4.0605095541401681E-4</v>
      </c>
      <c r="V171" s="1">
        <f t="shared" si="63"/>
        <v>4.0605095541401681E-4</v>
      </c>
      <c r="W171" s="1">
        <f t="shared" si="63"/>
        <v>4.0605095541401681E-4</v>
      </c>
      <c r="X171" s="1">
        <f t="shared" si="63"/>
        <v>4.0605095541401681E-4</v>
      </c>
      <c r="Y171" s="1">
        <f t="shared" si="63"/>
        <v>4.0605095541401681E-4</v>
      </c>
      <c r="Z171" s="1">
        <f t="shared" si="63"/>
        <v>4.0605095541401681E-4</v>
      </c>
      <c r="AA171" s="1">
        <f t="shared" si="63"/>
        <v>4.0605095541401681E-4</v>
      </c>
      <c r="AB171" s="1">
        <f t="shared" si="63"/>
        <v>4.0605095541398906E-4</v>
      </c>
      <c r="AC171" s="1">
        <f t="shared" si="63"/>
        <v>6.3917919841352533E-4</v>
      </c>
      <c r="AD171" s="1">
        <f t="shared" si="63"/>
        <v>1.7808219178082341E-3</v>
      </c>
      <c r="AE171" s="1">
        <f t="shared" si="63"/>
        <v>1.7808219178082063E-3</v>
      </c>
      <c r="AF171" s="1">
        <f t="shared" si="64"/>
        <v>1.7808219178082341E-3</v>
      </c>
      <c r="AG171" s="1">
        <f t="shared" si="64"/>
        <v>1.7808219178082063E-3</v>
      </c>
      <c r="AH171" s="1">
        <f t="shared" si="64"/>
        <v>1.7808219178082063E-3</v>
      </c>
      <c r="AI171" s="1">
        <f t="shared" si="64"/>
        <v>1.7808219178082341E-3</v>
      </c>
      <c r="AJ171" s="1">
        <f t="shared" si="64"/>
        <v>1.7808219178082063E-3</v>
      </c>
      <c r="AK171" s="1">
        <f t="shared" si="64"/>
        <v>3.5063724529883211E-3</v>
      </c>
      <c r="AL171" s="1">
        <f t="shared" si="64"/>
        <v>3.7244897959183842E-3</v>
      </c>
      <c r="AM171" s="1">
        <f t="shared" si="64"/>
        <v>3.7244897959183565E-3</v>
      </c>
      <c r="AN171" s="1">
        <f t="shared" si="64"/>
        <v>3.7244897959183565E-3</v>
      </c>
      <c r="AO171" s="1">
        <f t="shared" si="64"/>
        <v>3.7244897959183842E-3</v>
      </c>
    </row>
    <row r="172" spans="2:41">
      <c r="B172" s="1">
        <f t="shared" si="61"/>
        <v>-3.7244897959183842E-3</v>
      </c>
      <c r="C172" s="1">
        <f t="shared" si="61"/>
        <v>-3.7244897959183565E-3</v>
      </c>
      <c r="D172" s="1">
        <f t="shared" si="61"/>
        <v>-3.7244897959183565E-3</v>
      </c>
      <c r="E172" s="1">
        <f t="shared" si="61"/>
        <v>-3.7244897959183842E-3</v>
      </c>
      <c r="F172" s="1">
        <f t="shared" si="61"/>
        <v>-3.5063724529883211E-3</v>
      </c>
      <c r="G172" s="1">
        <f t="shared" si="61"/>
        <v>-1.7808219178082063E-3</v>
      </c>
      <c r="H172" s="1">
        <f t="shared" si="61"/>
        <v>-1.7808219178082341E-3</v>
      </c>
      <c r="I172" s="1">
        <f t="shared" si="61"/>
        <v>-1.7808219178082063E-3</v>
      </c>
      <c r="J172" s="1">
        <f t="shared" si="61"/>
        <v>-1.7808219178082063E-3</v>
      </c>
      <c r="K172" s="1">
        <f t="shared" si="61"/>
        <v>-1.7808219178082341E-3</v>
      </c>
      <c r="L172" s="1">
        <f t="shared" si="62"/>
        <v>-1.7808219178082063E-3</v>
      </c>
      <c r="M172" s="1">
        <f t="shared" si="62"/>
        <v>-1.7808219178082341E-3</v>
      </c>
      <c r="N172" s="1">
        <f t="shared" si="62"/>
        <v>-6.3917919841352533E-4</v>
      </c>
      <c r="O172" s="1">
        <f t="shared" si="62"/>
        <v>-4.0605095541398906E-4</v>
      </c>
      <c r="P172" s="1">
        <f t="shared" si="62"/>
        <v>-4.0605095541401681E-4</v>
      </c>
      <c r="Q172" s="1">
        <f t="shared" si="62"/>
        <v>-4.0605095541401681E-4</v>
      </c>
      <c r="R172" s="1">
        <f t="shared" si="62"/>
        <v>-4.0605095541401681E-4</v>
      </c>
      <c r="S172" s="1">
        <f t="shared" si="62"/>
        <v>-4.0605095541401681E-4</v>
      </c>
      <c r="T172" s="1">
        <f t="shared" si="62"/>
        <v>-4.0605095541401681E-4</v>
      </c>
      <c r="U172" s="1">
        <f t="shared" si="62"/>
        <v>-4.0605095541401681E-4</v>
      </c>
      <c r="V172" s="1">
        <f t="shared" si="63"/>
        <v>4.0605095541401681E-4</v>
      </c>
      <c r="W172" s="1">
        <f t="shared" si="63"/>
        <v>4.0605095541401681E-4</v>
      </c>
      <c r="X172" s="1">
        <f t="shared" si="63"/>
        <v>4.0605095541401681E-4</v>
      </c>
      <c r="Y172" s="1">
        <f t="shared" si="63"/>
        <v>4.0605095541401681E-4</v>
      </c>
      <c r="Z172" s="1">
        <f t="shared" si="63"/>
        <v>4.0605095541401681E-4</v>
      </c>
      <c r="AA172" s="1">
        <f t="shared" si="63"/>
        <v>4.0605095541401681E-4</v>
      </c>
      <c r="AB172" s="1">
        <f t="shared" si="63"/>
        <v>4.0605095541398906E-4</v>
      </c>
      <c r="AC172" s="1">
        <f t="shared" si="63"/>
        <v>6.3917919841352533E-4</v>
      </c>
      <c r="AD172" s="1">
        <f t="shared" si="63"/>
        <v>1.7808219178082341E-3</v>
      </c>
      <c r="AE172" s="1">
        <f t="shared" si="63"/>
        <v>1.7808219178082063E-3</v>
      </c>
      <c r="AF172" s="1">
        <f t="shared" si="64"/>
        <v>1.7808219178082341E-3</v>
      </c>
      <c r="AG172" s="1">
        <f t="shared" si="64"/>
        <v>1.7808219178082063E-3</v>
      </c>
      <c r="AH172" s="1">
        <f t="shared" si="64"/>
        <v>1.7808219178082063E-3</v>
      </c>
      <c r="AI172" s="1">
        <f t="shared" si="64"/>
        <v>1.7808219178082341E-3</v>
      </c>
      <c r="AJ172" s="1">
        <f t="shared" si="64"/>
        <v>1.7808219178082063E-3</v>
      </c>
      <c r="AK172" s="1">
        <f t="shared" si="64"/>
        <v>3.5063724529883211E-3</v>
      </c>
      <c r="AL172" s="1">
        <f t="shared" si="64"/>
        <v>3.7244897959183842E-3</v>
      </c>
      <c r="AM172" s="1">
        <f t="shared" si="64"/>
        <v>3.7244897959183565E-3</v>
      </c>
      <c r="AN172" s="1">
        <f t="shared" si="64"/>
        <v>3.7244897959183565E-3</v>
      </c>
      <c r="AO172" s="1">
        <f t="shared" si="64"/>
        <v>3.7244897959183842E-3</v>
      </c>
    </row>
    <row r="173" spans="2:41">
      <c r="B173" s="1">
        <f t="shared" si="61"/>
        <v>-3.7244897959183842E-3</v>
      </c>
      <c r="C173" s="1">
        <f t="shared" si="61"/>
        <v>-3.7244897959183565E-3</v>
      </c>
      <c r="D173" s="1">
        <f t="shared" si="61"/>
        <v>-3.7244897959183565E-3</v>
      </c>
      <c r="E173" s="1">
        <f t="shared" si="61"/>
        <v>-3.7244897959183842E-3</v>
      </c>
      <c r="F173" s="1">
        <f t="shared" si="61"/>
        <v>-3.5063724529883211E-3</v>
      </c>
      <c r="G173" s="1">
        <f t="shared" si="61"/>
        <v>-1.7808219178082063E-3</v>
      </c>
      <c r="H173" s="1">
        <f t="shared" si="61"/>
        <v>-1.7808219178082341E-3</v>
      </c>
      <c r="I173" s="1">
        <f t="shared" si="61"/>
        <v>-1.7808219178082063E-3</v>
      </c>
      <c r="J173" s="1">
        <f t="shared" si="61"/>
        <v>-1.7808219178082063E-3</v>
      </c>
      <c r="K173" s="1">
        <f t="shared" si="61"/>
        <v>-1.7808219178082341E-3</v>
      </c>
      <c r="L173" s="1">
        <f t="shared" si="62"/>
        <v>-1.7808219178082063E-3</v>
      </c>
      <c r="M173" s="1">
        <f t="shared" si="62"/>
        <v>-1.7808219178082341E-3</v>
      </c>
      <c r="N173" s="1">
        <f t="shared" si="62"/>
        <v>-6.3917919841352533E-4</v>
      </c>
      <c r="O173" s="1">
        <f t="shared" si="62"/>
        <v>-4.0605095541398906E-4</v>
      </c>
      <c r="P173" s="1">
        <f t="shared" si="62"/>
        <v>-4.0605095541401681E-4</v>
      </c>
      <c r="Q173" s="1">
        <f t="shared" si="62"/>
        <v>-4.0605095541401681E-4</v>
      </c>
      <c r="R173" s="1">
        <f t="shared" si="62"/>
        <v>-4.0605095541401681E-4</v>
      </c>
      <c r="S173" s="1">
        <f t="shared" si="62"/>
        <v>-4.0605095541401681E-4</v>
      </c>
      <c r="T173" s="1">
        <f t="shared" si="62"/>
        <v>-4.0605095541401681E-4</v>
      </c>
      <c r="U173" s="1">
        <f t="shared" si="62"/>
        <v>-4.0605095541401681E-4</v>
      </c>
      <c r="V173" s="1">
        <f t="shared" si="63"/>
        <v>4.0605095541401681E-4</v>
      </c>
      <c r="W173" s="1">
        <f t="shared" si="63"/>
        <v>4.0605095541401681E-4</v>
      </c>
      <c r="X173" s="1">
        <f t="shared" si="63"/>
        <v>4.0605095541401681E-4</v>
      </c>
      <c r="Y173" s="1">
        <f t="shared" si="63"/>
        <v>4.0605095541401681E-4</v>
      </c>
      <c r="Z173" s="1">
        <f t="shared" si="63"/>
        <v>4.0605095541401681E-4</v>
      </c>
      <c r="AA173" s="1">
        <f t="shared" si="63"/>
        <v>4.0605095541401681E-4</v>
      </c>
      <c r="AB173" s="1">
        <f t="shared" si="63"/>
        <v>4.0605095541398906E-4</v>
      </c>
      <c r="AC173" s="1">
        <f t="shared" si="63"/>
        <v>6.3917919841352533E-4</v>
      </c>
      <c r="AD173" s="1">
        <f t="shared" si="63"/>
        <v>1.7808219178082341E-3</v>
      </c>
      <c r="AE173" s="1">
        <f t="shared" si="63"/>
        <v>1.7808219178082063E-3</v>
      </c>
      <c r="AF173" s="1">
        <f t="shared" si="64"/>
        <v>1.7808219178082341E-3</v>
      </c>
      <c r="AG173" s="1">
        <f t="shared" si="64"/>
        <v>1.7808219178082063E-3</v>
      </c>
      <c r="AH173" s="1">
        <f t="shared" si="64"/>
        <v>1.7808219178082063E-3</v>
      </c>
      <c r="AI173" s="1">
        <f t="shared" si="64"/>
        <v>1.7808219178082341E-3</v>
      </c>
      <c r="AJ173" s="1">
        <f t="shared" si="64"/>
        <v>1.7808219178082063E-3</v>
      </c>
      <c r="AK173" s="1">
        <f t="shared" si="64"/>
        <v>3.5063724529883211E-3</v>
      </c>
      <c r="AL173" s="1">
        <f t="shared" si="64"/>
        <v>3.7244897959183842E-3</v>
      </c>
      <c r="AM173" s="1">
        <f t="shared" si="64"/>
        <v>3.7244897959183565E-3</v>
      </c>
      <c r="AN173" s="1">
        <f t="shared" si="64"/>
        <v>3.7244897959183565E-3</v>
      </c>
      <c r="AO173" s="1">
        <f t="shared" si="64"/>
        <v>3.7244897959183842E-3</v>
      </c>
    </row>
    <row r="174" spans="2:41">
      <c r="B174" s="1">
        <f t="shared" si="61"/>
        <v>-3.7244897959183842E-3</v>
      </c>
      <c r="C174" s="1">
        <f t="shared" si="61"/>
        <v>-3.7244897959183565E-3</v>
      </c>
      <c r="D174" s="1">
        <f t="shared" si="61"/>
        <v>-3.7244897959183565E-3</v>
      </c>
      <c r="E174" s="1">
        <f t="shared" si="61"/>
        <v>-3.7244897959183842E-3</v>
      </c>
      <c r="F174" s="1">
        <f t="shared" si="61"/>
        <v>-3.5063724529883211E-3</v>
      </c>
      <c r="G174" s="1">
        <f t="shared" si="61"/>
        <v>-1.7808219178082063E-3</v>
      </c>
      <c r="H174" s="1">
        <f t="shared" si="61"/>
        <v>-1.7808219178082341E-3</v>
      </c>
      <c r="I174" s="1">
        <f t="shared" si="61"/>
        <v>-1.7808219178082063E-3</v>
      </c>
      <c r="J174" s="1">
        <f t="shared" si="61"/>
        <v>-1.7808219178082063E-3</v>
      </c>
      <c r="K174" s="1">
        <f t="shared" si="61"/>
        <v>-1.7808219178082341E-3</v>
      </c>
      <c r="L174" s="1">
        <f t="shared" si="62"/>
        <v>-1.7808219178082063E-3</v>
      </c>
      <c r="M174" s="1">
        <f t="shared" si="62"/>
        <v>-1.7808219178082341E-3</v>
      </c>
      <c r="N174" s="1">
        <f t="shared" si="62"/>
        <v>-6.3917919841352533E-4</v>
      </c>
      <c r="O174" s="1">
        <f t="shared" si="62"/>
        <v>-4.0605095541398906E-4</v>
      </c>
      <c r="P174" s="1">
        <f t="shared" si="62"/>
        <v>-4.0605095541401681E-4</v>
      </c>
      <c r="Q174" s="1">
        <f t="shared" si="62"/>
        <v>-4.0605095541401681E-4</v>
      </c>
      <c r="R174" s="1">
        <f t="shared" si="62"/>
        <v>-4.0605095541401681E-4</v>
      </c>
      <c r="S174" s="1">
        <f t="shared" si="62"/>
        <v>-4.0605095541401681E-4</v>
      </c>
      <c r="T174" s="1">
        <f t="shared" si="62"/>
        <v>-4.0605095541401681E-4</v>
      </c>
      <c r="U174" s="1">
        <f t="shared" si="62"/>
        <v>-4.0605095541401681E-4</v>
      </c>
      <c r="V174" s="1">
        <f t="shared" si="63"/>
        <v>4.0605095541401681E-4</v>
      </c>
      <c r="W174" s="1">
        <f t="shared" si="63"/>
        <v>4.0605095541401681E-4</v>
      </c>
      <c r="X174" s="1">
        <f t="shared" si="63"/>
        <v>4.0605095541401681E-4</v>
      </c>
      <c r="Y174" s="1">
        <f t="shared" si="63"/>
        <v>4.0605095541401681E-4</v>
      </c>
      <c r="Z174" s="1">
        <f t="shared" si="63"/>
        <v>4.0605095541401681E-4</v>
      </c>
      <c r="AA174" s="1">
        <f t="shared" si="63"/>
        <v>4.0605095541401681E-4</v>
      </c>
      <c r="AB174" s="1">
        <f t="shared" si="63"/>
        <v>4.0605095541398906E-4</v>
      </c>
      <c r="AC174" s="1">
        <f t="shared" si="63"/>
        <v>6.3917919841352533E-4</v>
      </c>
      <c r="AD174" s="1">
        <f t="shared" si="63"/>
        <v>1.7808219178082341E-3</v>
      </c>
      <c r="AE174" s="1">
        <f t="shared" si="63"/>
        <v>1.7808219178082063E-3</v>
      </c>
      <c r="AF174" s="1">
        <f t="shared" si="64"/>
        <v>1.7808219178082341E-3</v>
      </c>
      <c r="AG174" s="1">
        <f t="shared" si="64"/>
        <v>1.7808219178082063E-3</v>
      </c>
      <c r="AH174" s="1">
        <f t="shared" si="64"/>
        <v>1.7808219178082063E-3</v>
      </c>
      <c r="AI174" s="1">
        <f t="shared" si="64"/>
        <v>1.7808219178082341E-3</v>
      </c>
      <c r="AJ174" s="1">
        <f t="shared" si="64"/>
        <v>1.7808219178082063E-3</v>
      </c>
      <c r="AK174" s="1">
        <f t="shared" si="64"/>
        <v>3.5063724529883211E-3</v>
      </c>
      <c r="AL174" s="1">
        <f t="shared" si="64"/>
        <v>3.7244897959183842E-3</v>
      </c>
      <c r="AM174" s="1">
        <f t="shared" si="64"/>
        <v>3.7244897959183565E-3</v>
      </c>
      <c r="AN174" s="1">
        <f t="shared" si="64"/>
        <v>3.7244897959183565E-3</v>
      </c>
      <c r="AO174" s="1">
        <f t="shared" si="64"/>
        <v>3.7244897959183842E-3</v>
      </c>
    </row>
    <row r="175" spans="2:41">
      <c r="B175" s="1">
        <f t="shared" si="61"/>
        <v>-3.7244897959183842E-3</v>
      </c>
      <c r="C175" s="1">
        <f t="shared" si="61"/>
        <v>-3.7244897959183565E-3</v>
      </c>
      <c r="D175" s="1">
        <f t="shared" si="61"/>
        <v>-3.7244897959183565E-3</v>
      </c>
      <c r="E175" s="1">
        <f t="shared" si="61"/>
        <v>-3.7244897959183842E-3</v>
      </c>
      <c r="F175" s="1">
        <f t="shared" si="61"/>
        <v>-3.5063724529883211E-3</v>
      </c>
      <c r="G175" s="1">
        <f t="shared" si="61"/>
        <v>-1.7808219178082063E-3</v>
      </c>
      <c r="H175" s="1">
        <f t="shared" si="61"/>
        <v>-1.7808219178082341E-3</v>
      </c>
      <c r="I175" s="1">
        <f t="shared" si="61"/>
        <v>-1.7808219178082063E-3</v>
      </c>
      <c r="J175" s="1">
        <f t="shared" si="61"/>
        <v>-1.7808219178082063E-3</v>
      </c>
      <c r="K175" s="1">
        <f t="shared" si="61"/>
        <v>-1.7808219178082341E-3</v>
      </c>
      <c r="L175" s="1">
        <f t="shared" si="62"/>
        <v>-1.7808219178082063E-3</v>
      </c>
      <c r="M175" s="1">
        <f t="shared" si="62"/>
        <v>-1.7808219178082341E-3</v>
      </c>
      <c r="N175" s="1">
        <f t="shared" si="62"/>
        <v>-6.3917919841352533E-4</v>
      </c>
      <c r="O175" s="1">
        <f t="shared" si="62"/>
        <v>-4.0605095541398906E-4</v>
      </c>
      <c r="P175" s="1">
        <f t="shared" si="62"/>
        <v>-4.0605095541401681E-4</v>
      </c>
      <c r="Q175" s="1">
        <f t="shared" si="62"/>
        <v>-4.0605095541401681E-4</v>
      </c>
      <c r="R175" s="1">
        <f t="shared" si="62"/>
        <v>-4.0605095541401681E-4</v>
      </c>
      <c r="S175" s="1">
        <f t="shared" si="62"/>
        <v>-4.0605095541401681E-4</v>
      </c>
      <c r="T175" s="1">
        <f t="shared" si="62"/>
        <v>-4.0605095541401681E-4</v>
      </c>
      <c r="U175" s="1">
        <f t="shared" si="62"/>
        <v>-4.0605095541401681E-4</v>
      </c>
      <c r="V175" s="1">
        <f t="shared" si="63"/>
        <v>4.0605095541401681E-4</v>
      </c>
      <c r="W175" s="1">
        <f t="shared" si="63"/>
        <v>4.0605095541401681E-4</v>
      </c>
      <c r="X175" s="1">
        <f t="shared" si="63"/>
        <v>4.0605095541401681E-4</v>
      </c>
      <c r="Y175" s="1">
        <f t="shared" si="63"/>
        <v>4.0605095541401681E-4</v>
      </c>
      <c r="Z175" s="1">
        <f t="shared" si="63"/>
        <v>4.0605095541401681E-4</v>
      </c>
      <c r="AA175" s="1">
        <f t="shared" si="63"/>
        <v>4.0605095541401681E-4</v>
      </c>
      <c r="AB175" s="1">
        <f t="shared" si="63"/>
        <v>4.0605095541398906E-4</v>
      </c>
      <c r="AC175" s="1">
        <f t="shared" si="63"/>
        <v>6.3917919841352533E-4</v>
      </c>
      <c r="AD175" s="1">
        <f t="shared" si="63"/>
        <v>1.7808219178082341E-3</v>
      </c>
      <c r="AE175" s="1">
        <f t="shared" si="63"/>
        <v>1.7808219178082063E-3</v>
      </c>
      <c r="AF175" s="1">
        <f t="shared" si="64"/>
        <v>1.7808219178082341E-3</v>
      </c>
      <c r="AG175" s="1">
        <f t="shared" si="64"/>
        <v>1.7808219178082063E-3</v>
      </c>
      <c r="AH175" s="1">
        <f t="shared" si="64"/>
        <v>1.7808219178082063E-3</v>
      </c>
      <c r="AI175" s="1">
        <f t="shared" si="64"/>
        <v>1.7808219178082341E-3</v>
      </c>
      <c r="AJ175" s="1">
        <f t="shared" si="64"/>
        <v>1.7808219178082063E-3</v>
      </c>
      <c r="AK175" s="1">
        <f t="shared" si="64"/>
        <v>3.5063724529883211E-3</v>
      </c>
      <c r="AL175" s="1">
        <f t="shared" si="64"/>
        <v>3.7244897959183842E-3</v>
      </c>
      <c r="AM175" s="1">
        <f t="shared" si="64"/>
        <v>3.7244897959183565E-3</v>
      </c>
      <c r="AN175" s="1">
        <f t="shared" si="64"/>
        <v>3.7244897959183565E-3</v>
      </c>
      <c r="AO175" s="1">
        <f t="shared" si="64"/>
        <v>3.7244897959183842E-3</v>
      </c>
    </row>
    <row r="176" spans="2:41">
      <c r="B176" s="1">
        <f t="shared" si="61"/>
        <v>-3.7244897959183842E-3</v>
      </c>
      <c r="C176" s="1">
        <f t="shared" si="61"/>
        <v>-3.7244897959183565E-3</v>
      </c>
      <c r="D176" s="1">
        <f t="shared" si="61"/>
        <v>-3.7244897959183565E-3</v>
      </c>
      <c r="E176" s="1">
        <f t="shared" si="61"/>
        <v>-3.7244897959183842E-3</v>
      </c>
      <c r="F176" s="1">
        <f t="shared" si="61"/>
        <v>-3.5063724529883211E-3</v>
      </c>
      <c r="G176" s="1">
        <f t="shared" si="61"/>
        <v>-1.7808219178082063E-3</v>
      </c>
      <c r="H176" s="1">
        <f t="shared" si="61"/>
        <v>-1.7808219178082341E-3</v>
      </c>
      <c r="I176" s="1">
        <f t="shared" si="61"/>
        <v>-1.7808219178082063E-3</v>
      </c>
      <c r="J176" s="1">
        <f t="shared" si="61"/>
        <v>-1.7808219178082063E-3</v>
      </c>
      <c r="K176" s="1">
        <f t="shared" si="61"/>
        <v>-1.7808219178082341E-3</v>
      </c>
      <c r="L176" s="1">
        <f t="shared" si="62"/>
        <v>-1.7808219178082063E-3</v>
      </c>
      <c r="M176" s="1">
        <f t="shared" si="62"/>
        <v>-1.7808219178082341E-3</v>
      </c>
      <c r="N176" s="1">
        <f t="shared" si="62"/>
        <v>-6.3917919841352533E-4</v>
      </c>
      <c r="O176" s="1">
        <f t="shared" si="62"/>
        <v>-4.0605095541398906E-4</v>
      </c>
      <c r="P176" s="1">
        <f t="shared" si="62"/>
        <v>-4.0605095541401681E-4</v>
      </c>
      <c r="Q176" s="1">
        <f t="shared" si="62"/>
        <v>-4.0605095541401681E-4</v>
      </c>
      <c r="R176" s="1">
        <f t="shared" si="62"/>
        <v>-4.0605095541401681E-4</v>
      </c>
      <c r="S176" s="1">
        <f t="shared" si="62"/>
        <v>-4.0605095541401681E-4</v>
      </c>
      <c r="T176" s="1">
        <f t="shared" si="62"/>
        <v>-4.0605095541401681E-4</v>
      </c>
      <c r="U176" s="1">
        <f t="shared" si="62"/>
        <v>-4.0605095541401681E-4</v>
      </c>
      <c r="V176" s="1">
        <f t="shared" si="63"/>
        <v>4.0605095541401681E-4</v>
      </c>
      <c r="W176" s="1">
        <f t="shared" si="63"/>
        <v>4.0605095541401681E-4</v>
      </c>
      <c r="X176" s="1">
        <f t="shared" si="63"/>
        <v>4.0605095541401681E-4</v>
      </c>
      <c r="Y176" s="1">
        <f t="shared" si="63"/>
        <v>4.0605095541401681E-4</v>
      </c>
      <c r="Z176" s="1">
        <f t="shared" si="63"/>
        <v>4.0605095541401681E-4</v>
      </c>
      <c r="AA176" s="1">
        <f t="shared" si="63"/>
        <v>4.0605095541401681E-4</v>
      </c>
      <c r="AB176" s="1">
        <f t="shared" si="63"/>
        <v>4.0605095541398906E-4</v>
      </c>
      <c r="AC176" s="1">
        <f t="shared" si="63"/>
        <v>6.3917919841352533E-4</v>
      </c>
      <c r="AD176" s="1">
        <f t="shared" si="63"/>
        <v>1.7808219178082341E-3</v>
      </c>
      <c r="AE176" s="1">
        <f t="shared" si="63"/>
        <v>1.7808219178082063E-3</v>
      </c>
      <c r="AF176" s="1">
        <f t="shared" si="64"/>
        <v>1.7808219178082341E-3</v>
      </c>
      <c r="AG176" s="1">
        <f t="shared" si="64"/>
        <v>1.7808219178082063E-3</v>
      </c>
      <c r="AH176" s="1">
        <f t="shared" si="64"/>
        <v>1.7808219178082063E-3</v>
      </c>
      <c r="AI176" s="1">
        <f t="shared" si="64"/>
        <v>1.7808219178082341E-3</v>
      </c>
      <c r="AJ176" s="1">
        <f t="shared" si="64"/>
        <v>1.7808219178082063E-3</v>
      </c>
      <c r="AK176" s="1">
        <f t="shared" si="64"/>
        <v>3.5063724529883211E-3</v>
      </c>
      <c r="AL176" s="1">
        <f t="shared" si="64"/>
        <v>3.7244897959183842E-3</v>
      </c>
      <c r="AM176" s="1">
        <f t="shared" si="64"/>
        <v>3.7244897959183565E-3</v>
      </c>
      <c r="AN176" s="1">
        <f t="shared" si="64"/>
        <v>3.7244897959183565E-3</v>
      </c>
      <c r="AO176" s="1">
        <f t="shared" si="64"/>
        <v>3.7244897959183842E-3</v>
      </c>
    </row>
    <row r="177" spans="2:51">
      <c r="B177" s="1">
        <f t="shared" si="61"/>
        <v>-3.7244897959183842E-3</v>
      </c>
      <c r="C177" s="1">
        <f t="shared" si="61"/>
        <v>-3.7244897959183565E-3</v>
      </c>
      <c r="D177" s="1">
        <f t="shared" si="61"/>
        <v>-3.7244897959183565E-3</v>
      </c>
      <c r="E177" s="1">
        <f t="shared" si="61"/>
        <v>-3.7244897959183842E-3</v>
      </c>
      <c r="F177" s="1">
        <f t="shared" si="61"/>
        <v>-3.5063724529883211E-3</v>
      </c>
      <c r="G177" s="1">
        <f t="shared" si="61"/>
        <v>-1.7808219178082063E-3</v>
      </c>
      <c r="H177" s="1">
        <f t="shared" si="61"/>
        <v>-1.7808219178082341E-3</v>
      </c>
      <c r="I177" s="1">
        <f t="shared" si="61"/>
        <v>-1.7808219178082063E-3</v>
      </c>
      <c r="J177" s="1">
        <f t="shared" si="61"/>
        <v>-1.7808219178082063E-3</v>
      </c>
      <c r="K177" s="1">
        <f t="shared" si="61"/>
        <v>-1.7808219178082341E-3</v>
      </c>
      <c r="L177" s="1">
        <f t="shared" si="62"/>
        <v>-1.7808219178082063E-3</v>
      </c>
      <c r="M177" s="1">
        <f t="shared" si="62"/>
        <v>-1.7808219178082341E-3</v>
      </c>
      <c r="N177" s="1">
        <f t="shared" si="62"/>
        <v>-6.3917919841352533E-4</v>
      </c>
      <c r="O177" s="1">
        <f t="shared" si="62"/>
        <v>-4.0605095541398906E-4</v>
      </c>
      <c r="P177" s="1">
        <f t="shared" si="62"/>
        <v>-4.0605095541401681E-4</v>
      </c>
      <c r="Q177" s="1">
        <f t="shared" si="62"/>
        <v>-4.0605095541401681E-4</v>
      </c>
      <c r="R177" s="1">
        <f t="shared" si="62"/>
        <v>-4.0605095541401681E-4</v>
      </c>
      <c r="S177" s="1">
        <f t="shared" si="62"/>
        <v>-4.0605095541401681E-4</v>
      </c>
      <c r="T177" s="1">
        <f t="shared" si="62"/>
        <v>-4.0605095541401681E-4</v>
      </c>
      <c r="U177" s="1">
        <f t="shared" si="62"/>
        <v>-4.0605095541401681E-4</v>
      </c>
      <c r="V177" s="1">
        <f t="shared" si="63"/>
        <v>4.0605095541401681E-4</v>
      </c>
      <c r="W177" s="1">
        <f t="shared" si="63"/>
        <v>4.0605095541401681E-4</v>
      </c>
      <c r="X177" s="1">
        <f t="shared" si="63"/>
        <v>4.0605095541401681E-4</v>
      </c>
      <c r="Y177" s="1">
        <f t="shared" si="63"/>
        <v>4.0605095541401681E-4</v>
      </c>
      <c r="Z177" s="1">
        <f t="shared" si="63"/>
        <v>4.0605095541401681E-4</v>
      </c>
      <c r="AA177" s="1">
        <f t="shared" si="63"/>
        <v>4.0605095541401681E-4</v>
      </c>
      <c r="AB177" s="1">
        <f t="shared" si="63"/>
        <v>4.0605095541398906E-4</v>
      </c>
      <c r="AC177" s="1">
        <f t="shared" si="63"/>
        <v>6.3917919841352533E-4</v>
      </c>
      <c r="AD177" s="1">
        <f t="shared" si="63"/>
        <v>1.7808219178082341E-3</v>
      </c>
      <c r="AE177" s="1">
        <f t="shared" si="63"/>
        <v>1.7808219178082063E-3</v>
      </c>
      <c r="AF177" s="1">
        <f t="shared" si="64"/>
        <v>1.7808219178082341E-3</v>
      </c>
      <c r="AG177" s="1">
        <f t="shared" si="64"/>
        <v>1.7808219178082063E-3</v>
      </c>
      <c r="AH177" s="1">
        <f t="shared" si="64"/>
        <v>1.7808219178082063E-3</v>
      </c>
      <c r="AI177" s="1">
        <f t="shared" si="64"/>
        <v>1.7808219178082341E-3</v>
      </c>
      <c r="AJ177" s="1">
        <f t="shared" si="64"/>
        <v>1.7808219178082063E-3</v>
      </c>
      <c r="AK177" s="1">
        <f t="shared" si="64"/>
        <v>3.5063724529883211E-3</v>
      </c>
      <c r="AL177" s="1">
        <f t="shared" si="64"/>
        <v>3.7244897959183842E-3</v>
      </c>
      <c r="AM177" s="1">
        <f t="shared" si="64"/>
        <v>3.7244897959183565E-3</v>
      </c>
      <c r="AN177" s="1">
        <f t="shared" si="64"/>
        <v>3.7244897959183565E-3</v>
      </c>
      <c r="AO177" s="1">
        <f t="shared" si="64"/>
        <v>3.7244897959183842E-3</v>
      </c>
    </row>
    <row r="178" spans="2:51">
      <c r="B178" s="1">
        <f t="shared" si="61"/>
        <v>-3.7244897959183842E-3</v>
      </c>
      <c r="C178" s="1">
        <f t="shared" si="61"/>
        <v>-3.7244897959183565E-3</v>
      </c>
      <c r="D178" s="1">
        <f t="shared" si="61"/>
        <v>-3.7244897959183565E-3</v>
      </c>
      <c r="E178" s="1">
        <f t="shared" si="61"/>
        <v>-3.7244897959183842E-3</v>
      </c>
      <c r="F178" s="1">
        <f t="shared" si="61"/>
        <v>-3.5063724529883211E-3</v>
      </c>
      <c r="G178" s="1">
        <f t="shared" si="61"/>
        <v>-1.7808219178082063E-3</v>
      </c>
      <c r="H178" s="1">
        <f t="shared" si="61"/>
        <v>-1.7808219178082341E-3</v>
      </c>
      <c r="I178" s="1">
        <f t="shared" si="61"/>
        <v>-1.7808219178082063E-3</v>
      </c>
      <c r="J178" s="1">
        <f t="shared" si="61"/>
        <v>-1.7808219178082063E-3</v>
      </c>
      <c r="K178" s="1">
        <f t="shared" si="61"/>
        <v>-1.7808219178082341E-3</v>
      </c>
      <c r="L178" s="1">
        <f t="shared" si="62"/>
        <v>-1.7808219178082063E-3</v>
      </c>
      <c r="M178" s="1">
        <f t="shared" si="62"/>
        <v>-1.7808219178082341E-3</v>
      </c>
      <c r="N178" s="1">
        <f t="shared" si="62"/>
        <v>-6.3917919841352533E-4</v>
      </c>
      <c r="O178" s="1">
        <f t="shared" si="62"/>
        <v>-4.0605095541398906E-4</v>
      </c>
      <c r="P178" s="1">
        <f t="shared" si="62"/>
        <v>-4.0605095541401681E-4</v>
      </c>
      <c r="Q178" s="1">
        <f t="shared" si="62"/>
        <v>-4.0605095541401681E-4</v>
      </c>
      <c r="R178" s="1">
        <f t="shared" si="62"/>
        <v>-4.0605095541401681E-4</v>
      </c>
      <c r="S178" s="1">
        <f t="shared" si="62"/>
        <v>-4.0605095541401681E-4</v>
      </c>
      <c r="T178" s="1">
        <f t="shared" si="62"/>
        <v>-4.0605095541401681E-4</v>
      </c>
      <c r="U178" s="1">
        <f t="shared" si="62"/>
        <v>-4.0605095541401681E-4</v>
      </c>
      <c r="V178" s="1">
        <f t="shared" si="63"/>
        <v>4.0605095541401681E-4</v>
      </c>
      <c r="W178" s="1">
        <f t="shared" si="63"/>
        <v>4.0605095541401681E-4</v>
      </c>
      <c r="X178" s="1">
        <f t="shared" si="63"/>
        <v>4.0605095541401681E-4</v>
      </c>
      <c r="Y178" s="1">
        <f t="shared" si="63"/>
        <v>4.0605095541401681E-4</v>
      </c>
      <c r="Z178" s="1">
        <f t="shared" si="63"/>
        <v>4.0605095541401681E-4</v>
      </c>
      <c r="AA178" s="1">
        <f t="shared" si="63"/>
        <v>4.0605095541401681E-4</v>
      </c>
      <c r="AB178" s="1">
        <f t="shared" si="63"/>
        <v>4.0605095541398906E-4</v>
      </c>
      <c r="AC178" s="1">
        <f t="shared" si="63"/>
        <v>6.3917919841352533E-4</v>
      </c>
      <c r="AD178" s="1">
        <f t="shared" si="63"/>
        <v>1.7808219178082341E-3</v>
      </c>
      <c r="AE178" s="1">
        <f t="shared" si="63"/>
        <v>1.7808219178082063E-3</v>
      </c>
      <c r="AF178" s="1">
        <f t="shared" si="64"/>
        <v>1.7808219178082341E-3</v>
      </c>
      <c r="AG178" s="1">
        <f t="shared" si="64"/>
        <v>1.7808219178082063E-3</v>
      </c>
      <c r="AH178" s="1">
        <f t="shared" si="64"/>
        <v>1.7808219178082063E-3</v>
      </c>
      <c r="AI178" s="1">
        <f t="shared" si="64"/>
        <v>1.7808219178082341E-3</v>
      </c>
      <c r="AJ178" s="1">
        <f t="shared" si="64"/>
        <v>1.7808219178082063E-3</v>
      </c>
      <c r="AK178" s="1">
        <f t="shared" si="64"/>
        <v>3.5063724529883211E-3</v>
      </c>
      <c r="AL178" s="1">
        <f t="shared" si="64"/>
        <v>3.7244897959183842E-3</v>
      </c>
      <c r="AM178" s="1">
        <f t="shared" si="64"/>
        <v>3.7244897959183565E-3</v>
      </c>
      <c r="AN178" s="1">
        <f t="shared" si="64"/>
        <v>3.7244897959183565E-3</v>
      </c>
      <c r="AO178" s="1">
        <f t="shared" si="64"/>
        <v>3.7244897959183842E-3</v>
      </c>
    </row>
    <row r="187" spans="2:51">
      <c r="C187" s="1" t="s">
        <v>114</v>
      </c>
      <c r="D187" s="1" t="s">
        <v>115</v>
      </c>
      <c r="H187" s="1" t="s">
        <v>116</v>
      </c>
    </row>
    <row r="188" spans="2:51">
      <c r="B188" s="1" t="s">
        <v>117</v>
      </c>
      <c r="C188" s="1">
        <v>9</v>
      </c>
      <c r="D188" s="1">
        <f>C188/39.37</f>
        <v>0.2286004572009144</v>
      </c>
      <c r="E188" s="1">
        <f>D189-D188</f>
        <v>0.15240030480060965</v>
      </c>
      <c r="H188" s="1" t="s">
        <v>118</v>
      </c>
      <c r="J188" s="1">
        <f>SUM(L188:AY188)</f>
        <v>-2.2898349882893854E-16</v>
      </c>
      <c r="L188" s="1">
        <f t="shared" ref="L188:AY188" si="65">B116*B115</f>
        <v>-3.1850226249168938E-2</v>
      </c>
      <c r="M188" s="1">
        <f t="shared" si="65"/>
        <v>-4.217007480961505E-2</v>
      </c>
      <c r="N188" s="1">
        <f t="shared" si="65"/>
        <v>-4.7388169603236788E-2</v>
      </c>
      <c r="O188" s="1">
        <f t="shared" si="65"/>
        <v>-5.0201131743634782E-2</v>
      </c>
      <c r="P188" s="1">
        <f t="shared" si="65"/>
        <v>-5.1488258621571824E-2</v>
      </c>
      <c r="Q188" s="1">
        <f t="shared" si="65"/>
        <v>-5.1609858594474936E-2</v>
      </c>
      <c r="R188" s="1">
        <f t="shared" si="65"/>
        <v>-5.08431510578791E-2</v>
      </c>
      <c r="S188" s="1">
        <f t="shared" si="65"/>
        <v>-4.9380684711601834E-2</v>
      </c>
      <c r="T188" s="1">
        <f t="shared" si="65"/>
        <v>-4.7342270439956702E-2</v>
      </c>
      <c r="U188" s="1">
        <f t="shared" si="65"/>
        <v>-4.4802839583909848E-2</v>
      </c>
      <c r="V188" s="1">
        <f t="shared" si="65"/>
        <v>-4.1811996483937117E-2</v>
      </c>
      <c r="W188" s="1">
        <f t="shared" si="65"/>
        <v>-3.8404747305505325E-2</v>
      </c>
      <c r="X188" s="1">
        <f t="shared" si="65"/>
        <v>-3.4602318673733937E-2</v>
      </c>
      <c r="Y188" s="1">
        <f t="shared" si="65"/>
        <v>-3.0445707606394007E-2</v>
      </c>
      <c r="Z188" s="1">
        <f t="shared" si="65"/>
        <v>-2.6063454735926375E-2</v>
      </c>
      <c r="AA188" s="1">
        <f t="shared" si="65"/>
        <v>-2.1516628350618999E-2</v>
      </c>
      <c r="AB188" s="1">
        <f t="shared" si="65"/>
        <v>-1.6849235311096812E-2</v>
      </c>
      <c r="AC188" s="1">
        <f t="shared" si="65"/>
        <v>-1.2094589726849986E-2</v>
      </c>
      <c r="AD188" s="1">
        <f t="shared" si="65"/>
        <v>-7.2800802288533976E-3</v>
      </c>
      <c r="AE188" s="1">
        <f t="shared" si="65"/>
        <v>-2.4304567524988468E-3</v>
      </c>
      <c r="AF188" s="1">
        <f t="shared" si="65"/>
        <v>2.4304567524988472E-3</v>
      </c>
      <c r="AG188" s="1">
        <f t="shared" si="65"/>
        <v>7.2800802288534036E-3</v>
      </c>
      <c r="AH188" s="1">
        <f t="shared" si="65"/>
        <v>1.2094589726849991E-2</v>
      </c>
      <c r="AI188" s="1">
        <f t="shared" si="65"/>
        <v>1.6849235311096816E-2</v>
      </c>
      <c r="AJ188" s="1">
        <f t="shared" si="65"/>
        <v>2.1516628350618988E-2</v>
      </c>
      <c r="AK188" s="1">
        <f t="shared" si="65"/>
        <v>2.6063454735926386E-2</v>
      </c>
      <c r="AL188" s="1">
        <f t="shared" si="65"/>
        <v>3.0445707606394003E-2</v>
      </c>
      <c r="AM188" s="1">
        <f t="shared" si="65"/>
        <v>3.4602318673733923E-2</v>
      </c>
      <c r="AN188" s="1">
        <f t="shared" si="65"/>
        <v>3.8404747305505277E-2</v>
      </c>
      <c r="AO188" s="1">
        <f t="shared" si="65"/>
        <v>4.181199648393711E-2</v>
      </c>
      <c r="AP188" s="1">
        <f t="shared" si="65"/>
        <v>4.4802839583909841E-2</v>
      </c>
      <c r="AQ188" s="1">
        <f t="shared" si="65"/>
        <v>4.734227043995666E-2</v>
      </c>
      <c r="AR188" s="1">
        <f t="shared" si="65"/>
        <v>4.9380684711601813E-2</v>
      </c>
      <c r="AS188" s="1">
        <f t="shared" si="65"/>
        <v>5.0843151057879073E-2</v>
      </c>
      <c r="AT188" s="1">
        <f t="shared" si="65"/>
        <v>5.1609858594474915E-2</v>
      </c>
      <c r="AU188" s="1">
        <f t="shared" si="65"/>
        <v>5.1488258621571789E-2</v>
      </c>
      <c r="AV188" s="1">
        <f t="shared" si="65"/>
        <v>5.0201131743634775E-2</v>
      </c>
      <c r="AW188" s="1">
        <f t="shared" si="65"/>
        <v>4.7388169603236788E-2</v>
      </c>
      <c r="AX188" s="1">
        <f t="shared" si="65"/>
        <v>4.2170074809615113E-2</v>
      </c>
      <c r="AY188" s="1">
        <f t="shared" si="65"/>
        <v>3.1850226249168966E-2</v>
      </c>
    </row>
    <row r="189" spans="2:51">
      <c r="B189" s="1" t="s">
        <v>119</v>
      </c>
      <c r="C189" s="1">
        <v>15</v>
      </c>
      <c r="D189" s="1">
        <f>C189/39.37</f>
        <v>0.38100076200152405</v>
      </c>
      <c r="E189" s="1">
        <f>D190-D189</f>
        <v>0</v>
      </c>
    </row>
    <row r="190" spans="2:51">
      <c r="B190" s="1" t="s">
        <v>120</v>
      </c>
      <c r="C190" s="1">
        <v>15</v>
      </c>
      <c r="D190" s="1">
        <f>C190/39.37</f>
        <v>0.38100076200152405</v>
      </c>
    </row>
    <row r="192" spans="2:51">
      <c r="C192" s="1">
        <f>$D$188+$E$188*0.125</f>
        <v>0.24765049530099062</v>
      </c>
      <c r="D192" s="2"/>
      <c r="E192" s="1">
        <f>$D$188+$E$188*0.375</f>
        <v>0.28575057150114302</v>
      </c>
      <c r="F192" s="2"/>
      <c r="G192" s="1">
        <f>$D$188+$E$188*0.625</f>
        <v>0.32385064770129546</v>
      </c>
      <c r="H192" s="2"/>
      <c r="I192" s="1">
        <f>$D$188+$E$188*0.875</f>
        <v>0.36195072390144784</v>
      </c>
      <c r="J192" s="2"/>
      <c r="K192" s="1">
        <f>$D$189+$E$189/12</f>
        <v>0.38100076200152405</v>
      </c>
      <c r="L192" s="2"/>
      <c r="M192" s="1">
        <f>$D$189+$E$189/4</f>
        <v>0.38100076200152405</v>
      </c>
      <c r="N192" s="2"/>
      <c r="O192" s="1">
        <f>$D$189+$E$189*5/12</f>
        <v>0.38100076200152405</v>
      </c>
      <c r="P192" s="2"/>
      <c r="Q192" s="1">
        <f>$D$189+$E$189*7/12</f>
        <v>0.38100076200152405</v>
      </c>
      <c r="R192" s="2"/>
      <c r="S192" s="1">
        <f>$D$189+$E$189*3/4</f>
        <v>0.38100076200152405</v>
      </c>
      <c r="T192" s="2"/>
      <c r="U192" s="1">
        <f>$D$189+$E$189*11/12</f>
        <v>0.38100076200152405</v>
      </c>
      <c r="V192" s="2"/>
      <c r="W192" s="1">
        <f>U192</f>
        <v>0.38100076200152405</v>
      </c>
      <c r="X192" s="2"/>
      <c r="Y192" s="1">
        <f>S192</f>
        <v>0.38100076200152405</v>
      </c>
      <c r="Z192" s="2"/>
      <c r="AA192" s="1">
        <f>Q192</f>
        <v>0.38100076200152405</v>
      </c>
      <c r="AB192" s="2"/>
      <c r="AC192" s="1">
        <f>O192</f>
        <v>0.38100076200152405</v>
      </c>
      <c r="AD192" s="2"/>
      <c r="AE192" s="1">
        <f>M192</f>
        <v>0.38100076200152405</v>
      </c>
      <c r="AF192" s="2"/>
      <c r="AG192" s="1">
        <f>K192</f>
        <v>0.38100076200152405</v>
      </c>
      <c r="AH192" s="2"/>
      <c r="AI192" s="1">
        <f>I192</f>
        <v>0.36195072390144784</v>
      </c>
      <c r="AJ192" s="2"/>
      <c r="AK192" s="1">
        <f>G192</f>
        <v>0.32385064770129546</v>
      </c>
      <c r="AL192" s="2"/>
      <c r="AM192" s="1">
        <f>E192</f>
        <v>0.28575057150114302</v>
      </c>
      <c r="AN192" s="2"/>
      <c r="AO192" s="1">
        <f>C192</f>
        <v>0.24765049530099062</v>
      </c>
    </row>
    <row r="194" spans="1:41">
      <c r="A194" s="1" t="s">
        <v>121</v>
      </c>
    </row>
    <row r="195" spans="1:41">
      <c r="B195" s="1">
        <f t="shared" ref="B195:K204" si="66">B$109-B$107</f>
        <v>5.0000000000000044E-2</v>
      </c>
      <c r="C195" s="1">
        <f t="shared" si="66"/>
        <v>4.9999999999999933E-2</v>
      </c>
      <c r="D195" s="1">
        <f t="shared" si="66"/>
        <v>5.0000000000000044E-2</v>
      </c>
      <c r="E195" s="1">
        <f t="shared" si="66"/>
        <v>4.9999999999999933E-2</v>
      </c>
      <c r="F195" s="1">
        <f t="shared" si="66"/>
        <v>5.0000000000000044E-2</v>
      </c>
      <c r="G195" s="1">
        <f t="shared" si="66"/>
        <v>5.0000000000000044E-2</v>
      </c>
      <c r="H195" s="1">
        <f t="shared" si="66"/>
        <v>4.9999999999999933E-2</v>
      </c>
      <c r="I195" s="1">
        <f t="shared" si="66"/>
        <v>5.0000000000000044E-2</v>
      </c>
      <c r="J195" s="1">
        <f t="shared" si="66"/>
        <v>4.9999999999999933E-2</v>
      </c>
      <c r="K195" s="1">
        <f t="shared" si="66"/>
        <v>5.0000000000000044E-2</v>
      </c>
      <c r="L195" s="1">
        <f t="shared" ref="L195:U204" si="67">L$109-L$107</f>
        <v>4.9999999999999989E-2</v>
      </c>
      <c r="M195" s="1">
        <f t="shared" si="67"/>
        <v>4.9999999999999989E-2</v>
      </c>
      <c r="N195" s="1">
        <f t="shared" si="67"/>
        <v>5.0000000000000044E-2</v>
      </c>
      <c r="O195" s="1">
        <f t="shared" si="67"/>
        <v>4.9999999999999989E-2</v>
      </c>
      <c r="P195" s="1">
        <f t="shared" si="67"/>
        <v>4.9999999999999989E-2</v>
      </c>
      <c r="Q195" s="1">
        <f t="shared" si="67"/>
        <v>4.9999999999999989E-2</v>
      </c>
      <c r="R195" s="1">
        <f t="shared" si="67"/>
        <v>5.0000000000000017E-2</v>
      </c>
      <c r="S195" s="1">
        <f t="shared" si="67"/>
        <v>4.9999999999999989E-2</v>
      </c>
      <c r="T195" s="1">
        <f t="shared" si="67"/>
        <v>0.05</v>
      </c>
      <c r="U195" s="1">
        <f t="shared" si="67"/>
        <v>4.9999999999999781E-2</v>
      </c>
      <c r="V195" s="1">
        <f t="shared" ref="V195:AE204" si="68">V$109-V$107</f>
        <v>5.0000000000000225E-2</v>
      </c>
      <c r="W195" s="1">
        <f t="shared" si="68"/>
        <v>4.9999999999999642E-2</v>
      </c>
      <c r="X195" s="1">
        <f t="shared" si="68"/>
        <v>5.000000000000035E-2</v>
      </c>
      <c r="Y195" s="1">
        <f t="shared" si="68"/>
        <v>5.0000000000000017E-2</v>
      </c>
      <c r="Z195" s="1">
        <f t="shared" si="68"/>
        <v>4.9999999999999989E-2</v>
      </c>
      <c r="AA195" s="1">
        <f t="shared" si="68"/>
        <v>4.9999999999999989E-2</v>
      </c>
      <c r="AB195" s="1">
        <f t="shared" si="68"/>
        <v>4.9999999999999989E-2</v>
      </c>
      <c r="AC195" s="1">
        <f t="shared" si="68"/>
        <v>5.0000000000000044E-2</v>
      </c>
      <c r="AD195" s="1">
        <f t="shared" si="68"/>
        <v>4.9999999999999989E-2</v>
      </c>
      <c r="AE195" s="1">
        <f t="shared" si="68"/>
        <v>4.9999999999999989E-2</v>
      </c>
      <c r="AF195" s="1">
        <f t="shared" ref="AF195:AO204" si="69">AF$109-AF$107</f>
        <v>5.0000000000000044E-2</v>
      </c>
      <c r="AG195" s="1">
        <f t="shared" si="69"/>
        <v>4.9999999999999933E-2</v>
      </c>
      <c r="AH195" s="1">
        <f t="shared" si="69"/>
        <v>5.0000000000000044E-2</v>
      </c>
      <c r="AI195" s="1">
        <f t="shared" si="69"/>
        <v>4.9999999999999933E-2</v>
      </c>
      <c r="AJ195" s="1">
        <f t="shared" si="69"/>
        <v>5.0000000000000044E-2</v>
      </c>
      <c r="AK195" s="1">
        <f t="shared" si="69"/>
        <v>5.0000000000000044E-2</v>
      </c>
      <c r="AL195" s="1">
        <f t="shared" si="69"/>
        <v>4.9999999999999933E-2</v>
      </c>
      <c r="AM195" s="1">
        <f t="shared" si="69"/>
        <v>4.9999999999999489E-2</v>
      </c>
      <c r="AN195" s="1">
        <f t="shared" si="69"/>
        <v>5.0000000000000488E-2</v>
      </c>
      <c r="AO195" s="1">
        <f t="shared" si="69"/>
        <v>5.0000000000000044E-2</v>
      </c>
    </row>
    <row r="196" spans="1:41">
      <c r="B196" s="1">
        <f t="shared" si="66"/>
        <v>5.0000000000000044E-2</v>
      </c>
      <c r="C196" s="1">
        <f t="shared" si="66"/>
        <v>4.9999999999999933E-2</v>
      </c>
      <c r="D196" s="1">
        <f t="shared" si="66"/>
        <v>5.0000000000000044E-2</v>
      </c>
      <c r="E196" s="1">
        <f t="shared" si="66"/>
        <v>4.9999999999999933E-2</v>
      </c>
      <c r="F196" s="1">
        <f t="shared" si="66"/>
        <v>5.0000000000000044E-2</v>
      </c>
      <c r="G196" s="1">
        <f t="shared" si="66"/>
        <v>5.0000000000000044E-2</v>
      </c>
      <c r="H196" s="1">
        <f t="shared" si="66"/>
        <v>4.9999999999999933E-2</v>
      </c>
      <c r="I196" s="1">
        <f t="shared" si="66"/>
        <v>5.0000000000000044E-2</v>
      </c>
      <c r="J196" s="1">
        <f t="shared" si="66"/>
        <v>4.9999999999999933E-2</v>
      </c>
      <c r="K196" s="1">
        <f t="shared" si="66"/>
        <v>5.0000000000000044E-2</v>
      </c>
      <c r="L196" s="1">
        <f t="shared" si="67"/>
        <v>4.9999999999999989E-2</v>
      </c>
      <c r="M196" s="1">
        <f t="shared" si="67"/>
        <v>4.9999999999999989E-2</v>
      </c>
      <c r="N196" s="1">
        <f t="shared" si="67"/>
        <v>5.0000000000000044E-2</v>
      </c>
      <c r="O196" s="1">
        <f t="shared" si="67"/>
        <v>4.9999999999999989E-2</v>
      </c>
      <c r="P196" s="1">
        <f t="shared" si="67"/>
        <v>4.9999999999999989E-2</v>
      </c>
      <c r="Q196" s="1">
        <f t="shared" si="67"/>
        <v>4.9999999999999989E-2</v>
      </c>
      <c r="R196" s="1">
        <f t="shared" si="67"/>
        <v>5.0000000000000017E-2</v>
      </c>
      <c r="S196" s="1">
        <f t="shared" si="67"/>
        <v>4.9999999999999989E-2</v>
      </c>
      <c r="T196" s="1">
        <f t="shared" si="67"/>
        <v>0.05</v>
      </c>
      <c r="U196" s="1">
        <f t="shared" si="67"/>
        <v>4.9999999999999781E-2</v>
      </c>
      <c r="V196" s="1">
        <f t="shared" si="68"/>
        <v>5.0000000000000225E-2</v>
      </c>
      <c r="W196" s="1">
        <f t="shared" si="68"/>
        <v>4.9999999999999642E-2</v>
      </c>
      <c r="X196" s="1">
        <f t="shared" si="68"/>
        <v>5.000000000000035E-2</v>
      </c>
      <c r="Y196" s="1">
        <f t="shared" si="68"/>
        <v>5.0000000000000017E-2</v>
      </c>
      <c r="Z196" s="1">
        <f t="shared" si="68"/>
        <v>4.9999999999999989E-2</v>
      </c>
      <c r="AA196" s="1">
        <f t="shared" si="68"/>
        <v>4.9999999999999989E-2</v>
      </c>
      <c r="AB196" s="1">
        <f t="shared" si="68"/>
        <v>4.9999999999999989E-2</v>
      </c>
      <c r="AC196" s="1">
        <f t="shared" si="68"/>
        <v>5.0000000000000044E-2</v>
      </c>
      <c r="AD196" s="1">
        <f t="shared" si="68"/>
        <v>4.9999999999999989E-2</v>
      </c>
      <c r="AE196" s="1">
        <f t="shared" si="68"/>
        <v>4.9999999999999989E-2</v>
      </c>
      <c r="AF196" s="1">
        <f t="shared" si="69"/>
        <v>5.0000000000000044E-2</v>
      </c>
      <c r="AG196" s="1">
        <f t="shared" si="69"/>
        <v>4.9999999999999933E-2</v>
      </c>
      <c r="AH196" s="1">
        <f t="shared" si="69"/>
        <v>5.0000000000000044E-2</v>
      </c>
      <c r="AI196" s="1">
        <f t="shared" si="69"/>
        <v>4.9999999999999933E-2</v>
      </c>
      <c r="AJ196" s="1">
        <f t="shared" si="69"/>
        <v>5.0000000000000044E-2</v>
      </c>
      <c r="AK196" s="1">
        <f t="shared" si="69"/>
        <v>5.0000000000000044E-2</v>
      </c>
      <c r="AL196" s="1">
        <f t="shared" si="69"/>
        <v>4.9999999999999933E-2</v>
      </c>
      <c r="AM196" s="1">
        <f t="shared" si="69"/>
        <v>4.9999999999999489E-2</v>
      </c>
      <c r="AN196" s="1">
        <f t="shared" si="69"/>
        <v>5.0000000000000488E-2</v>
      </c>
      <c r="AO196" s="1">
        <f t="shared" si="69"/>
        <v>5.0000000000000044E-2</v>
      </c>
    </row>
    <row r="197" spans="1:41">
      <c r="B197" s="1">
        <f t="shared" si="66"/>
        <v>5.0000000000000044E-2</v>
      </c>
      <c r="C197" s="1">
        <f t="shared" si="66"/>
        <v>4.9999999999999933E-2</v>
      </c>
      <c r="D197" s="1">
        <f t="shared" si="66"/>
        <v>5.0000000000000044E-2</v>
      </c>
      <c r="E197" s="1">
        <f t="shared" si="66"/>
        <v>4.9999999999999933E-2</v>
      </c>
      <c r="F197" s="1">
        <f t="shared" si="66"/>
        <v>5.0000000000000044E-2</v>
      </c>
      <c r="G197" s="1">
        <f t="shared" si="66"/>
        <v>5.0000000000000044E-2</v>
      </c>
      <c r="H197" s="1">
        <f t="shared" si="66"/>
        <v>4.9999999999999933E-2</v>
      </c>
      <c r="I197" s="1">
        <f t="shared" si="66"/>
        <v>5.0000000000000044E-2</v>
      </c>
      <c r="J197" s="1">
        <f t="shared" si="66"/>
        <v>4.9999999999999933E-2</v>
      </c>
      <c r="K197" s="1">
        <f t="shared" si="66"/>
        <v>5.0000000000000044E-2</v>
      </c>
      <c r="L197" s="1">
        <f t="shared" si="67"/>
        <v>4.9999999999999989E-2</v>
      </c>
      <c r="M197" s="1">
        <f t="shared" si="67"/>
        <v>4.9999999999999989E-2</v>
      </c>
      <c r="N197" s="1">
        <f t="shared" si="67"/>
        <v>5.0000000000000044E-2</v>
      </c>
      <c r="O197" s="1">
        <f t="shared" si="67"/>
        <v>4.9999999999999989E-2</v>
      </c>
      <c r="P197" s="1">
        <f t="shared" si="67"/>
        <v>4.9999999999999989E-2</v>
      </c>
      <c r="Q197" s="1">
        <f t="shared" si="67"/>
        <v>4.9999999999999989E-2</v>
      </c>
      <c r="R197" s="1">
        <f t="shared" si="67"/>
        <v>5.0000000000000017E-2</v>
      </c>
      <c r="S197" s="1">
        <f t="shared" si="67"/>
        <v>4.9999999999999989E-2</v>
      </c>
      <c r="T197" s="1">
        <f t="shared" si="67"/>
        <v>0.05</v>
      </c>
      <c r="U197" s="1">
        <f t="shared" si="67"/>
        <v>4.9999999999999781E-2</v>
      </c>
      <c r="V197" s="1">
        <f t="shared" si="68"/>
        <v>5.0000000000000225E-2</v>
      </c>
      <c r="W197" s="1">
        <f t="shared" si="68"/>
        <v>4.9999999999999642E-2</v>
      </c>
      <c r="X197" s="1">
        <f t="shared" si="68"/>
        <v>5.000000000000035E-2</v>
      </c>
      <c r="Y197" s="1">
        <f t="shared" si="68"/>
        <v>5.0000000000000017E-2</v>
      </c>
      <c r="Z197" s="1">
        <f t="shared" si="68"/>
        <v>4.9999999999999989E-2</v>
      </c>
      <c r="AA197" s="1">
        <f t="shared" si="68"/>
        <v>4.9999999999999989E-2</v>
      </c>
      <c r="AB197" s="1">
        <f t="shared" si="68"/>
        <v>4.9999999999999989E-2</v>
      </c>
      <c r="AC197" s="1">
        <f t="shared" si="68"/>
        <v>5.0000000000000044E-2</v>
      </c>
      <c r="AD197" s="1">
        <f t="shared" si="68"/>
        <v>4.9999999999999989E-2</v>
      </c>
      <c r="AE197" s="1">
        <f t="shared" si="68"/>
        <v>4.9999999999999989E-2</v>
      </c>
      <c r="AF197" s="1">
        <f t="shared" si="69"/>
        <v>5.0000000000000044E-2</v>
      </c>
      <c r="AG197" s="1">
        <f t="shared" si="69"/>
        <v>4.9999999999999933E-2</v>
      </c>
      <c r="AH197" s="1">
        <f t="shared" si="69"/>
        <v>5.0000000000000044E-2</v>
      </c>
      <c r="AI197" s="1">
        <f t="shared" si="69"/>
        <v>4.9999999999999933E-2</v>
      </c>
      <c r="AJ197" s="1">
        <f t="shared" si="69"/>
        <v>5.0000000000000044E-2</v>
      </c>
      <c r="AK197" s="1">
        <f t="shared" si="69"/>
        <v>5.0000000000000044E-2</v>
      </c>
      <c r="AL197" s="1">
        <f t="shared" si="69"/>
        <v>4.9999999999999933E-2</v>
      </c>
      <c r="AM197" s="1">
        <f t="shared" si="69"/>
        <v>4.9999999999999489E-2</v>
      </c>
      <c r="AN197" s="1">
        <f t="shared" si="69"/>
        <v>5.0000000000000488E-2</v>
      </c>
      <c r="AO197" s="1">
        <f t="shared" si="69"/>
        <v>5.0000000000000044E-2</v>
      </c>
    </row>
    <row r="198" spans="1:41">
      <c r="B198" s="1">
        <f t="shared" si="66"/>
        <v>5.0000000000000044E-2</v>
      </c>
      <c r="C198" s="1">
        <f t="shared" si="66"/>
        <v>4.9999999999999933E-2</v>
      </c>
      <c r="D198" s="1">
        <f t="shared" si="66"/>
        <v>5.0000000000000044E-2</v>
      </c>
      <c r="E198" s="1">
        <f t="shared" si="66"/>
        <v>4.9999999999999933E-2</v>
      </c>
      <c r="F198" s="1">
        <f t="shared" si="66"/>
        <v>5.0000000000000044E-2</v>
      </c>
      <c r="G198" s="1">
        <f t="shared" si="66"/>
        <v>5.0000000000000044E-2</v>
      </c>
      <c r="H198" s="1">
        <f t="shared" si="66"/>
        <v>4.9999999999999933E-2</v>
      </c>
      <c r="I198" s="1">
        <f t="shared" si="66"/>
        <v>5.0000000000000044E-2</v>
      </c>
      <c r="J198" s="1">
        <f t="shared" si="66"/>
        <v>4.9999999999999933E-2</v>
      </c>
      <c r="K198" s="1">
        <f t="shared" si="66"/>
        <v>5.0000000000000044E-2</v>
      </c>
      <c r="L198" s="1">
        <f t="shared" si="67"/>
        <v>4.9999999999999989E-2</v>
      </c>
      <c r="M198" s="1">
        <f t="shared" si="67"/>
        <v>4.9999999999999989E-2</v>
      </c>
      <c r="N198" s="1">
        <f t="shared" si="67"/>
        <v>5.0000000000000044E-2</v>
      </c>
      <c r="O198" s="1">
        <f t="shared" si="67"/>
        <v>4.9999999999999989E-2</v>
      </c>
      <c r="P198" s="1">
        <f t="shared" si="67"/>
        <v>4.9999999999999989E-2</v>
      </c>
      <c r="Q198" s="1">
        <f t="shared" si="67"/>
        <v>4.9999999999999989E-2</v>
      </c>
      <c r="R198" s="1">
        <f t="shared" si="67"/>
        <v>5.0000000000000017E-2</v>
      </c>
      <c r="S198" s="1">
        <f t="shared" si="67"/>
        <v>4.9999999999999989E-2</v>
      </c>
      <c r="T198" s="1">
        <f t="shared" si="67"/>
        <v>0.05</v>
      </c>
      <c r="U198" s="1">
        <f t="shared" si="67"/>
        <v>4.9999999999999781E-2</v>
      </c>
      <c r="V198" s="1">
        <f t="shared" si="68"/>
        <v>5.0000000000000225E-2</v>
      </c>
      <c r="W198" s="1">
        <f t="shared" si="68"/>
        <v>4.9999999999999642E-2</v>
      </c>
      <c r="X198" s="1">
        <f t="shared" si="68"/>
        <v>5.000000000000035E-2</v>
      </c>
      <c r="Y198" s="1">
        <f t="shared" si="68"/>
        <v>5.0000000000000017E-2</v>
      </c>
      <c r="Z198" s="1">
        <f t="shared" si="68"/>
        <v>4.9999999999999989E-2</v>
      </c>
      <c r="AA198" s="1">
        <f t="shared" si="68"/>
        <v>4.9999999999999989E-2</v>
      </c>
      <c r="AB198" s="1">
        <f t="shared" si="68"/>
        <v>4.9999999999999989E-2</v>
      </c>
      <c r="AC198" s="1">
        <f t="shared" si="68"/>
        <v>5.0000000000000044E-2</v>
      </c>
      <c r="AD198" s="1">
        <f t="shared" si="68"/>
        <v>4.9999999999999989E-2</v>
      </c>
      <c r="AE198" s="1">
        <f t="shared" si="68"/>
        <v>4.9999999999999989E-2</v>
      </c>
      <c r="AF198" s="1">
        <f t="shared" si="69"/>
        <v>5.0000000000000044E-2</v>
      </c>
      <c r="AG198" s="1">
        <f t="shared" si="69"/>
        <v>4.9999999999999933E-2</v>
      </c>
      <c r="AH198" s="1">
        <f t="shared" si="69"/>
        <v>5.0000000000000044E-2</v>
      </c>
      <c r="AI198" s="1">
        <f t="shared" si="69"/>
        <v>4.9999999999999933E-2</v>
      </c>
      <c r="AJ198" s="1">
        <f t="shared" si="69"/>
        <v>5.0000000000000044E-2</v>
      </c>
      <c r="AK198" s="1">
        <f t="shared" si="69"/>
        <v>5.0000000000000044E-2</v>
      </c>
      <c r="AL198" s="1">
        <f t="shared" si="69"/>
        <v>4.9999999999999933E-2</v>
      </c>
      <c r="AM198" s="1">
        <f t="shared" si="69"/>
        <v>4.9999999999999489E-2</v>
      </c>
      <c r="AN198" s="1">
        <f t="shared" si="69"/>
        <v>5.0000000000000488E-2</v>
      </c>
      <c r="AO198" s="1">
        <f t="shared" si="69"/>
        <v>5.0000000000000044E-2</v>
      </c>
    </row>
    <row r="199" spans="1:41">
      <c r="B199" s="1">
        <f t="shared" si="66"/>
        <v>5.0000000000000044E-2</v>
      </c>
      <c r="C199" s="1">
        <f t="shared" si="66"/>
        <v>4.9999999999999933E-2</v>
      </c>
      <c r="D199" s="1">
        <f t="shared" si="66"/>
        <v>5.0000000000000044E-2</v>
      </c>
      <c r="E199" s="1">
        <f t="shared" si="66"/>
        <v>4.9999999999999933E-2</v>
      </c>
      <c r="F199" s="1">
        <f t="shared" si="66"/>
        <v>5.0000000000000044E-2</v>
      </c>
      <c r="G199" s="1">
        <f t="shared" si="66"/>
        <v>5.0000000000000044E-2</v>
      </c>
      <c r="H199" s="1">
        <f t="shared" si="66"/>
        <v>4.9999999999999933E-2</v>
      </c>
      <c r="I199" s="1">
        <f t="shared" si="66"/>
        <v>5.0000000000000044E-2</v>
      </c>
      <c r="J199" s="1">
        <f t="shared" si="66"/>
        <v>4.9999999999999933E-2</v>
      </c>
      <c r="K199" s="1">
        <f t="shared" si="66"/>
        <v>5.0000000000000044E-2</v>
      </c>
      <c r="L199" s="1">
        <f t="shared" si="67"/>
        <v>4.9999999999999989E-2</v>
      </c>
      <c r="M199" s="1">
        <f t="shared" si="67"/>
        <v>4.9999999999999989E-2</v>
      </c>
      <c r="N199" s="1">
        <f t="shared" si="67"/>
        <v>5.0000000000000044E-2</v>
      </c>
      <c r="O199" s="1">
        <f t="shared" si="67"/>
        <v>4.9999999999999989E-2</v>
      </c>
      <c r="P199" s="1">
        <f t="shared" si="67"/>
        <v>4.9999999999999989E-2</v>
      </c>
      <c r="Q199" s="1">
        <f t="shared" si="67"/>
        <v>4.9999999999999989E-2</v>
      </c>
      <c r="R199" s="1">
        <f t="shared" si="67"/>
        <v>5.0000000000000017E-2</v>
      </c>
      <c r="S199" s="1">
        <f t="shared" si="67"/>
        <v>4.9999999999999989E-2</v>
      </c>
      <c r="T199" s="1">
        <f t="shared" si="67"/>
        <v>0.05</v>
      </c>
      <c r="U199" s="1">
        <f t="shared" si="67"/>
        <v>4.9999999999999781E-2</v>
      </c>
      <c r="V199" s="1">
        <f t="shared" si="68"/>
        <v>5.0000000000000225E-2</v>
      </c>
      <c r="W199" s="1">
        <f t="shared" si="68"/>
        <v>4.9999999999999642E-2</v>
      </c>
      <c r="X199" s="1">
        <f t="shared" si="68"/>
        <v>5.000000000000035E-2</v>
      </c>
      <c r="Y199" s="1">
        <f t="shared" si="68"/>
        <v>5.0000000000000017E-2</v>
      </c>
      <c r="Z199" s="1">
        <f t="shared" si="68"/>
        <v>4.9999999999999989E-2</v>
      </c>
      <c r="AA199" s="1">
        <f t="shared" si="68"/>
        <v>4.9999999999999989E-2</v>
      </c>
      <c r="AB199" s="1">
        <f t="shared" si="68"/>
        <v>4.9999999999999989E-2</v>
      </c>
      <c r="AC199" s="1">
        <f t="shared" si="68"/>
        <v>5.0000000000000044E-2</v>
      </c>
      <c r="AD199" s="1">
        <f t="shared" si="68"/>
        <v>4.9999999999999989E-2</v>
      </c>
      <c r="AE199" s="1">
        <f t="shared" si="68"/>
        <v>4.9999999999999989E-2</v>
      </c>
      <c r="AF199" s="1">
        <f t="shared" si="69"/>
        <v>5.0000000000000044E-2</v>
      </c>
      <c r="AG199" s="1">
        <f t="shared" si="69"/>
        <v>4.9999999999999933E-2</v>
      </c>
      <c r="AH199" s="1">
        <f t="shared" si="69"/>
        <v>5.0000000000000044E-2</v>
      </c>
      <c r="AI199" s="1">
        <f t="shared" si="69"/>
        <v>4.9999999999999933E-2</v>
      </c>
      <c r="AJ199" s="1">
        <f t="shared" si="69"/>
        <v>5.0000000000000044E-2</v>
      </c>
      <c r="AK199" s="1">
        <f t="shared" si="69"/>
        <v>5.0000000000000044E-2</v>
      </c>
      <c r="AL199" s="1">
        <f t="shared" si="69"/>
        <v>4.9999999999999933E-2</v>
      </c>
      <c r="AM199" s="1">
        <f t="shared" si="69"/>
        <v>4.9999999999999489E-2</v>
      </c>
      <c r="AN199" s="1">
        <f t="shared" si="69"/>
        <v>5.0000000000000488E-2</v>
      </c>
      <c r="AO199" s="1">
        <f t="shared" si="69"/>
        <v>5.0000000000000044E-2</v>
      </c>
    </row>
    <row r="200" spans="1:41">
      <c r="B200" s="1">
        <f t="shared" si="66"/>
        <v>5.0000000000000044E-2</v>
      </c>
      <c r="C200" s="1">
        <f t="shared" si="66"/>
        <v>4.9999999999999933E-2</v>
      </c>
      <c r="D200" s="1">
        <f t="shared" si="66"/>
        <v>5.0000000000000044E-2</v>
      </c>
      <c r="E200" s="1">
        <f t="shared" si="66"/>
        <v>4.9999999999999933E-2</v>
      </c>
      <c r="F200" s="1">
        <f t="shared" si="66"/>
        <v>5.0000000000000044E-2</v>
      </c>
      <c r="G200" s="1">
        <f t="shared" si="66"/>
        <v>5.0000000000000044E-2</v>
      </c>
      <c r="H200" s="1">
        <f t="shared" si="66"/>
        <v>4.9999999999999933E-2</v>
      </c>
      <c r="I200" s="1">
        <f t="shared" si="66"/>
        <v>5.0000000000000044E-2</v>
      </c>
      <c r="J200" s="1">
        <f t="shared" si="66"/>
        <v>4.9999999999999933E-2</v>
      </c>
      <c r="K200" s="1">
        <f t="shared" si="66"/>
        <v>5.0000000000000044E-2</v>
      </c>
      <c r="L200" s="1">
        <f t="shared" si="67"/>
        <v>4.9999999999999989E-2</v>
      </c>
      <c r="M200" s="1">
        <f t="shared" si="67"/>
        <v>4.9999999999999989E-2</v>
      </c>
      <c r="N200" s="1">
        <f t="shared" si="67"/>
        <v>5.0000000000000044E-2</v>
      </c>
      <c r="O200" s="1">
        <f t="shared" si="67"/>
        <v>4.9999999999999989E-2</v>
      </c>
      <c r="P200" s="1">
        <f t="shared" si="67"/>
        <v>4.9999999999999989E-2</v>
      </c>
      <c r="Q200" s="1">
        <f t="shared" si="67"/>
        <v>4.9999999999999989E-2</v>
      </c>
      <c r="R200" s="1">
        <f t="shared" si="67"/>
        <v>5.0000000000000017E-2</v>
      </c>
      <c r="S200" s="1">
        <f t="shared" si="67"/>
        <v>4.9999999999999989E-2</v>
      </c>
      <c r="T200" s="1">
        <f t="shared" si="67"/>
        <v>0.05</v>
      </c>
      <c r="U200" s="1">
        <f t="shared" si="67"/>
        <v>4.9999999999999781E-2</v>
      </c>
      <c r="V200" s="1">
        <f t="shared" si="68"/>
        <v>5.0000000000000225E-2</v>
      </c>
      <c r="W200" s="1">
        <f t="shared" si="68"/>
        <v>4.9999999999999642E-2</v>
      </c>
      <c r="X200" s="1">
        <f t="shared" si="68"/>
        <v>5.000000000000035E-2</v>
      </c>
      <c r="Y200" s="1">
        <f t="shared" si="68"/>
        <v>5.0000000000000017E-2</v>
      </c>
      <c r="Z200" s="1">
        <f t="shared" si="68"/>
        <v>4.9999999999999989E-2</v>
      </c>
      <c r="AA200" s="1">
        <f t="shared" si="68"/>
        <v>4.9999999999999989E-2</v>
      </c>
      <c r="AB200" s="1">
        <f t="shared" si="68"/>
        <v>4.9999999999999989E-2</v>
      </c>
      <c r="AC200" s="1">
        <f t="shared" si="68"/>
        <v>5.0000000000000044E-2</v>
      </c>
      <c r="AD200" s="1">
        <f t="shared" si="68"/>
        <v>4.9999999999999989E-2</v>
      </c>
      <c r="AE200" s="1">
        <f t="shared" si="68"/>
        <v>4.9999999999999989E-2</v>
      </c>
      <c r="AF200" s="1">
        <f t="shared" si="69"/>
        <v>5.0000000000000044E-2</v>
      </c>
      <c r="AG200" s="1">
        <f t="shared" si="69"/>
        <v>4.9999999999999933E-2</v>
      </c>
      <c r="AH200" s="1">
        <f t="shared" si="69"/>
        <v>5.0000000000000044E-2</v>
      </c>
      <c r="AI200" s="1">
        <f t="shared" si="69"/>
        <v>4.9999999999999933E-2</v>
      </c>
      <c r="AJ200" s="1">
        <f t="shared" si="69"/>
        <v>5.0000000000000044E-2</v>
      </c>
      <c r="AK200" s="1">
        <f t="shared" si="69"/>
        <v>5.0000000000000044E-2</v>
      </c>
      <c r="AL200" s="1">
        <f t="shared" si="69"/>
        <v>4.9999999999999933E-2</v>
      </c>
      <c r="AM200" s="1">
        <f t="shared" si="69"/>
        <v>4.9999999999999489E-2</v>
      </c>
      <c r="AN200" s="1">
        <f t="shared" si="69"/>
        <v>5.0000000000000488E-2</v>
      </c>
      <c r="AO200" s="1">
        <f t="shared" si="69"/>
        <v>5.0000000000000044E-2</v>
      </c>
    </row>
    <row r="201" spans="1:41">
      <c r="B201" s="1">
        <f t="shared" si="66"/>
        <v>5.0000000000000044E-2</v>
      </c>
      <c r="C201" s="1">
        <f t="shared" si="66"/>
        <v>4.9999999999999933E-2</v>
      </c>
      <c r="D201" s="1">
        <f t="shared" si="66"/>
        <v>5.0000000000000044E-2</v>
      </c>
      <c r="E201" s="1">
        <f t="shared" si="66"/>
        <v>4.9999999999999933E-2</v>
      </c>
      <c r="F201" s="1">
        <f t="shared" si="66"/>
        <v>5.0000000000000044E-2</v>
      </c>
      <c r="G201" s="1">
        <f t="shared" si="66"/>
        <v>5.0000000000000044E-2</v>
      </c>
      <c r="H201" s="1">
        <f t="shared" si="66"/>
        <v>4.9999999999999933E-2</v>
      </c>
      <c r="I201" s="1">
        <f t="shared" si="66"/>
        <v>5.0000000000000044E-2</v>
      </c>
      <c r="J201" s="1">
        <f t="shared" si="66"/>
        <v>4.9999999999999933E-2</v>
      </c>
      <c r="K201" s="1">
        <f t="shared" si="66"/>
        <v>5.0000000000000044E-2</v>
      </c>
      <c r="L201" s="1">
        <f t="shared" si="67"/>
        <v>4.9999999999999989E-2</v>
      </c>
      <c r="M201" s="1">
        <f t="shared" si="67"/>
        <v>4.9999999999999989E-2</v>
      </c>
      <c r="N201" s="1">
        <f t="shared" si="67"/>
        <v>5.0000000000000044E-2</v>
      </c>
      <c r="O201" s="1">
        <f t="shared" si="67"/>
        <v>4.9999999999999989E-2</v>
      </c>
      <c r="P201" s="1">
        <f t="shared" si="67"/>
        <v>4.9999999999999989E-2</v>
      </c>
      <c r="Q201" s="1">
        <f t="shared" si="67"/>
        <v>4.9999999999999989E-2</v>
      </c>
      <c r="R201" s="1">
        <f t="shared" si="67"/>
        <v>5.0000000000000017E-2</v>
      </c>
      <c r="S201" s="1">
        <f t="shared" si="67"/>
        <v>4.9999999999999989E-2</v>
      </c>
      <c r="T201" s="1">
        <f t="shared" si="67"/>
        <v>0.05</v>
      </c>
      <c r="U201" s="1">
        <f t="shared" si="67"/>
        <v>4.9999999999999781E-2</v>
      </c>
      <c r="V201" s="1">
        <f t="shared" si="68"/>
        <v>5.0000000000000225E-2</v>
      </c>
      <c r="W201" s="1">
        <f t="shared" si="68"/>
        <v>4.9999999999999642E-2</v>
      </c>
      <c r="X201" s="1">
        <f t="shared" si="68"/>
        <v>5.000000000000035E-2</v>
      </c>
      <c r="Y201" s="1">
        <f t="shared" si="68"/>
        <v>5.0000000000000017E-2</v>
      </c>
      <c r="Z201" s="1">
        <f t="shared" si="68"/>
        <v>4.9999999999999989E-2</v>
      </c>
      <c r="AA201" s="1">
        <f t="shared" si="68"/>
        <v>4.9999999999999989E-2</v>
      </c>
      <c r="AB201" s="1">
        <f t="shared" si="68"/>
        <v>4.9999999999999989E-2</v>
      </c>
      <c r="AC201" s="1">
        <f t="shared" si="68"/>
        <v>5.0000000000000044E-2</v>
      </c>
      <c r="AD201" s="1">
        <f t="shared" si="68"/>
        <v>4.9999999999999989E-2</v>
      </c>
      <c r="AE201" s="1">
        <f t="shared" si="68"/>
        <v>4.9999999999999989E-2</v>
      </c>
      <c r="AF201" s="1">
        <f t="shared" si="69"/>
        <v>5.0000000000000044E-2</v>
      </c>
      <c r="AG201" s="1">
        <f t="shared" si="69"/>
        <v>4.9999999999999933E-2</v>
      </c>
      <c r="AH201" s="1">
        <f t="shared" si="69"/>
        <v>5.0000000000000044E-2</v>
      </c>
      <c r="AI201" s="1">
        <f t="shared" si="69"/>
        <v>4.9999999999999933E-2</v>
      </c>
      <c r="AJ201" s="1">
        <f t="shared" si="69"/>
        <v>5.0000000000000044E-2</v>
      </c>
      <c r="AK201" s="1">
        <f t="shared" si="69"/>
        <v>5.0000000000000044E-2</v>
      </c>
      <c r="AL201" s="1">
        <f t="shared" si="69"/>
        <v>4.9999999999999933E-2</v>
      </c>
      <c r="AM201" s="1">
        <f t="shared" si="69"/>
        <v>4.9999999999999489E-2</v>
      </c>
      <c r="AN201" s="1">
        <f t="shared" si="69"/>
        <v>5.0000000000000488E-2</v>
      </c>
      <c r="AO201" s="1">
        <f t="shared" si="69"/>
        <v>5.0000000000000044E-2</v>
      </c>
    </row>
    <row r="202" spans="1:41">
      <c r="B202" s="1">
        <f t="shared" si="66"/>
        <v>5.0000000000000044E-2</v>
      </c>
      <c r="C202" s="1">
        <f t="shared" si="66"/>
        <v>4.9999999999999933E-2</v>
      </c>
      <c r="D202" s="1">
        <f t="shared" si="66"/>
        <v>5.0000000000000044E-2</v>
      </c>
      <c r="E202" s="1">
        <f t="shared" si="66"/>
        <v>4.9999999999999933E-2</v>
      </c>
      <c r="F202" s="1">
        <f t="shared" si="66"/>
        <v>5.0000000000000044E-2</v>
      </c>
      <c r="G202" s="1">
        <f t="shared" si="66"/>
        <v>5.0000000000000044E-2</v>
      </c>
      <c r="H202" s="1">
        <f t="shared" si="66"/>
        <v>4.9999999999999933E-2</v>
      </c>
      <c r="I202" s="1">
        <f t="shared" si="66"/>
        <v>5.0000000000000044E-2</v>
      </c>
      <c r="J202" s="1">
        <f t="shared" si="66"/>
        <v>4.9999999999999933E-2</v>
      </c>
      <c r="K202" s="1">
        <f t="shared" si="66"/>
        <v>5.0000000000000044E-2</v>
      </c>
      <c r="L202" s="1">
        <f t="shared" si="67"/>
        <v>4.9999999999999989E-2</v>
      </c>
      <c r="M202" s="1">
        <f t="shared" si="67"/>
        <v>4.9999999999999989E-2</v>
      </c>
      <c r="N202" s="1">
        <f t="shared" si="67"/>
        <v>5.0000000000000044E-2</v>
      </c>
      <c r="O202" s="1">
        <f t="shared" si="67"/>
        <v>4.9999999999999989E-2</v>
      </c>
      <c r="P202" s="1">
        <f t="shared" si="67"/>
        <v>4.9999999999999989E-2</v>
      </c>
      <c r="Q202" s="1">
        <f t="shared" si="67"/>
        <v>4.9999999999999989E-2</v>
      </c>
      <c r="R202" s="1">
        <f t="shared" si="67"/>
        <v>5.0000000000000017E-2</v>
      </c>
      <c r="S202" s="1">
        <f t="shared" si="67"/>
        <v>4.9999999999999989E-2</v>
      </c>
      <c r="T202" s="1">
        <f t="shared" si="67"/>
        <v>0.05</v>
      </c>
      <c r="U202" s="1">
        <f t="shared" si="67"/>
        <v>4.9999999999999781E-2</v>
      </c>
      <c r="V202" s="1">
        <f t="shared" si="68"/>
        <v>5.0000000000000225E-2</v>
      </c>
      <c r="W202" s="1">
        <f t="shared" si="68"/>
        <v>4.9999999999999642E-2</v>
      </c>
      <c r="X202" s="1">
        <f t="shared" si="68"/>
        <v>5.000000000000035E-2</v>
      </c>
      <c r="Y202" s="1">
        <f t="shared" si="68"/>
        <v>5.0000000000000017E-2</v>
      </c>
      <c r="Z202" s="1">
        <f t="shared" si="68"/>
        <v>4.9999999999999989E-2</v>
      </c>
      <c r="AA202" s="1">
        <f t="shared" si="68"/>
        <v>4.9999999999999989E-2</v>
      </c>
      <c r="AB202" s="1">
        <f t="shared" si="68"/>
        <v>4.9999999999999989E-2</v>
      </c>
      <c r="AC202" s="1">
        <f t="shared" si="68"/>
        <v>5.0000000000000044E-2</v>
      </c>
      <c r="AD202" s="1">
        <f t="shared" si="68"/>
        <v>4.9999999999999989E-2</v>
      </c>
      <c r="AE202" s="1">
        <f t="shared" si="68"/>
        <v>4.9999999999999989E-2</v>
      </c>
      <c r="AF202" s="1">
        <f t="shared" si="69"/>
        <v>5.0000000000000044E-2</v>
      </c>
      <c r="AG202" s="1">
        <f t="shared" si="69"/>
        <v>4.9999999999999933E-2</v>
      </c>
      <c r="AH202" s="1">
        <f t="shared" si="69"/>
        <v>5.0000000000000044E-2</v>
      </c>
      <c r="AI202" s="1">
        <f t="shared" si="69"/>
        <v>4.9999999999999933E-2</v>
      </c>
      <c r="AJ202" s="1">
        <f t="shared" si="69"/>
        <v>5.0000000000000044E-2</v>
      </c>
      <c r="AK202" s="1">
        <f t="shared" si="69"/>
        <v>5.0000000000000044E-2</v>
      </c>
      <c r="AL202" s="1">
        <f t="shared" si="69"/>
        <v>4.9999999999999933E-2</v>
      </c>
      <c r="AM202" s="1">
        <f t="shared" si="69"/>
        <v>4.9999999999999489E-2</v>
      </c>
      <c r="AN202" s="1">
        <f t="shared" si="69"/>
        <v>5.0000000000000488E-2</v>
      </c>
      <c r="AO202" s="1">
        <f t="shared" si="69"/>
        <v>5.0000000000000044E-2</v>
      </c>
    </row>
    <row r="203" spans="1:41">
      <c r="B203" s="1">
        <f t="shared" si="66"/>
        <v>5.0000000000000044E-2</v>
      </c>
      <c r="C203" s="1">
        <f t="shared" si="66"/>
        <v>4.9999999999999933E-2</v>
      </c>
      <c r="D203" s="1">
        <f t="shared" si="66"/>
        <v>5.0000000000000044E-2</v>
      </c>
      <c r="E203" s="1">
        <f t="shared" si="66"/>
        <v>4.9999999999999933E-2</v>
      </c>
      <c r="F203" s="1">
        <f t="shared" si="66"/>
        <v>5.0000000000000044E-2</v>
      </c>
      <c r="G203" s="1">
        <f t="shared" si="66"/>
        <v>5.0000000000000044E-2</v>
      </c>
      <c r="H203" s="1">
        <f t="shared" si="66"/>
        <v>4.9999999999999933E-2</v>
      </c>
      <c r="I203" s="1">
        <f t="shared" si="66"/>
        <v>5.0000000000000044E-2</v>
      </c>
      <c r="J203" s="1">
        <f t="shared" si="66"/>
        <v>4.9999999999999933E-2</v>
      </c>
      <c r="K203" s="1">
        <f t="shared" si="66"/>
        <v>5.0000000000000044E-2</v>
      </c>
      <c r="L203" s="1">
        <f t="shared" si="67"/>
        <v>4.9999999999999989E-2</v>
      </c>
      <c r="M203" s="1">
        <f t="shared" si="67"/>
        <v>4.9999999999999989E-2</v>
      </c>
      <c r="N203" s="1">
        <f t="shared" si="67"/>
        <v>5.0000000000000044E-2</v>
      </c>
      <c r="O203" s="1">
        <f t="shared" si="67"/>
        <v>4.9999999999999989E-2</v>
      </c>
      <c r="P203" s="1">
        <f t="shared" si="67"/>
        <v>4.9999999999999989E-2</v>
      </c>
      <c r="Q203" s="1">
        <f t="shared" si="67"/>
        <v>4.9999999999999989E-2</v>
      </c>
      <c r="R203" s="1">
        <f t="shared" si="67"/>
        <v>5.0000000000000017E-2</v>
      </c>
      <c r="S203" s="1">
        <f t="shared" si="67"/>
        <v>4.9999999999999989E-2</v>
      </c>
      <c r="T203" s="1">
        <f t="shared" si="67"/>
        <v>0.05</v>
      </c>
      <c r="U203" s="1">
        <f t="shared" si="67"/>
        <v>4.9999999999999781E-2</v>
      </c>
      <c r="V203" s="1">
        <f t="shared" si="68"/>
        <v>5.0000000000000225E-2</v>
      </c>
      <c r="W203" s="1">
        <f t="shared" si="68"/>
        <v>4.9999999999999642E-2</v>
      </c>
      <c r="X203" s="1">
        <f t="shared" si="68"/>
        <v>5.000000000000035E-2</v>
      </c>
      <c r="Y203" s="1">
        <f t="shared" si="68"/>
        <v>5.0000000000000017E-2</v>
      </c>
      <c r="Z203" s="1">
        <f t="shared" si="68"/>
        <v>4.9999999999999989E-2</v>
      </c>
      <c r="AA203" s="1">
        <f t="shared" si="68"/>
        <v>4.9999999999999989E-2</v>
      </c>
      <c r="AB203" s="1">
        <f t="shared" si="68"/>
        <v>4.9999999999999989E-2</v>
      </c>
      <c r="AC203" s="1">
        <f t="shared" si="68"/>
        <v>5.0000000000000044E-2</v>
      </c>
      <c r="AD203" s="1">
        <f t="shared" si="68"/>
        <v>4.9999999999999989E-2</v>
      </c>
      <c r="AE203" s="1">
        <f t="shared" si="68"/>
        <v>4.9999999999999989E-2</v>
      </c>
      <c r="AF203" s="1">
        <f t="shared" si="69"/>
        <v>5.0000000000000044E-2</v>
      </c>
      <c r="AG203" s="1">
        <f t="shared" si="69"/>
        <v>4.9999999999999933E-2</v>
      </c>
      <c r="AH203" s="1">
        <f t="shared" si="69"/>
        <v>5.0000000000000044E-2</v>
      </c>
      <c r="AI203" s="1">
        <f t="shared" si="69"/>
        <v>4.9999999999999933E-2</v>
      </c>
      <c r="AJ203" s="1">
        <f t="shared" si="69"/>
        <v>5.0000000000000044E-2</v>
      </c>
      <c r="AK203" s="1">
        <f t="shared" si="69"/>
        <v>5.0000000000000044E-2</v>
      </c>
      <c r="AL203" s="1">
        <f t="shared" si="69"/>
        <v>4.9999999999999933E-2</v>
      </c>
      <c r="AM203" s="1">
        <f t="shared" si="69"/>
        <v>4.9999999999999489E-2</v>
      </c>
      <c r="AN203" s="1">
        <f t="shared" si="69"/>
        <v>5.0000000000000488E-2</v>
      </c>
      <c r="AO203" s="1">
        <f t="shared" si="69"/>
        <v>5.0000000000000044E-2</v>
      </c>
    </row>
    <row r="204" spans="1:41">
      <c r="B204" s="1">
        <f t="shared" si="66"/>
        <v>5.0000000000000044E-2</v>
      </c>
      <c r="C204" s="1">
        <f t="shared" si="66"/>
        <v>4.9999999999999933E-2</v>
      </c>
      <c r="D204" s="1">
        <f t="shared" si="66"/>
        <v>5.0000000000000044E-2</v>
      </c>
      <c r="E204" s="1">
        <f t="shared" si="66"/>
        <v>4.9999999999999933E-2</v>
      </c>
      <c r="F204" s="1">
        <f t="shared" si="66"/>
        <v>5.0000000000000044E-2</v>
      </c>
      <c r="G204" s="1">
        <f t="shared" si="66"/>
        <v>5.0000000000000044E-2</v>
      </c>
      <c r="H204" s="1">
        <f t="shared" si="66"/>
        <v>4.9999999999999933E-2</v>
      </c>
      <c r="I204" s="1">
        <f t="shared" si="66"/>
        <v>5.0000000000000044E-2</v>
      </c>
      <c r="J204" s="1">
        <f t="shared" si="66"/>
        <v>4.9999999999999933E-2</v>
      </c>
      <c r="K204" s="1">
        <f t="shared" si="66"/>
        <v>5.0000000000000044E-2</v>
      </c>
      <c r="L204" s="1">
        <f t="shared" si="67"/>
        <v>4.9999999999999989E-2</v>
      </c>
      <c r="M204" s="1">
        <f t="shared" si="67"/>
        <v>4.9999999999999989E-2</v>
      </c>
      <c r="N204" s="1">
        <f t="shared" si="67"/>
        <v>5.0000000000000044E-2</v>
      </c>
      <c r="O204" s="1">
        <f t="shared" si="67"/>
        <v>4.9999999999999989E-2</v>
      </c>
      <c r="P204" s="1">
        <f t="shared" si="67"/>
        <v>4.9999999999999989E-2</v>
      </c>
      <c r="Q204" s="1">
        <f t="shared" si="67"/>
        <v>4.9999999999999989E-2</v>
      </c>
      <c r="R204" s="1">
        <f t="shared" si="67"/>
        <v>5.0000000000000017E-2</v>
      </c>
      <c r="S204" s="1">
        <f t="shared" si="67"/>
        <v>4.9999999999999989E-2</v>
      </c>
      <c r="T204" s="1">
        <f t="shared" si="67"/>
        <v>0.05</v>
      </c>
      <c r="U204" s="1">
        <f t="shared" si="67"/>
        <v>4.9999999999999781E-2</v>
      </c>
      <c r="V204" s="1">
        <f t="shared" si="68"/>
        <v>5.0000000000000225E-2</v>
      </c>
      <c r="W204" s="1">
        <f t="shared" si="68"/>
        <v>4.9999999999999642E-2</v>
      </c>
      <c r="X204" s="1">
        <f t="shared" si="68"/>
        <v>5.000000000000035E-2</v>
      </c>
      <c r="Y204" s="1">
        <f t="shared" si="68"/>
        <v>5.0000000000000017E-2</v>
      </c>
      <c r="Z204" s="1">
        <f t="shared" si="68"/>
        <v>4.9999999999999989E-2</v>
      </c>
      <c r="AA204" s="1">
        <f t="shared" si="68"/>
        <v>4.9999999999999989E-2</v>
      </c>
      <c r="AB204" s="1">
        <f t="shared" si="68"/>
        <v>4.9999999999999989E-2</v>
      </c>
      <c r="AC204" s="1">
        <f t="shared" si="68"/>
        <v>5.0000000000000044E-2</v>
      </c>
      <c r="AD204" s="1">
        <f t="shared" si="68"/>
        <v>4.9999999999999989E-2</v>
      </c>
      <c r="AE204" s="1">
        <f t="shared" si="68"/>
        <v>4.9999999999999989E-2</v>
      </c>
      <c r="AF204" s="1">
        <f t="shared" si="69"/>
        <v>5.0000000000000044E-2</v>
      </c>
      <c r="AG204" s="1">
        <f t="shared" si="69"/>
        <v>4.9999999999999933E-2</v>
      </c>
      <c r="AH204" s="1">
        <f t="shared" si="69"/>
        <v>5.0000000000000044E-2</v>
      </c>
      <c r="AI204" s="1">
        <f t="shared" si="69"/>
        <v>4.9999999999999933E-2</v>
      </c>
      <c r="AJ204" s="1">
        <f t="shared" si="69"/>
        <v>5.0000000000000044E-2</v>
      </c>
      <c r="AK204" s="1">
        <f t="shared" si="69"/>
        <v>5.0000000000000044E-2</v>
      </c>
      <c r="AL204" s="1">
        <f t="shared" si="69"/>
        <v>4.9999999999999933E-2</v>
      </c>
      <c r="AM204" s="1">
        <f t="shared" si="69"/>
        <v>4.9999999999999489E-2</v>
      </c>
      <c r="AN204" s="1">
        <f t="shared" si="69"/>
        <v>5.0000000000000488E-2</v>
      </c>
      <c r="AO204" s="1">
        <f t="shared" si="69"/>
        <v>5.0000000000000044E-2</v>
      </c>
    </row>
    <row r="205" spans="1:41">
      <c r="B205" s="1">
        <f t="shared" ref="B205:K214" si="70">B$109-B$107</f>
        <v>5.0000000000000044E-2</v>
      </c>
      <c r="C205" s="1">
        <f t="shared" si="70"/>
        <v>4.9999999999999933E-2</v>
      </c>
      <c r="D205" s="1">
        <f t="shared" si="70"/>
        <v>5.0000000000000044E-2</v>
      </c>
      <c r="E205" s="1">
        <f t="shared" si="70"/>
        <v>4.9999999999999933E-2</v>
      </c>
      <c r="F205" s="1">
        <f t="shared" si="70"/>
        <v>5.0000000000000044E-2</v>
      </c>
      <c r="G205" s="1">
        <f t="shared" si="70"/>
        <v>5.0000000000000044E-2</v>
      </c>
      <c r="H205" s="1">
        <f t="shared" si="70"/>
        <v>4.9999999999999933E-2</v>
      </c>
      <c r="I205" s="1">
        <f t="shared" si="70"/>
        <v>5.0000000000000044E-2</v>
      </c>
      <c r="J205" s="1">
        <f t="shared" si="70"/>
        <v>4.9999999999999933E-2</v>
      </c>
      <c r="K205" s="1">
        <f t="shared" si="70"/>
        <v>5.0000000000000044E-2</v>
      </c>
      <c r="L205" s="1">
        <f t="shared" ref="L205:U214" si="71">L$109-L$107</f>
        <v>4.9999999999999989E-2</v>
      </c>
      <c r="M205" s="1">
        <f t="shared" si="71"/>
        <v>4.9999999999999989E-2</v>
      </c>
      <c r="N205" s="1">
        <f t="shared" si="71"/>
        <v>5.0000000000000044E-2</v>
      </c>
      <c r="O205" s="1">
        <f t="shared" si="71"/>
        <v>4.9999999999999989E-2</v>
      </c>
      <c r="P205" s="1">
        <f t="shared" si="71"/>
        <v>4.9999999999999989E-2</v>
      </c>
      <c r="Q205" s="1">
        <f t="shared" si="71"/>
        <v>4.9999999999999989E-2</v>
      </c>
      <c r="R205" s="1">
        <f t="shared" si="71"/>
        <v>5.0000000000000017E-2</v>
      </c>
      <c r="S205" s="1">
        <f t="shared" si="71"/>
        <v>4.9999999999999989E-2</v>
      </c>
      <c r="T205" s="1">
        <f t="shared" si="71"/>
        <v>0.05</v>
      </c>
      <c r="U205" s="1">
        <f t="shared" si="71"/>
        <v>4.9999999999999781E-2</v>
      </c>
      <c r="V205" s="1">
        <f t="shared" ref="V205:AE214" si="72">V$109-V$107</f>
        <v>5.0000000000000225E-2</v>
      </c>
      <c r="W205" s="1">
        <f t="shared" si="72"/>
        <v>4.9999999999999642E-2</v>
      </c>
      <c r="X205" s="1">
        <f t="shared" si="72"/>
        <v>5.000000000000035E-2</v>
      </c>
      <c r="Y205" s="1">
        <f t="shared" si="72"/>
        <v>5.0000000000000017E-2</v>
      </c>
      <c r="Z205" s="1">
        <f t="shared" si="72"/>
        <v>4.9999999999999989E-2</v>
      </c>
      <c r="AA205" s="1">
        <f t="shared" si="72"/>
        <v>4.9999999999999989E-2</v>
      </c>
      <c r="AB205" s="1">
        <f t="shared" si="72"/>
        <v>4.9999999999999989E-2</v>
      </c>
      <c r="AC205" s="1">
        <f t="shared" si="72"/>
        <v>5.0000000000000044E-2</v>
      </c>
      <c r="AD205" s="1">
        <f t="shared" si="72"/>
        <v>4.9999999999999989E-2</v>
      </c>
      <c r="AE205" s="1">
        <f t="shared" si="72"/>
        <v>4.9999999999999989E-2</v>
      </c>
      <c r="AF205" s="1">
        <f t="shared" ref="AF205:AO214" si="73">AF$109-AF$107</f>
        <v>5.0000000000000044E-2</v>
      </c>
      <c r="AG205" s="1">
        <f t="shared" si="73"/>
        <v>4.9999999999999933E-2</v>
      </c>
      <c r="AH205" s="1">
        <f t="shared" si="73"/>
        <v>5.0000000000000044E-2</v>
      </c>
      <c r="AI205" s="1">
        <f t="shared" si="73"/>
        <v>4.9999999999999933E-2</v>
      </c>
      <c r="AJ205" s="1">
        <f t="shared" si="73"/>
        <v>5.0000000000000044E-2</v>
      </c>
      <c r="AK205" s="1">
        <f t="shared" si="73"/>
        <v>5.0000000000000044E-2</v>
      </c>
      <c r="AL205" s="1">
        <f t="shared" si="73"/>
        <v>4.9999999999999933E-2</v>
      </c>
      <c r="AM205" s="1">
        <f t="shared" si="73"/>
        <v>4.9999999999999489E-2</v>
      </c>
      <c r="AN205" s="1">
        <f t="shared" si="73"/>
        <v>5.0000000000000488E-2</v>
      </c>
      <c r="AO205" s="1">
        <f t="shared" si="73"/>
        <v>5.0000000000000044E-2</v>
      </c>
    </row>
    <row r="206" spans="1:41">
      <c r="B206" s="1">
        <f t="shared" si="70"/>
        <v>5.0000000000000044E-2</v>
      </c>
      <c r="C206" s="1">
        <f t="shared" si="70"/>
        <v>4.9999999999999933E-2</v>
      </c>
      <c r="D206" s="1">
        <f t="shared" si="70"/>
        <v>5.0000000000000044E-2</v>
      </c>
      <c r="E206" s="1">
        <f t="shared" si="70"/>
        <v>4.9999999999999933E-2</v>
      </c>
      <c r="F206" s="1">
        <f t="shared" si="70"/>
        <v>5.0000000000000044E-2</v>
      </c>
      <c r="G206" s="1">
        <f t="shared" si="70"/>
        <v>5.0000000000000044E-2</v>
      </c>
      <c r="H206" s="1">
        <f t="shared" si="70"/>
        <v>4.9999999999999933E-2</v>
      </c>
      <c r="I206" s="1">
        <f t="shared" si="70"/>
        <v>5.0000000000000044E-2</v>
      </c>
      <c r="J206" s="1">
        <f t="shared" si="70"/>
        <v>4.9999999999999933E-2</v>
      </c>
      <c r="K206" s="1">
        <f t="shared" si="70"/>
        <v>5.0000000000000044E-2</v>
      </c>
      <c r="L206" s="1">
        <f t="shared" si="71"/>
        <v>4.9999999999999989E-2</v>
      </c>
      <c r="M206" s="1">
        <f t="shared" si="71"/>
        <v>4.9999999999999989E-2</v>
      </c>
      <c r="N206" s="1">
        <f t="shared" si="71"/>
        <v>5.0000000000000044E-2</v>
      </c>
      <c r="O206" s="1">
        <f t="shared" si="71"/>
        <v>4.9999999999999989E-2</v>
      </c>
      <c r="P206" s="1">
        <f t="shared" si="71"/>
        <v>4.9999999999999989E-2</v>
      </c>
      <c r="Q206" s="1">
        <f t="shared" si="71"/>
        <v>4.9999999999999989E-2</v>
      </c>
      <c r="R206" s="1">
        <f t="shared" si="71"/>
        <v>5.0000000000000017E-2</v>
      </c>
      <c r="S206" s="1">
        <f t="shared" si="71"/>
        <v>4.9999999999999989E-2</v>
      </c>
      <c r="T206" s="1">
        <f t="shared" si="71"/>
        <v>0.05</v>
      </c>
      <c r="U206" s="1">
        <f t="shared" si="71"/>
        <v>4.9999999999999781E-2</v>
      </c>
      <c r="V206" s="1">
        <f t="shared" si="72"/>
        <v>5.0000000000000225E-2</v>
      </c>
      <c r="W206" s="1">
        <f t="shared" si="72"/>
        <v>4.9999999999999642E-2</v>
      </c>
      <c r="X206" s="1">
        <f t="shared" si="72"/>
        <v>5.000000000000035E-2</v>
      </c>
      <c r="Y206" s="1">
        <f t="shared" si="72"/>
        <v>5.0000000000000017E-2</v>
      </c>
      <c r="Z206" s="1">
        <f t="shared" si="72"/>
        <v>4.9999999999999989E-2</v>
      </c>
      <c r="AA206" s="1">
        <f t="shared" si="72"/>
        <v>4.9999999999999989E-2</v>
      </c>
      <c r="AB206" s="1">
        <f t="shared" si="72"/>
        <v>4.9999999999999989E-2</v>
      </c>
      <c r="AC206" s="1">
        <f t="shared" si="72"/>
        <v>5.0000000000000044E-2</v>
      </c>
      <c r="AD206" s="1">
        <f t="shared" si="72"/>
        <v>4.9999999999999989E-2</v>
      </c>
      <c r="AE206" s="1">
        <f t="shared" si="72"/>
        <v>4.9999999999999989E-2</v>
      </c>
      <c r="AF206" s="1">
        <f t="shared" si="73"/>
        <v>5.0000000000000044E-2</v>
      </c>
      <c r="AG206" s="1">
        <f t="shared" si="73"/>
        <v>4.9999999999999933E-2</v>
      </c>
      <c r="AH206" s="1">
        <f t="shared" si="73"/>
        <v>5.0000000000000044E-2</v>
      </c>
      <c r="AI206" s="1">
        <f t="shared" si="73"/>
        <v>4.9999999999999933E-2</v>
      </c>
      <c r="AJ206" s="1">
        <f t="shared" si="73"/>
        <v>5.0000000000000044E-2</v>
      </c>
      <c r="AK206" s="1">
        <f t="shared" si="73"/>
        <v>5.0000000000000044E-2</v>
      </c>
      <c r="AL206" s="1">
        <f t="shared" si="73"/>
        <v>4.9999999999999933E-2</v>
      </c>
      <c r="AM206" s="1">
        <f t="shared" si="73"/>
        <v>4.9999999999999489E-2</v>
      </c>
      <c r="AN206" s="1">
        <f t="shared" si="73"/>
        <v>5.0000000000000488E-2</v>
      </c>
      <c r="AO206" s="1">
        <f t="shared" si="73"/>
        <v>5.0000000000000044E-2</v>
      </c>
    </row>
    <row r="207" spans="1:41">
      <c r="B207" s="1">
        <f t="shared" si="70"/>
        <v>5.0000000000000044E-2</v>
      </c>
      <c r="C207" s="1">
        <f t="shared" si="70"/>
        <v>4.9999999999999933E-2</v>
      </c>
      <c r="D207" s="1">
        <f t="shared" si="70"/>
        <v>5.0000000000000044E-2</v>
      </c>
      <c r="E207" s="1">
        <f t="shared" si="70"/>
        <v>4.9999999999999933E-2</v>
      </c>
      <c r="F207" s="1">
        <f t="shared" si="70"/>
        <v>5.0000000000000044E-2</v>
      </c>
      <c r="G207" s="1">
        <f t="shared" si="70"/>
        <v>5.0000000000000044E-2</v>
      </c>
      <c r="H207" s="1">
        <f t="shared" si="70"/>
        <v>4.9999999999999933E-2</v>
      </c>
      <c r="I207" s="1">
        <f t="shared" si="70"/>
        <v>5.0000000000000044E-2</v>
      </c>
      <c r="J207" s="1">
        <f t="shared" si="70"/>
        <v>4.9999999999999933E-2</v>
      </c>
      <c r="K207" s="1">
        <f t="shared" si="70"/>
        <v>5.0000000000000044E-2</v>
      </c>
      <c r="L207" s="1">
        <f t="shared" si="71"/>
        <v>4.9999999999999989E-2</v>
      </c>
      <c r="M207" s="1">
        <f t="shared" si="71"/>
        <v>4.9999999999999989E-2</v>
      </c>
      <c r="N207" s="1">
        <f t="shared" si="71"/>
        <v>5.0000000000000044E-2</v>
      </c>
      <c r="O207" s="1">
        <f t="shared" si="71"/>
        <v>4.9999999999999989E-2</v>
      </c>
      <c r="P207" s="1">
        <f t="shared" si="71"/>
        <v>4.9999999999999989E-2</v>
      </c>
      <c r="Q207" s="1">
        <f t="shared" si="71"/>
        <v>4.9999999999999989E-2</v>
      </c>
      <c r="R207" s="1">
        <f t="shared" si="71"/>
        <v>5.0000000000000017E-2</v>
      </c>
      <c r="S207" s="1">
        <f t="shared" si="71"/>
        <v>4.9999999999999989E-2</v>
      </c>
      <c r="T207" s="1">
        <f t="shared" si="71"/>
        <v>0.05</v>
      </c>
      <c r="U207" s="1">
        <f t="shared" si="71"/>
        <v>4.9999999999999781E-2</v>
      </c>
      <c r="V207" s="1">
        <f t="shared" si="72"/>
        <v>5.0000000000000225E-2</v>
      </c>
      <c r="W207" s="1">
        <f t="shared" si="72"/>
        <v>4.9999999999999642E-2</v>
      </c>
      <c r="X207" s="1">
        <f t="shared" si="72"/>
        <v>5.000000000000035E-2</v>
      </c>
      <c r="Y207" s="1">
        <f t="shared" si="72"/>
        <v>5.0000000000000017E-2</v>
      </c>
      <c r="Z207" s="1">
        <f t="shared" si="72"/>
        <v>4.9999999999999989E-2</v>
      </c>
      <c r="AA207" s="1">
        <f t="shared" si="72"/>
        <v>4.9999999999999989E-2</v>
      </c>
      <c r="AB207" s="1">
        <f t="shared" si="72"/>
        <v>4.9999999999999989E-2</v>
      </c>
      <c r="AC207" s="1">
        <f t="shared" si="72"/>
        <v>5.0000000000000044E-2</v>
      </c>
      <c r="AD207" s="1">
        <f t="shared" si="72"/>
        <v>4.9999999999999989E-2</v>
      </c>
      <c r="AE207" s="1">
        <f t="shared" si="72"/>
        <v>4.9999999999999989E-2</v>
      </c>
      <c r="AF207" s="1">
        <f t="shared" si="73"/>
        <v>5.0000000000000044E-2</v>
      </c>
      <c r="AG207" s="1">
        <f t="shared" si="73"/>
        <v>4.9999999999999933E-2</v>
      </c>
      <c r="AH207" s="1">
        <f t="shared" si="73"/>
        <v>5.0000000000000044E-2</v>
      </c>
      <c r="AI207" s="1">
        <f t="shared" si="73"/>
        <v>4.9999999999999933E-2</v>
      </c>
      <c r="AJ207" s="1">
        <f t="shared" si="73"/>
        <v>5.0000000000000044E-2</v>
      </c>
      <c r="AK207" s="1">
        <f t="shared" si="73"/>
        <v>5.0000000000000044E-2</v>
      </c>
      <c r="AL207" s="1">
        <f t="shared" si="73"/>
        <v>4.9999999999999933E-2</v>
      </c>
      <c r="AM207" s="1">
        <f t="shared" si="73"/>
        <v>4.9999999999999489E-2</v>
      </c>
      <c r="AN207" s="1">
        <f t="shared" si="73"/>
        <v>5.0000000000000488E-2</v>
      </c>
      <c r="AO207" s="1">
        <f t="shared" si="73"/>
        <v>5.0000000000000044E-2</v>
      </c>
    </row>
    <row r="208" spans="1:41">
      <c r="B208" s="1">
        <f t="shared" si="70"/>
        <v>5.0000000000000044E-2</v>
      </c>
      <c r="C208" s="1">
        <f t="shared" si="70"/>
        <v>4.9999999999999933E-2</v>
      </c>
      <c r="D208" s="1">
        <f t="shared" si="70"/>
        <v>5.0000000000000044E-2</v>
      </c>
      <c r="E208" s="1">
        <f t="shared" si="70"/>
        <v>4.9999999999999933E-2</v>
      </c>
      <c r="F208" s="1">
        <f t="shared" si="70"/>
        <v>5.0000000000000044E-2</v>
      </c>
      <c r="G208" s="1">
        <f t="shared" si="70"/>
        <v>5.0000000000000044E-2</v>
      </c>
      <c r="H208" s="1">
        <f t="shared" si="70"/>
        <v>4.9999999999999933E-2</v>
      </c>
      <c r="I208" s="1">
        <f t="shared" si="70"/>
        <v>5.0000000000000044E-2</v>
      </c>
      <c r="J208" s="1">
        <f t="shared" si="70"/>
        <v>4.9999999999999933E-2</v>
      </c>
      <c r="K208" s="1">
        <f t="shared" si="70"/>
        <v>5.0000000000000044E-2</v>
      </c>
      <c r="L208" s="1">
        <f t="shared" si="71"/>
        <v>4.9999999999999989E-2</v>
      </c>
      <c r="M208" s="1">
        <f t="shared" si="71"/>
        <v>4.9999999999999989E-2</v>
      </c>
      <c r="N208" s="1">
        <f t="shared" si="71"/>
        <v>5.0000000000000044E-2</v>
      </c>
      <c r="O208" s="1">
        <f t="shared" si="71"/>
        <v>4.9999999999999989E-2</v>
      </c>
      <c r="P208" s="1">
        <f t="shared" si="71"/>
        <v>4.9999999999999989E-2</v>
      </c>
      <c r="Q208" s="1">
        <f t="shared" si="71"/>
        <v>4.9999999999999989E-2</v>
      </c>
      <c r="R208" s="1">
        <f t="shared" si="71"/>
        <v>5.0000000000000017E-2</v>
      </c>
      <c r="S208" s="1">
        <f t="shared" si="71"/>
        <v>4.9999999999999989E-2</v>
      </c>
      <c r="T208" s="1">
        <f t="shared" si="71"/>
        <v>0.05</v>
      </c>
      <c r="U208" s="1">
        <f t="shared" si="71"/>
        <v>4.9999999999999781E-2</v>
      </c>
      <c r="V208" s="1">
        <f t="shared" si="72"/>
        <v>5.0000000000000225E-2</v>
      </c>
      <c r="W208" s="1">
        <f t="shared" si="72"/>
        <v>4.9999999999999642E-2</v>
      </c>
      <c r="X208" s="1">
        <f t="shared" si="72"/>
        <v>5.000000000000035E-2</v>
      </c>
      <c r="Y208" s="1">
        <f t="shared" si="72"/>
        <v>5.0000000000000017E-2</v>
      </c>
      <c r="Z208" s="1">
        <f t="shared" si="72"/>
        <v>4.9999999999999989E-2</v>
      </c>
      <c r="AA208" s="1">
        <f t="shared" si="72"/>
        <v>4.9999999999999989E-2</v>
      </c>
      <c r="AB208" s="1">
        <f t="shared" si="72"/>
        <v>4.9999999999999989E-2</v>
      </c>
      <c r="AC208" s="1">
        <f t="shared" si="72"/>
        <v>5.0000000000000044E-2</v>
      </c>
      <c r="AD208" s="1">
        <f t="shared" si="72"/>
        <v>4.9999999999999989E-2</v>
      </c>
      <c r="AE208" s="1">
        <f t="shared" si="72"/>
        <v>4.9999999999999989E-2</v>
      </c>
      <c r="AF208" s="1">
        <f t="shared" si="73"/>
        <v>5.0000000000000044E-2</v>
      </c>
      <c r="AG208" s="1">
        <f t="shared" si="73"/>
        <v>4.9999999999999933E-2</v>
      </c>
      <c r="AH208" s="1">
        <f t="shared" si="73"/>
        <v>5.0000000000000044E-2</v>
      </c>
      <c r="AI208" s="1">
        <f t="shared" si="73"/>
        <v>4.9999999999999933E-2</v>
      </c>
      <c r="AJ208" s="1">
        <f t="shared" si="73"/>
        <v>5.0000000000000044E-2</v>
      </c>
      <c r="AK208" s="1">
        <f t="shared" si="73"/>
        <v>5.0000000000000044E-2</v>
      </c>
      <c r="AL208" s="1">
        <f t="shared" si="73"/>
        <v>4.9999999999999933E-2</v>
      </c>
      <c r="AM208" s="1">
        <f t="shared" si="73"/>
        <v>4.9999999999999489E-2</v>
      </c>
      <c r="AN208" s="1">
        <f t="shared" si="73"/>
        <v>5.0000000000000488E-2</v>
      </c>
      <c r="AO208" s="1">
        <f t="shared" si="73"/>
        <v>5.0000000000000044E-2</v>
      </c>
    </row>
    <row r="209" spans="2:41">
      <c r="B209" s="1">
        <f t="shared" si="70"/>
        <v>5.0000000000000044E-2</v>
      </c>
      <c r="C209" s="1">
        <f t="shared" si="70"/>
        <v>4.9999999999999933E-2</v>
      </c>
      <c r="D209" s="1">
        <f t="shared" si="70"/>
        <v>5.0000000000000044E-2</v>
      </c>
      <c r="E209" s="1">
        <f t="shared" si="70"/>
        <v>4.9999999999999933E-2</v>
      </c>
      <c r="F209" s="1">
        <f t="shared" si="70"/>
        <v>5.0000000000000044E-2</v>
      </c>
      <c r="G209" s="1">
        <f t="shared" si="70"/>
        <v>5.0000000000000044E-2</v>
      </c>
      <c r="H209" s="1">
        <f t="shared" si="70"/>
        <v>4.9999999999999933E-2</v>
      </c>
      <c r="I209" s="1">
        <f t="shared" si="70"/>
        <v>5.0000000000000044E-2</v>
      </c>
      <c r="J209" s="1">
        <f t="shared" si="70"/>
        <v>4.9999999999999933E-2</v>
      </c>
      <c r="K209" s="1">
        <f t="shared" si="70"/>
        <v>5.0000000000000044E-2</v>
      </c>
      <c r="L209" s="1">
        <f t="shared" si="71"/>
        <v>4.9999999999999989E-2</v>
      </c>
      <c r="M209" s="1">
        <f t="shared" si="71"/>
        <v>4.9999999999999989E-2</v>
      </c>
      <c r="N209" s="1">
        <f t="shared" si="71"/>
        <v>5.0000000000000044E-2</v>
      </c>
      <c r="O209" s="1">
        <f t="shared" si="71"/>
        <v>4.9999999999999989E-2</v>
      </c>
      <c r="P209" s="1">
        <f t="shared" si="71"/>
        <v>4.9999999999999989E-2</v>
      </c>
      <c r="Q209" s="1">
        <f t="shared" si="71"/>
        <v>4.9999999999999989E-2</v>
      </c>
      <c r="R209" s="1">
        <f t="shared" si="71"/>
        <v>5.0000000000000017E-2</v>
      </c>
      <c r="S209" s="1">
        <f t="shared" si="71"/>
        <v>4.9999999999999989E-2</v>
      </c>
      <c r="T209" s="1">
        <f t="shared" si="71"/>
        <v>0.05</v>
      </c>
      <c r="U209" s="1">
        <f t="shared" si="71"/>
        <v>4.9999999999999781E-2</v>
      </c>
      <c r="V209" s="1">
        <f t="shared" si="72"/>
        <v>5.0000000000000225E-2</v>
      </c>
      <c r="W209" s="1">
        <f t="shared" si="72"/>
        <v>4.9999999999999642E-2</v>
      </c>
      <c r="X209" s="1">
        <f t="shared" si="72"/>
        <v>5.000000000000035E-2</v>
      </c>
      <c r="Y209" s="1">
        <f t="shared" si="72"/>
        <v>5.0000000000000017E-2</v>
      </c>
      <c r="Z209" s="1">
        <f t="shared" si="72"/>
        <v>4.9999999999999989E-2</v>
      </c>
      <c r="AA209" s="1">
        <f t="shared" si="72"/>
        <v>4.9999999999999989E-2</v>
      </c>
      <c r="AB209" s="1">
        <f t="shared" si="72"/>
        <v>4.9999999999999989E-2</v>
      </c>
      <c r="AC209" s="1">
        <f t="shared" si="72"/>
        <v>5.0000000000000044E-2</v>
      </c>
      <c r="AD209" s="1">
        <f t="shared" si="72"/>
        <v>4.9999999999999989E-2</v>
      </c>
      <c r="AE209" s="1">
        <f t="shared" si="72"/>
        <v>4.9999999999999989E-2</v>
      </c>
      <c r="AF209" s="1">
        <f t="shared" si="73"/>
        <v>5.0000000000000044E-2</v>
      </c>
      <c r="AG209" s="1">
        <f t="shared" si="73"/>
        <v>4.9999999999999933E-2</v>
      </c>
      <c r="AH209" s="1">
        <f t="shared" si="73"/>
        <v>5.0000000000000044E-2</v>
      </c>
      <c r="AI209" s="1">
        <f t="shared" si="73"/>
        <v>4.9999999999999933E-2</v>
      </c>
      <c r="AJ209" s="1">
        <f t="shared" si="73"/>
        <v>5.0000000000000044E-2</v>
      </c>
      <c r="AK209" s="1">
        <f t="shared" si="73"/>
        <v>5.0000000000000044E-2</v>
      </c>
      <c r="AL209" s="1">
        <f t="shared" si="73"/>
        <v>4.9999999999999933E-2</v>
      </c>
      <c r="AM209" s="1">
        <f t="shared" si="73"/>
        <v>4.9999999999999489E-2</v>
      </c>
      <c r="AN209" s="1">
        <f t="shared" si="73"/>
        <v>5.0000000000000488E-2</v>
      </c>
      <c r="AO209" s="1">
        <f t="shared" si="73"/>
        <v>5.0000000000000044E-2</v>
      </c>
    </row>
    <row r="210" spans="2:41">
      <c r="B210" s="1">
        <f t="shared" si="70"/>
        <v>5.0000000000000044E-2</v>
      </c>
      <c r="C210" s="1">
        <f t="shared" si="70"/>
        <v>4.9999999999999933E-2</v>
      </c>
      <c r="D210" s="1">
        <f t="shared" si="70"/>
        <v>5.0000000000000044E-2</v>
      </c>
      <c r="E210" s="1">
        <f t="shared" si="70"/>
        <v>4.9999999999999933E-2</v>
      </c>
      <c r="F210" s="1">
        <f t="shared" si="70"/>
        <v>5.0000000000000044E-2</v>
      </c>
      <c r="G210" s="1">
        <f t="shared" si="70"/>
        <v>5.0000000000000044E-2</v>
      </c>
      <c r="H210" s="1">
        <f t="shared" si="70"/>
        <v>4.9999999999999933E-2</v>
      </c>
      <c r="I210" s="1">
        <f t="shared" si="70"/>
        <v>5.0000000000000044E-2</v>
      </c>
      <c r="J210" s="1">
        <f t="shared" si="70"/>
        <v>4.9999999999999933E-2</v>
      </c>
      <c r="K210" s="1">
        <f t="shared" si="70"/>
        <v>5.0000000000000044E-2</v>
      </c>
      <c r="L210" s="1">
        <f t="shared" si="71"/>
        <v>4.9999999999999989E-2</v>
      </c>
      <c r="M210" s="1">
        <f t="shared" si="71"/>
        <v>4.9999999999999989E-2</v>
      </c>
      <c r="N210" s="1">
        <f t="shared" si="71"/>
        <v>5.0000000000000044E-2</v>
      </c>
      <c r="O210" s="1">
        <f t="shared" si="71"/>
        <v>4.9999999999999989E-2</v>
      </c>
      <c r="P210" s="1">
        <f t="shared" si="71"/>
        <v>4.9999999999999989E-2</v>
      </c>
      <c r="Q210" s="1">
        <f t="shared" si="71"/>
        <v>4.9999999999999989E-2</v>
      </c>
      <c r="R210" s="1">
        <f t="shared" si="71"/>
        <v>5.0000000000000017E-2</v>
      </c>
      <c r="S210" s="1">
        <f t="shared" si="71"/>
        <v>4.9999999999999989E-2</v>
      </c>
      <c r="T210" s="1">
        <f t="shared" si="71"/>
        <v>0.05</v>
      </c>
      <c r="U210" s="1">
        <f t="shared" si="71"/>
        <v>4.9999999999999781E-2</v>
      </c>
      <c r="V210" s="1">
        <f t="shared" si="72"/>
        <v>5.0000000000000225E-2</v>
      </c>
      <c r="W210" s="1">
        <f t="shared" si="72"/>
        <v>4.9999999999999642E-2</v>
      </c>
      <c r="X210" s="1">
        <f t="shared" si="72"/>
        <v>5.000000000000035E-2</v>
      </c>
      <c r="Y210" s="1">
        <f t="shared" si="72"/>
        <v>5.0000000000000017E-2</v>
      </c>
      <c r="Z210" s="1">
        <f t="shared" si="72"/>
        <v>4.9999999999999989E-2</v>
      </c>
      <c r="AA210" s="1">
        <f t="shared" si="72"/>
        <v>4.9999999999999989E-2</v>
      </c>
      <c r="AB210" s="1">
        <f t="shared" si="72"/>
        <v>4.9999999999999989E-2</v>
      </c>
      <c r="AC210" s="1">
        <f t="shared" si="72"/>
        <v>5.0000000000000044E-2</v>
      </c>
      <c r="AD210" s="1">
        <f t="shared" si="72"/>
        <v>4.9999999999999989E-2</v>
      </c>
      <c r="AE210" s="1">
        <f t="shared" si="72"/>
        <v>4.9999999999999989E-2</v>
      </c>
      <c r="AF210" s="1">
        <f t="shared" si="73"/>
        <v>5.0000000000000044E-2</v>
      </c>
      <c r="AG210" s="1">
        <f t="shared" si="73"/>
        <v>4.9999999999999933E-2</v>
      </c>
      <c r="AH210" s="1">
        <f t="shared" si="73"/>
        <v>5.0000000000000044E-2</v>
      </c>
      <c r="AI210" s="1">
        <f t="shared" si="73"/>
        <v>4.9999999999999933E-2</v>
      </c>
      <c r="AJ210" s="1">
        <f t="shared" si="73"/>
        <v>5.0000000000000044E-2</v>
      </c>
      <c r="AK210" s="1">
        <f t="shared" si="73"/>
        <v>5.0000000000000044E-2</v>
      </c>
      <c r="AL210" s="1">
        <f t="shared" si="73"/>
        <v>4.9999999999999933E-2</v>
      </c>
      <c r="AM210" s="1">
        <f t="shared" si="73"/>
        <v>4.9999999999999489E-2</v>
      </c>
      <c r="AN210" s="1">
        <f t="shared" si="73"/>
        <v>5.0000000000000488E-2</v>
      </c>
      <c r="AO210" s="1">
        <f t="shared" si="73"/>
        <v>5.0000000000000044E-2</v>
      </c>
    </row>
    <row r="211" spans="2:41">
      <c r="B211" s="1">
        <f t="shared" si="70"/>
        <v>5.0000000000000044E-2</v>
      </c>
      <c r="C211" s="1">
        <f t="shared" si="70"/>
        <v>4.9999999999999933E-2</v>
      </c>
      <c r="D211" s="1">
        <f t="shared" si="70"/>
        <v>5.0000000000000044E-2</v>
      </c>
      <c r="E211" s="1">
        <f t="shared" si="70"/>
        <v>4.9999999999999933E-2</v>
      </c>
      <c r="F211" s="1">
        <f t="shared" si="70"/>
        <v>5.0000000000000044E-2</v>
      </c>
      <c r="G211" s="1">
        <f t="shared" si="70"/>
        <v>5.0000000000000044E-2</v>
      </c>
      <c r="H211" s="1">
        <f t="shared" si="70"/>
        <v>4.9999999999999933E-2</v>
      </c>
      <c r="I211" s="1">
        <f t="shared" si="70"/>
        <v>5.0000000000000044E-2</v>
      </c>
      <c r="J211" s="1">
        <f t="shared" si="70"/>
        <v>4.9999999999999933E-2</v>
      </c>
      <c r="K211" s="1">
        <f t="shared" si="70"/>
        <v>5.0000000000000044E-2</v>
      </c>
      <c r="L211" s="1">
        <f t="shared" si="71"/>
        <v>4.9999999999999989E-2</v>
      </c>
      <c r="M211" s="1">
        <f t="shared" si="71"/>
        <v>4.9999999999999989E-2</v>
      </c>
      <c r="N211" s="1">
        <f t="shared" si="71"/>
        <v>5.0000000000000044E-2</v>
      </c>
      <c r="O211" s="1">
        <f t="shared" si="71"/>
        <v>4.9999999999999989E-2</v>
      </c>
      <c r="P211" s="1">
        <f t="shared" si="71"/>
        <v>4.9999999999999989E-2</v>
      </c>
      <c r="Q211" s="1">
        <f t="shared" si="71"/>
        <v>4.9999999999999989E-2</v>
      </c>
      <c r="R211" s="1">
        <f t="shared" si="71"/>
        <v>5.0000000000000017E-2</v>
      </c>
      <c r="S211" s="1">
        <f t="shared" si="71"/>
        <v>4.9999999999999989E-2</v>
      </c>
      <c r="T211" s="1">
        <f t="shared" si="71"/>
        <v>0.05</v>
      </c>
      <c r="U211" s="1">
        <f t="shared" si="71"/>
        <v>4.9999999999999781E-2</v>
      </c>
      <c r="V211" s="1">
        <f t="shared" si="72"/>
        <v>5.0000000000000225E-2</v>
      </c>
      <c r="W211" s="1">
        <f t="shared" si="72"/>
        <v>4.9999999999999642E-2</v>
      </c>
      <c r="X211" s="1">
        <f t="shared" si="72"/>
        <v>5.000000000000035E-2</v>
      </c>
      <c r="Y211" s="1">
        <f t="shared" si="72"/>
        <v>5.0000000000000017E-2</v>
      </c>
      <c r="Z211" s="1">
        <f t="shared" si="72"/>
        <v>4.9999999999999989E-2</v>
      </c>
      <c r="AA211" s="1">
        <f t="shared" si="72"/>
        <v>4.9999999999999989E-2</v>
      </c>
      <c r="AB211" s="1">
        <f t="shared" si="72"/>
        <v>4.9999999999999989E-2</v>
      </c>
      <c r="AC211" s="1">
        <f t="shared" si="72"/>
        <v>5.0000000000000044E-2</v>
      </c>
      <c r="AD211" s="1">
        <f t="shared" si="72"/>
        <v>4.9999999999999989E-2</v>
      </c>
      <c r="AE211" s="1">
        <f t="shared" si="72"/>
        <v>4.9999999999999989E-2</v>
      </c>
      <c r="AF211" s="1">
        <f t="shared" si="73"/>
        <v>5.0000000000000044E-2</v>
      </c>
      <c r="AG211" s="1">
        <f t="shared" si="73"/>
        <v>4.9999999999999933E-2</v>
      </c>
      <c r="AH211" s="1">
        <f t="shared" si="73"/>
        <v>5.0000000000000044E-2</v>
      </c>
      <c r="AI211" s="1">
        <f t="shared" si="73"/>
        <v>4.9999999999999933E-2</v>
      </c>
      <c r="AJ211" s="1">
        <f t="shared" si="73"/>
        <v>5.0000000000000044E-2</v>
      </c>
      <c r="AK211" s="1">
        <f t="shared" si="73"/>
        <v>5.0000000000000044E-2</v>
      </c>
      <c r="AL211" s="1">
        <f t="shared" si="73"/>
        <v>4.9999999999999933E-2</v>
      </c>
      <c r="AM211" s="1">
        <f t="shared" si="73"/>
        <v>4.9999999999999489E-2</v>
      </c>
      <c r="AN211" s="1">
        <f t="shared" si="73"/>
        <v>5.0000000000000488E-2</v>
      </c>
      <c r="AO211" s="1">
        <f t="shared" si="73"/>
        <v>5.0000000000000044E-2</v>
      </c>
    </row>
    <row r="212" spans="2:41">
      <c r="B212" s="1">
        <f t="shared" si="70"/>
        <v>5.0000000000000044E-2</v>
      </c>
      <c r="C212" s="1">
        <f t="shared" si="70"/>
        <v>4.9999999999999933E-2</v>
      </c>
      <c r="D212" s="1">
        <f t="shared" si="70"/>
        <v>5.0000000000000044E-2</v>
      </c>
      <c r="E212" s="1">
        <f t="shared" si="70"/>
        <v>4.9999999999999933E-2</v>
      </c>
      <c r="F212" s="1">
        <f t="shared" si="70"/>
        <v>5.0000000000000044E-2</v>
      </c>
      <c r="G212" s="1">
        <f t="shared" si="70"/>
        <v>5.0000000000000044E-2</v>
      </c>
      <c r="H212" s="1">
        <f t="shared" si="70"/>
        <v>4.9999999999999933E-2</v>
      </c>
      <c r="I212" s="1">
        <f t="shared" si="70"/>
        <v>5.0000000000000044E-2</v>
      </c>
      <c r="J212" s="1">
        <f t="shared" si="70"/>
        <v>4.9999999999999933E-2</v>
      </c>
      <c r="K212" s="1">
        <f t="shared" si="70"/>
        <v>5.0000000000000044E-2</v>
      </c>
      <c r="L212" s="1">
        <f t="shared" si="71"/>
        <v>4.9999999999999989E-2</v>
      </c>
      <c r="M212" s="1">
        <f t="shared" si="71"/>
        <v>4.9999999999999989E-2</v>
      </c>
      <c r="N212" s="1">
        <f t="shared" si="71"/>
        <v>5.0000000000000044E-2</v>
      </c>
      <c r="O212" s="1">
        <f t="shared" si="71"/>
        <v>4.9999999999999989E-2</v>
      </c>
      <c r="P212" s="1">
        <f t="shared" si="71"/>
        <v>4.9999999999999989E-2</v>
      </c>
      <c r="Q212" s="1">
        <f t="shared" si="71"/>
        <v>4.9999999999999989E-2</v>
      </c>
      <c r="R212" s="1">
        <f t="shared" si="71"/>
        <v>5.0000000000000017E-2</v>
      </c>
      <c r="S212" s="1">
        <f t="shared" si="71"/>
        <v>4.9999999999999989E-2</v>
      </c>
      <c r="T212" s="1">
        <f t="shared" si="71"/>
        <v>0.05</v>
      </c>
      <c r="U212" s="1">
        <f t="shared" si="71"/>
        <v>4.9999999999999781E-2</v>
      </c>
      <c r="V212" s="1">
        <f t="shared" si="72"/>
        <v>5.0000000000000225E-2</v>
      </c>
      <c r="W212" s="1">
        <f t="shared" si="72"/>
        <v>4.9999999999999642E-2</v>
      </c>
      <c r="X212" s="1">
        <f t="shared" si="72"/>
        <v>5.000000000000035E-2</v>
      </c>
      <c r="Y212" s="1">
        <f t="shared" si="72"/>
        <v>5.0000000000000017E-2</v>
      </c>
      <c r="Z212" s="1">
        <f t="shared" si="72"/>
        <v>4.9999999999999989E-2</v>
      </c>
      <c r="AA212" s="1">
        <f t="shared" si="72"/>
        <v>4.9999999999999989E-2</v>
      </c>
      <c r="AB212" s="1">
        <f t="shared" si="72"/>
        <v>4.9999999999999989E-2</v>
      </c>
      <c r="AC212" s="1">
        <f t="shared" si="72"/>
        <v>5.0000000000000044E-2</v>
      </c>
      <c r="AD212" s="1">
        <f t="shared" si="72"/>
        <v>4.9999999999999989E-2</v>
      </c>
      <c r="AE212" s="1">
        <f t="shared" si="72"/>
        <v>4.9999999999999989E-2</v>
      </c>
      <c r="AF212" s="1">
        <f t="shared" si="73"/>
        <v>5.0000000000000044E-2</v>
      </c>
      <c r="AG212" s="1">
        <f t="shared" si="73"/>
        <v>4.9999999999999933E-2</v>
      </c>
      <c r="AH212" s="1">
        <f t="shared" si="73"/>
        <v>5.0000000000000044E-2</v>
      </c>
      <c r="AI212" s="1">
        <f t="shared" si="73"/>
        <v>4.9999999999999933E-2</v>
      </c>
      <c r="AJ212" s="1">
        <f t="shared" si="73"/>
        <v>5.0000000000000044E-2</v>
      </c>
      <c r="AK212" s="1">
        <f t="shared" si="73"/>
        <v>5.0000000000000044E-2</v>
      </c>
      <c r="AL212" s="1">
        <f t="shared" si="73"/>
        <v>4.9999999999999933E-2</v>
      </c>
      <c r="AM212" s="1">
        <f t="shared" si="73"/>
        <v>4.9999999999999489E-2</v>
      </c>
      <c r="AN212" s="1">
        <f t="shared" si="73"/>
        <v>5.0000000000000488E-2</v>
      </c>
      <c r="AO212" s="1">
        <f t="shared" si="73"/>
        <v>5.0000000000000044E-2</v>
      </c>
    </row>
    <row r="213" spans="2:41">
      <c r="B213" s="1">
        <f t="shared" si="70"/>
        <v>5.0000000000000044E-2</v>
      </c>
      <c r="C213" s="1">
        <f t="shared" si="70"/>
        <v>4.9999999999999933E-2</v>
      </c>
      <c r="D213" s="1">
        <f t="shared" si="70"/>
        <v>5.0000000000000044E-2</v>
      </c>
      <c r="E213" s="1">
        <f t="shared" si="70"/>
        <v>4.9999999999999933E-2</v>
      </c>
      <c r="F213" s="1">
        <f t="shared" si="70"/>
        <v>5.0000000000000044E-2</v>
      </c>
      <c r="G213" s="1">
        <f t="shared" si="70"/>
        <v>5.0000000000000044E-2</v>
      </c>
      <c r="H213" s="1">
        <f t="shared" si="70"/>
        <v>4.9999999999999933E-2</v>
      </c>
      <c r="I213" s="1">
        <f t="shared" si="70"/>
        <v>5.0000000000000044E-2</v>
      </c>
      <c r="J213" s="1">
        <f t="shared" si="70"/>
        <v>4.9999999999999933E-2</v>
      </c>
      <c r="K213" s="1">
        <f t="shared" si="70"/>
        <v>5.0000000000000044E-2</v>
      </c>
      <c r="L213" s="1">
        <f t="shared" si="71"/>
        <v>4.9999999999999989E-2</v>
      </c>
      <c r="M213" s="1">
        <f t="shared" si="71"/>
        <v>4.9999999999999989E-2</v>
      </c>
      <c r="N213" s="1">
        <f t="shared" si="71"/>
        <v>5.0000000000000044E-2</v>
      </c>
      <c r="O213" s="1">
        <f t="shared" si="71"/>
        <v>4.9999999999999989E-2</v>
      </c>
      <c r="P213" s="1">
        <f t="shared" si="71"/>
        <v>4.9999999999999989E-2</v>
      </c>
      <c r="Q213" s="1">
        <f t="shared" si="71"/>
        <v>4.9999999999999989E-2</v>
      </c>
      <c r="R213" s="1">
        <f t="shared" si="71"/>
        <v>5.0000000000000017E-2</v>
      </c>
      <c r="S213" s="1">
        <f t="shared" si="71"/>
        <v>4.9999999999999989E-2</v>
      </c>
      <c r="T213" s="1">
        <f t="shared" si="71"/>
        <v>0.05</v>
      </c>
      <c r="U213" s="1">
        <f t="shared" si="71"/>
        <v>4.9999999999999781E-2</v>
      </c>
      <c r="V213" s="1">
        <f t="shared" si="72"/>
        <v>5.0000000000000225E-2</v>
      </c>
      <c r="W213" s="1">
        <f t="shared" si="72"/>
        <v>4.9999999999999642E-2</v>
      </c>
      <c r="X213" s="1">
        <f t="shared" si="72"/>
        <v>5.000000000000035E-2</v>
      </c>
      <c r="Y213" s="1">
        <f t="shared" si="72"/>
        <v>5.0000000000000017E-2</v>
      </c>
      <c r="Z213" s="1">
        <f t="shared" si="72"/>
        <v>4.9999999999999989E-2</v>
      </c>
      <c r="AA213" s="1">
        <f t="shared" si="72"/>
        <v>4.9999999999999989E-2</v>
      </c>
      <c r="AB213" s="1">
        <f t="shared" si="72"/>
        <v>4.9999999999999989E-2</v>
      </c>
      <c r="AC213" s="1">
        <f t="shared" si="72"/>
        <v>5.0000000000000044E-2</v>
      </c>
      <c r="AD213" s="1">
        <f t="shared" si="72"/>
        <v>4.9999999999999989E-2</v>
      </c>
      <c r="AE213" s="1">
        <f t="shared" si="72"/>
        <v>4.9999999999999989E-2</v>
      </c>
      <c r="AF213" s="1">
        <f t="shared" si="73"/>
        <v>5.0000000000000044E-2</v>
      </c>
      <c r="AG213" s="1">
        <f t="shared" si="73"/>
        <v>4.9999999999999933E-2</v>
      </c>
      <c r="AH213" s="1">
        <f t="shared" si="73"/>
        <v>5.0000000000000044E-2</v>
      </c>
      <c r="AI213" s="1">
        <f t="shared" si="73"/>
        <v>4.9999999999999933E-2</v>
      </c>
      <c r="AJ213" s="1">
        <f t="shared" si="73"/>
        <v>5.0000000000000044E-2</v>
      </c>
      <c r="AK213" s="1">
        <f t="shared" si="73"/>
        <v>5.0000000000000044E-2</v>
      </c>
      <c r="AL213" s="1">
        <f t="shared" si="73"/>
        <v>4.9999999999999933E-2</v>
      </c>
      <c r="AM213" s="1">
        <f t="shared" si="73"/>
        <v>4.9999999999999489E-2</v>
      </c>
      <c r="AN213" s="1">
        <f t="shared" si="73"/>
        <v>5.0000000000000488E-2</v>
      </c>
      <c r="AO213" s="1">
        <f t="shared" si="73"/>
        <v>5.0000000000000044E-2</v>
      </c>
    </row>
    <row r="214" spans="2:41">
      <c r="B214" s="1">
        <f t="shared" si="70"/>
        <v>5.0000000000000044E-2</v>
      </c>
      <c r="C214" s="1">
        <f t="shared" si="70"/>
        <v>4.9999999999999933E-2</v>
      </c>
      <c r="D214" s="1">
        <f t="shared" si="70"/>
        <v>5.0000000000000044E-2</v>
      </c>
      <c r="E214" s="1">
        <f t="shared" si="70"/>
        <v>4.9999999999999933E-2</v>
      </c>
      <c r="F214" s="1">
        <f t="shared" si="70"/>
        <v>5.0000000000000044E-2</v>
      </c>
      <c r="G214" s="1">
        <f t="shared" si="70"/>
        <v>5.0000000000000044E-2</v>
      </c>
      <c r="H214" s="1">
        <f t="shared" si="70"/>
        <v>4.9999999999999933E-2</v>
      </c>
      <c r="I214" s="1">
        <f t="shared" si="70"/>
        <v>5.0000000000000044E-2</v>
      </c>
      <c r="J214" s="1">
        <f t="shared" si="70"/>
        <v>4.9999999999999933E-2</v>
      </c>
      <c r="K214" s="1">
        <f t="shared" si="70"/>
        <v>5.0000000000000044E-2</v>
      </c>
      <c r="L214" s="1">
        <f t="shared" si="71"/>
        <v>4.9999999999999989E-2</v>
      </c>
      <c r="M214" s="1">
        <f t="shared" si="71"/>
        <v>4.9999999999999989E-2</v>
      </c>
      <c r="N214" s="1">
        <f t="shared" si="71"/>
        <v>5.0000000000000044E-2</v>
      </c>
      <c r="O214" s="1">
        <f t="shared" si="71"/>
        <v>4.9999999999999989E-2</v>
      </c>
      <c r="P214" s="1">
        <f t="shared" si="71"/>
        <v>4.9999999999999989E-2</v>
      </c>
      <c r="Q214" s="1">
        <f t="shared" si="71"/>
        <v>4.9999999999999989E-2</v>
      </c>
      <c r="R214" s="1">
        <f t="shared" si="71"/>
        <v>5.0000000000000017E-2</v>
      </c>
      <c r="S214" s="1">
        <f t="shared" si="71"/>
        <v>4.9999999999999989E-2</v>
      </c>
      <c r="T214" s="1">
        <f t="shared" si="71"/>
        <v>0.05</v>
      </c>
      <c r="U214" s="1">
        <f t="shared" si="71"/>
        <v>4.9999999999999781E-2</v>
      </c>
      <c r="V214" s="1">
        <f t="shared" si="72"/>
        <v>5.0000000000000225E-2</v>
      </c>
      <c r="W214" s="1">
        <f t="shared" si="72"/>
        <v>4.9999999999999642E-2</v>
      </c>
      <c r="X214" s="1">
        <f t="shared" si="72"/>
        <v>5.000000000000035E-2</v>
      </c>
      <c r="Y214" s="1">
        <f t="shared" si="72"/>
        <v>5.0000000000000017E-2</v>
      </c>
      <c r="Z214" s="1">
        <f t="shared" si="72"/>
        <v>4.9999999999999989E-2</v>
      </c>
      <c r="AA214" s="1">
        <f t="shared" si="72"/>
        <v>4.9999999999999989E-2</v>
      </c>
      <c r="AB214" s="1">
        <f t="shared" si="72"/>
        <v>4.9999999999999989E-2</v>
      </c>
      <c r="AC214" s="1">
        <f t="shared" si="72"/>
        <v>5.0000000000000044E-2</v>
      </c>
      <c r="AD214" s="1">
        <f t="shared" si="72"/>
        <v>4.9999999999999989E-2</v>
      </c>
      <c r="AE214" s="1">
        <f t="shared" si="72"/>
        <v>4.9999999999999989E-2</v>
      </c>
      <c r="AF214" s="1">
        <f t="shared" si="73"/>
        <v>5.0000000000000044E-2</v>
      </c>
      <c r="AG214" s="1">
        <f t="shared" si="73"/>
        <v>4.9999999999999933E-2</v>
      </c>
      <c r="AH214" s="1">
        <f t="shared" si="73"/>
        <v>5.0000000000000044E-2</v>
      </c>
      <c r="AI214" s="1">
        <f t="shared" si="73"/>
        <v>4.9999999999999933E-2</v>
      </c>
      <c r="AJ214" s="1">
        <f t="shared" si="73"/>
        <v>5.0000000000000044E-2</v>
      </c>
      <c r="AK214" s="1">
        <f t="shared" si="73"/>
        <v>5.0000000000000044E-2</v>
      </c>
      <c r="AL214" s="1">
        <f t="shared" si="73"/>
        <v>4.9999999999999933E-2</v>
      </c>
      <c r="AM214" s="1">
        <f t="shared" si="73"/>
        <v>4.9999999999999489E-2</v>
      </c>
      <c r="AN214" s="1">
        <f t="shared" si="73"/>
        <v>5.0000000000000488E-2</v>
      </c>
      <c r="AO214" s="1">
        <f t="shared" si="73"/>
        <v>5.0000000000000044E-2</v>
      </c>
    </row>
    <row r="215" spans="2:41">
      <c r="B215" s="1">
        <f t="shared" ref="B215:K224" si="74">B$109-B$107</f>
        <v>5.0000000000000044E-2</v>
      </c>
      <c r="C215" s="1">
        <f t="shared" si="74"/>
        <v>4.9999999999999933E-2</v>
      </c>
      <c r="D215" s="1">
        <f t="shared" si="74"/>
        <v>5.0000000000000044E-2</v>
      </c>
      <c r="E215" s="1">
        <f t="shared" si="74"/>
        <v>4.9999999999999933E-2</v>
      </c>
      <c r="F215" s="1">
        <f t="shared" si="74"/>
        <v>5.0000000000000044E-2</v>
      </c>
      <c r="G215" s="1">
        <f t="shared" si="74"/>
        <v>5.0000000000000044E-2</v>
      </c>
      <c r="H215" s="1">
        <f t="shared" si="74"/>
        <v>4.9999999999999933E-2</v>
      </c>
      <c r="I215" s="1">
        <f t="shared" si="74"/>
        <v>5.0000000000000044E-2</v>
      </c>
      <c r="J215" s="1">
        <f t="shared" si="74"/>
        <v>4.9999999999999933E-2</v>
      </c>
      <c r="K215" s="1">
        <f t="shared" si="74"/>
        <v>5.0000000000000044E-2</v>
      </c>
      <c r="L215" s="1">
        <f t="shared" ref="L215:U224" si="75">L$109-L$107</f>
        <v>4.9999999999999989E-2</v>
      </c>
      <c r="M215" s="1">
        <f t="shared" si="75"/>
        <v>4.9999999999999989E-2</v>
      </c>
      <c r="N215" s="1">
        <f t="shared" si="75"/>
        <v>5.0000000000000044E-2</v>
      </c>
      <c r="O215" s="1">
        <f t="shared" si="75"/>
        <v>4.9999999999999989E-2</v>
      </c>
      <c r="P215" s="1">
        <f t="shared" si="75"/>
        <v>4.9999999999999989E-2</v>
      </c>
      <c r="Q215" s="1">
        <f t="shared" si="75"/>
        <v>4.9999999999999989E-2</v>
      </c>
      <c r="R215" s="1">
        <f t="shared" si="75"/>
        <v>5.0000000000000017E-2</v>
      </c>
      <c r="S215" s="1">
        <f t="shared" si="75"/>
        <v>4.9999999999999989E-2</v>
      </c>
      <c r="T215" s="1">
        <f t="shared" si="75"/>
        <v>0.05</v>
      </c>
      <c r="U215" s="1">
        <f t="shared" si="75"/>
        <v>4.9999999999999781E-2</v>
      </c>
      <c r="V215" s="1">
        <f t="shared" ref="V215:AE224" si="76">V$109-V$107</f>
        <v>5.0000000000000225E-2</v>
      </c>
      <c r="W215" s="1">
        <f t="shared" si="76"/>
        <v>4.9999999999999642E-2</v>
      </c>
      <c r="X215" s="1">
        <f t="shared" si="76"/>
        <v>5.000000000000035E-2</v>
      </c>
      <c r="Y215" s="1">
        <f t="shared" si="76"/>
        <v>5.0000000000000017E-2</v>
      </c>
      <c r="Z215" s="1">
        <f t="shared" si="76"/>
        <v>4.9999999999999989E-2</v>
      </c>
      <c r="AA215" s="1">
        <f t="shared" si="76"/>
        <v>4.9999999999999989E-2</v>
      </c>
      <c r="AB215" s="1">
        <f t="shared" si="76"/>
        <v>4.9999999999999989E-2</v>
      </c>
      <c r="AC215" s="1">
        <f t="shared" si="76"/>
        <v>5.0000000000000044E-2</v>
      </c>
      <c r="AD215" s="1">
        <f t="shared" si="76"/>
        <v>4.9999999999999989E-2</v>
      </c>
      <c r="AE215" s="1">
        <f t="shared" si="76"/>
        <v>4.9999999999999989E-2</v>
      </c>
      <c r="AF215" s="1">
        <f t="shared" ref="AF215:AO224" si="77">AF$109-AF$107</f>
        <v>5.0000000000000044E-2</v>
      </c>
      <c r="AG215" s="1">
        <f t="shared" si="77"/>
        <v>4.9999999999999933E-2</v>
      </c>
      <c r="AH215" s="1">
        <f t="shared" si="77"/>
        <v>5.0000000000000044E-2</v>
      </c>
      <c r="AI215" s="1">
        <f t="shared" si="77"/>
        <v>4.9999999999999933E-2</v>
      </c>
      <c r="AJ215" s="1">
        <f t="shared" si="77"/>
        <v>5.0000000000000044E-2</v>
      </c>
      <c r="AK215" s="1">
        <f t="shared" si="77"/>
        <v>5.0000000000000044E-2</v>
      </c>
      <c r="AL215" s="1">
        <f t="shared" si="77"/>
        <v>4.9999999999999933E-2</v>
      </c>
      <c r="AM215" s="1">
        <f t="shared" si="77"/>
        <v>4.9999999999999489E-2</v>
      </c>
      <c r="AN215" s="1">
        <f t="shared" si="77"/>
        <v>5.0000000000000488E-2</v>
      </c>
      <c r="AO215" s="1">
        <f t="shared" si="77"/>
        <v>5.0000000000000044E-2</v>
      </c>
    </row>
    <row r="216" spans="2:41">
      <c r="B216" s="1">
        <f t="shared" si="74"/>
        <v>5.0000000000000044E-2</v>
      </c>
      <c r="C216" s="1">
        <f t="shared" si="74"/>
        <v>4.9999999999999933E-2</v>
      </c>
      <c r="D216" s="1">
        <f t="shared" si="74"/>
        <v>5.0000000000000044E-2</v>
      </c>
      <c r="E216" s="1">
        <f t="shared" si="74"/>
        <v>4.9999999999999933E-2</v>
      </c>
      <c r="F216" s="1">
        <f t="shared" si="74"/>
        <v>5.0000000000000044E-2</v>
      </c>
      <c r="G216" s="1">
        <f t="shared" si="74"/>
        <v>5.0000000000000044E-2</v>
      </c>
      <c r="H216" s="1">
        <f t="shared" si="74"/>
        <v>4.9999999999999933E-2</v>
      </c>
      <c r="I216" s="1">
        <f t="shared" si="74"/>
        <v>5.0000000000000044E-2</v>
      </c>
      <c r="J216" s="1">
        <f t="shared" si="74"/>
        <v>4.9999999999999933E-2</v>
      </c>
      <c r="K216" s="1">
        <f t="shared" si="74"/>
        <v>5.0000000000000044E-2</v>
      </c>
      <c r="L216" s="1">
        <f t="shared" si="75"/>
        <v>4.9999999999999989E-2</v>
      </c>
      <c r="M216" s="1">
        <f t="shared" si="75"/>
        <v>4.9999999999999989E-2</v>
      </c>
      <c r="N216" s="1">
        <f t="shared" si="75"/>
        <v>5.0000000000000044E-2</v>
      </c>
      <c r="O216" s="1">
        <f t="shared" si="75"/>
        <v>4.9999999999999989E-2</v>
      </c>
      <c r="P216" s="1">
        <f t="shared" si="75"/>
        <v>4.9999999999999989E-2</v>
      </c>
      <c r="Q216" s="1">
        <f t="shared" si="75"/>
        <v>4.9999999999999989E-2</v>
      </c>
      <c r="R216" s="1">
        <f t="shared" si="75"/>
        <v>5.0000000000000017E-2</v>
      </c>
      <c r="S216" s="1">
        <f t="shared" si="75"/>
        <v>4.9999999999999989E-2</v>
      </c>
      <c r="T216" s="1">
        <f t="shared" si="75"/>
        <v>0.05</v>
      </c>
      <c r="U216" s="1">
        <f t="shared" si="75"/>
        <v>4.9999999999999781E-2</v>
      </c>
      <c r="V216" s="1">
        <f t="shared" si="76"/>
        <v>5.0000000000000225E-2</v>
      </c>
      <c r="W216" s="1">
        <f t="shared" si="76"/>
        <v>4.9999999999999642E-2</v>
      </c>
      <c r="X216" s="1">
        <f t="shared" si="76"/>
        <v>5.000000000000035E-2</v>
      </c>
      <c r="Y216" s="1">
        <f t="shared" si="76"/>
        <v>5.0000000000000017E-2</v>
      </c>
      <c r="Z216" s="1">
        <f t="shared" si="76"/>
        <v>4.9999999999999989E-2</v>
      </c>
      <c r="AA216" s="1">
        <f t="shared" si="76"/>
        <v>4.9999999999999989E-2</v>
      </c>
      <c r="AB216" s="1">
        <f t="shared" si="76"/>
        <v>4.9999999999999989E-2</v>
      </c>
      <c r="AC216" s="1">
        <f t="shared" si="76"/>
        <v>5.0000000000000044E-2</v>
      </c>
      <c r="AD216" s="1">
        <f t="shared" si="76"/>
        <v>4.9999999999999989E-2</v>
      </c>
      <c r="AE216" s="1">
        <f t="shared" si="76"/>
        <v>4.9999999999999989E-2</v>
      </c>
      <c r="AF216" s="1">
        <f t="shared" si="77"/>
        <v>5.0000000000000044E-2</v>
      </c>
      <c r="AG216" s="1">
        <f t="shared" si="77"/>
        <v>4.9999999999999933E-2</v>
      </c>
      <c r="AH216" s="1">
        <f t="shared" si="77"/>
        <v>5.0000000000000044E-2</v>
      </c>
      <c r="AI216" s="1">
        <f t="shared" si="77"/>
        <v>4.9999999999999933E-2</v>
      </c>
      <c r="AJ216" s="1">
        <f t="shared" si="77"/>
        <v>5.0000000000000044E-2</v>
      </c>
      <c r="AK216" s="1">
        <f t="shared" si="77"/>
        <v>5.0000000000000044E-2</v>
      </c>
      <c r="AL216" s="1">
        <f t="shared" si="77"/>
        <v>4.9999999999999933E-2</v>
      </c>
      <c r="AM216" s="1">
        <f t="shared" si="77"/>
        <v>4.9999999999999489E-2</v>
      </c>
      <c r="AN216" s="1">
        <f t="shared" si="77"/>
        <v>5.0000000000000488E-2</v>
      </c>
      <c r="AO216" s="1">
        <f t="shared" si="77"/>
        <v>5.0000000000000044E-2</v>
      </c>
    </row>
    <row r="217" spans="2:41">
      <c r="B217" s="1">
        <f t="shared" si="74"/>
        <v>5.0000000000000044E-2</v>
      </c>
      <c r="C217" s="1">
        <f t="shared" si="74"/>
        <v>4.9999999999999933E-2</v>
      </c>
      <c r="D217" s="1">
        <f t="shared" si="74"/>
        <v>5.0000000000000044E-2</v>
      </c>
      <c r="E217" s="1">
        <f t="shared" si="74"/>
        <v>4.9999999999999933E-2</v>
      </c>
      <c r="F217" s="1">
        <f t="shared" si="74"/>
        <v>5.0000000000000044E-2</v>
      </c>
      <c r="G217" s="1">
        <f t="shared" si="74"/>
        <v>5.0000000000000044E-2</v>
      </c>
      <c r="H217" s="1">
        <f t="shared" si="74"/>
        <v>4.9999999999999933E-2</v>
      </c>
      <c r="I217" s="1">
        <f t="shared" si="74"/>
        <v>5.0000000000000044E-2</v>
      </c>
      <c r="J217" s="1">
        <f t="shared" si="74"/>
        <v>4.9999999999999933E-2</v>
      </c>
      <c r="K217" s="1">
        <f t="shared" si="74"/>
        <v>5.0000000000000044E-2</v>
      </c>
      <c r="L217" s="1">
        <f t="shared" si="75"/>
        <v>4.9999999999999989E-2</v>
      </c>
      <c r="M217" s="1">
        <f t="shared" si="75"/>
        <v>4.9999999999999989E-2</v>
      </c>
      <c r="N217" s="1">
        <f t="shared" si="75"/>
        <v>5.0000000000000044E-2</v>
      </c>
      <c r="O217" s="1">
        <f t="shared" si="75"/>
        <v>4.9999999999999989E-2</v>
      </c>
      <c r="P217" s="1">
        <f t="shared" si="75"/>
        <v>4.9999999999999989E-2</v>
      </c>
      <c r="Q217" s="1">
        <f t="shared" si="75"/>
        <v>4.9999999999999989E-2</v>
      </c>
      <c r="R217" s="1">
        <f t="shared" si="75"/>
        <v>5.0000000000000017E-2</v>
      </c>
      <c r="S217" s="1">
        <f t="shared" si="75"/>
        <v>4.9999999999999989E-2</v>
      </c>
      <c r="T217" s="1">
        <f t="shared" si="75"/>
        <v>0.05</v>
      </c>
      <c r="U217" s="1">
        <f t="shared" si="75"/>
        <v>4.9999999999999781E-2</v>
      </c>
      <c r="V217" s="1">
        <f t="shared" si="76"/>
        <v>5.0000000000000225E-2</v>
      </c>
      <c r="W217" s="1">
        <f t="shared" si="76"/>
        <v>4.9999999999999642E-2</v>
      </c>
      <c r="X217" s="1">
        <f t="shared" si="76"/>
        <v>5.000000000000035E-2</v>
      </c>
      <c r="Y217" s="1">
        <f t="shared" si="76"/>
        <v>5.0000000000000017E-2</v>
      </c>
      <c r="Z217" s="1">
        <f t="shared" si="76"/>
        <v>4.9999999999999989E-2</v>
      </c>
      <c r="AA217" s="1">
        <f t="shared" si="76"/>
        <v>4.9999999999999989E-2</v>
      </c>
      <c r="AB217" s="1">
        <f t="shared" si="76"/>
        <v>4.9999999999999989E-2</v>
      </c>
      <c r="AC217" s="1">
        <f t="shared" si="76"/>
        <v>5.0000000000000044E-2</v>
      </c>
      <c r="AD217" s="1">
        <f t="shared" si="76"/>
        <v>4.9999999999999989E-2</v>
      </c>
      <c r="AE217" s="1">
        <f t="shared" si="76"/>
        <v>4.9999999999999989E-2</v>
      </c>
      <c r="AF217" s="1">
        <f t="shared" si="77"/>
        <v>5.0000000000000044E-2</v>
      </c>
      <c r="AG217" s="1">
        <f t="shared" si="77"/>
        <v>4.9999999999999933E-2</v>
      </c>
      <c r="AH217" s="1">
        <f t="shared" si="77"/>
        <v>5.0000000000000044E-2</v>
      </c>
      <c r="AI217" s="1">
        <f t="shared" si="77"/>
        <v>4.9999999999999933E-2</v>
      </c>
      <c r="AJ217" s="1">
        <f t="shared" si="77"/>
        <v>5.0000000000000044E-2</v>
      </c>
      <c r="AK217" s="1">
        <f t="shared" si="77"/>
        <v>5.0000000000000044E-2</v>
      </c>
      <c r="AL217" s="1">
        <f t="shared" si="77"/>
        <v>4.9999999999999933E-2</v>
      </c>
      <c r="AM217" s="1">
        <f t="shared" si="77"/>
        <v>4.9999999999999489E-2</v>
      </c>
      <c r="AN217" s="1">
        <f t="shared" si="77"/>
        <v>5.0000000000000488E-2</v>
      </c>
      <c r="AO217" s="1">
        <f t="shared" si="77"/>
        <v>5.0000000000000044E-2</v>
      </c>
    </row>
    <row r="218" spans="2:41">
      <c r="B218" s="1">
        <f t="shared" si="74"/>
        <v>5.0000000000000044E-2</v>
      </c>
      <c r="C218" s="1">
        <f t="shared" si="74"/>
        <v>4.9999999999999933E-2</v>
      </c>
      <c r="D218" s="1">
        <f t="shared" si="74"/>
        <v>5.0000000000000044E-2</v>
      </c>
      <c r="E218" s="1">
        <f t="shared" si="74"/>
        <v>4.9999999999999933E-2</v>
      </c>
      <c r="F218" s="1">
        <f t="shared" si="74"/>
        <v>5.0000000000000044E-2</v>
      </c>
      <c r="G218" s="1">
        <f t="shared" si="74"/>
        <v>5.0000000000000044E-2</v>
      </c>
      <c r="H218" s="1">
        <f t="shared" si="74"/>
        <v>4.9999999999999933E-2</v>
      </c>
      <c r="I218" s="1">
        <f t="shared" si="74"/>
        <v>5.0000000000000044E-2</v>
      </c>
      <c r="J218" s="1">
        <f t="shared" si="74"/>
        <v>4.9999999999999933E-2</v>
      </c>
      <c r="K218" s="1">
        <f t="shared" si="74"/>
        <v>5.0000000000000044E-2</v>
      </c>
      <c r="L218" s="1">
        <f t="shared" si="75"/>
        <v>4.9999999999999989E-2</v>
      </c>
      <c r="M218" s="1">
        <f t="shared" si="75"/>
        <v>4.9999999999999989E-2</v>
      </c>
      <c r="N218" s="1">
        <f t="shared" si="75"/>
        <v>5.0000000000000044E-2</v>
      </c>
      <c r="O218" s="1">
        <f t="shared" si="75"/>
        <v>4.9999999999999989E-2</v>
      </c>
      <c r="P218" s="1">
        <f t="shared" si="75"/>
        <v>4.9999999999999989E-2</v>
      </c>
      <c r="Q218" s="1">
        <f t="shared" si="75"/>
        <v>4.9999999999999989E-2</v>
      </c>
      <c r="R218" s="1">
        <f t="shared" si="75"/>
        <v>5.0000000000000017E-2</v>
      </c>
      <c r="S218" s="1">
        <f t="shared" si="75"/>
        <v>4.9999999999999989E-2</v>
      </c>
      <c r="T218" s="1">
        <f t="shared" si="75"/>
        <v>0.05</v>
      </c>
      <c r="U218" s="1">
        <f t="shared" si="75"/>
        <v>4.9999999999999781E-2</v>
      </c>
      <c r="V218" s="1">
        <f t="shared" si="76"/>
        <v>5.0000000000000225E-2</v>
      </c>
      <c r="W218" s="1">
        <f t="shared" si="76"/>
        <v>4.9999999999999642E-2</v>
      </c>
      <c r="X218" s="1">
        <f t="shared" si="76"/>
        <v>5.000000000000035E-2</v>
      </c>
      <c r="Y218" s="1">
        <f t="shared" si="76"/>
        <v>5.0000000000000017E-2</v>
      </c>
      <c r="Z218" s="1">
        <f t="shared" si="76"/>
        <v>4.9999999999999989E-2</v>
      </c>
      <c r="AA218" s="1">
        <f t="shared" si="76"/>
        <v>4.9999999999999989E-2</v>
      </c>
      <c r="AB218" s="1">
        <f t="shared" si="76"/>
        <v>4.9999999999999989E-2</v>
      </c>
      <c r="AC218" s="1">
        <f t="shared" si="76"/>
        <v>5.0000000000000044E-2</v>
      </c>
      <c r="AD218" s="1">
        <f t="shared" si="76"/>
        <v>4.9999999999999989E-2</v>
      </c>
      <c r="AE218" s="1">
        <f t="shared" si="76"/>
        <v>4.9999999999999989E-2</v>
      </c>
      <c r="AF218" s="1">
        <f t="shared" si="77"/>
        <v>5.0000000000000044E-2</v>
      </c>
      <c r="AG218" s="1">
        <f t="shared" si="77"/>
        <v>4.9999999999999933E-2</v>
      </c>
      <c r="AH218" s="1">
        <f t="shared" si="77"/>
        <v>5.0000000000000044E-2</v>
      </c>
      <c r="AI218" s="1">
        <f t="shared" si="77"/>
        <v>4.9999999999999933E-2</v>
      </c>
      <c r="AJ218" s="1">
        <f t="shared" si="77"/>
        <v>5.0000000000000044E-2</v>
      </c>
      <c r="AK218" s="1">
        <f t="shared" si="77"/>
        <v>5.0000000000000044E-2</v>
      </c>
      <c r="AL218" s="1">
        <f t="shared" si="77"/>
        <v>4.9999999999999933E-2</v>
      </c>
      <c r="AM218" s="1">
        <f t="shared" si="77"/>
        <v>4.9999999999999489E-2</v>
      </c>
      <c r="AN218" s="1">
        <f t="shared" si="77"/>
        <v>5.0000000000000488E-2</v>
      </c>
      <c r="AO218" s="1">
        <f t="shared" si="77"/>
        <v>5.0000000000000044E-2</v>
      </c>
    </row>
    <row r="219" spans="2:41">
      <c r="B219" s="1">
        <f t="shared" si="74"/>
        <v>5.0000000000000044E-2</v>
      </c>
      <c r="C219" s="1">
        <f t="shared" si="74"/>
        <v>4.9999999999999933E-2</v>
      </c>
      <c r="D219" s="1">
        <f t="shared" si="74"/>
        <v>5.0000000000000044E-2</v>
      </c>
      <c r="E219" s="1">
        <f t="shared" si="74"/>
        <v>4.9999999999999933E-2</v>
      </c>
      <c r="F219" s="1">
        <f t="shared" si="74"/>
        <v>5.0000000000000044E-2</v>
      </c>
      <c r="G219" s="1">
        <f t="shared" si="74"/>
        <v>5.0000000000000044E-2</v>
      </c>
      <c r="H219" s="1">
        <f t="shared" si="74"/>
        <v>4.9999999999999933E-2</v>
      </c>
      <c r="I219" s="1">
        <f t="shared" si="74"/>
        <v>5.0000000000000044E-2</v>
      </c>
      <c r="J219" s="1">
        <f t="shared" si="74"/>
        <v>4.9999999999999933E-2</v>
      </c>
      <c r="K219" s="1">
        <f t="shared" si="74"/>
        <v>5.0000000000000044E-2</v>
      </c>
      <c r="L219" s="1">
        <f t="shared" si="75"/>
        <v>4.9999999999999989E-2</v>
      </c>
      <c r="M219" s="1">
        <f t="shared" si="75"/>
        <v>4.9999999999999989E-2</v>
      </c>
      <c r="N219" s="1">
        <f t="shared" si="75"/>
        <v>5.0000000000000044E-2</v>
      </c>
      <c r="O219" s="1">
        <f t="shared" si="75"/>
        <v>4.9999999999999989E-2</v>
      </c>
      <c r="P219" s="1">
        <f t="shared" si="75"/>
        <v>4.9999999999999989E-2</v>
      </c>
      <c r="Q219" s="1">
        <f t="shared" si="75"/>
        <v>4.9999999999999989E-2</v>
      </c>
      <c r="R219" s="1">
        <f t="shared" si="75"/>
        <v>5.0000000000000017E-2</v>
      </c>
      <c r="S219" s="1">
        <f t="shared" si="75"/>
        <v>4.9999999999999989E-2</v>
      </c>
      <c r="T219" s="1">
        <f t="shared" si="75"/>
        <v>0.05</v>
      </c>
      <c r="U219" s="1">
        <f t="shared" si="75"/>
        <v>4.9999999999999781E-2</v>
      </c>
      <c r="V219" s="1">
        <f t="shared" si="76"/>
        <v>5.0000000000000225E-2</v>
      </c>
      <c r="W219" s="1">
        <f t="shared" si="76"/>
        <v>4.9999999999999642E-2</v>
      </c>
      <c r="X219" s="1">
        <f t="shared" si="76"/>
        <v>5.000000000000035E-2</v>
      </c>
      <c r="Y219" s="1">
        <f t="shared" si="76"/>
        <v>5.0000000000000017E-2</v>
      </c>
      <c r="Z219" s="1">
        <f t="shared" si="76"/>
        <v>4.9999999999999989E-2</v>
      </c>
      <c r="AA219" s="1">
        <f t="shared" si="76"/>
        <v>4.9999999999999989E-2</v>
      </c>
      <c r="AB219" s="1">
        <f t="shared" si="76"/>
        <v>4.9999999999999989E-2</v>
      </c>
      <c r="AC219" s="1">
        <f t="shared" si="76"/>
        <v>5.0000000000000044E-2</v>
      </c>
      <c r="AD219" s="1">
        <f t="shared" si="76"/>
        <v>4.9999999999999989E-2</v>
      </c>
      <c r="AE219" s="1">
        <f t="shared" si="76"/>
        <v>4.9999999999999989E-2</v>
      </c>
      <c r="AF219" s="1">
        <f t="shared" si="77"/>
        <v>5.0000000000000044E-2</v>
      </c>
      <c r="AG219" s="1">
        <f t="shared" si="77"/>
        <v>4.9999999999999933E-2</v>
      </c>
      <c r="AH219" s="1">
        <f t="shared" si="77"/>
        <v>5.0000000000000044E-2</v>
      </c>
      <c r="AI219" s="1">
        <f t="shared" si="77"/>
        <v>4.9999999999999933E-2</v>
      </c>
      <c r="AJ219" s="1">
        <f t="shared" si="77"/>
        <v>5.0000000000000044E-2</v>
      </c>
      <c r="AK219" s="1">
        <f t="shared" si="77"/>
        <v>5.0000000000000044E-2</v>
      </c>
      <c r="AL219" s="1">
        <f t="shared" si="77"/>
        <v>4.9999999999999933E-2</v>
      </c>
      <c r="AM219" s="1">
        <f t="shared" si="77"/>
        <v>4.9999999999999489E-2</v>
      </c>
      <c r="AN219" s="1">
        <f t="shared" si="77"/>
        <v>5.0000000000000488E-2</v>
      </c>
      <c r="AO219" s="1">
        <f t="shared" si="77"/>
        <v>5.0000000000000044E-2</v>
      </c>
    </row>
    <row r="220" spans="2:41">
      <c r="B220" s="1">
        <f t="shared" si="74"/>
        <v>5.0000000000000044E-2</v>
      </c>
      <c r="C220" s="1">
        <f t="shared" si="74"/>
        <v>4.9999999999999933E-2</v>
      </c>
      <c r="D220" s="1">
        <f t="shared" si="74"/>
        <v>5.0000000000000044E-2</v>
      </c>
      <c r="E220" s="1">
        <f t="shared" si="74"/>
        <v>4.9999999999999933E-2</v>
      </c>
      <c r="F220" s="1">
        <f t="shared" si="74"/>
        <v>5.0000000000000044E-2</v>
      </c>
      <c r="G220" s="1">
        <f t="shared" si="74"/>
        <v>5.0000000000000044E-2</v>
      </c>
      <c r="H220" s="1">
        <f t="shared" si="74"/>
        <v>4.9999999999999933E-2</v>
      </c>
      <c r="I220" s="1">
        <f t="shared" si="74"/>
        <v>5.0000000000000044E-2</v>
      </c>
      <c r="J220" s="1">
        <f t="shared" si="74"/>
        <v>4.9999999999999933E-2</v>
      </c>
      <c r="K220" s="1">
        <f t="shared" si="74"/>
        <v>5.0000000000000044E-2</v>
      </c>
      <c r="L220" s="1">
        <f t="shared" si="75"/>
        <v>4.9999999999999989E-2</v>
      </c>
      <c r="M220" s="1">
        <f t="shared" si="75"/>
        <v>4.9999999999999989E-2</v>
      </c>
      <c r="N220" s="1">
        <f t="shared" si="75"/>
        <v>5.0000000000000044E-2</v>
      </c>
      <c r="O220" s="1">
        <f t="shared" si="75"/>
        <v>4.9999999999999989E-2</v>
      </c>
      <c r="P220" s="1">
        <f t="shared" si="75"/>
        <v>4.9999999999999989E-2</v>
      </c>
      <c r="Q220" s="1">
        <f t="shared" si="75"/>
        <v>4.9999999999999989E-2</v>
      </c>
      <c r="R220" s="1">
        <f t="shared" si="75"/>
        <v>5.0000000000000017E-2</v>
      </c>
      <c r="S220" s="1">
        <f t="shared" si="75"/>
        <v>4.9999999999999989E-2</v>
      </c>
      <c r="T220" s="1">
        <f t="shared" si="75"/>
        <v>0.05</v>
      </c>
      <c r="U220" s="1">
        <f t="shared" si="75"/>
        <v>4.9999999999999781E-2</v>
      </c>
      <c r="V220" s="1">
        <f t="shared" si="76"/>
        <v>5.0000000000000225E-2</v>
      </c>
      <c r="W220" s="1">
        <f t="shared" si="76"/>
        <v>4.9999999999999642E-2</v>
      </c>
      <c r="X220" s="1">
        <f t="shared" si="76"/>
        <v>5.000000000000035E-2</v>
      </c>
      <c r="Y220" s="1">
        <f t="shared" si="76"/>
        <v>5.0000000000000017E-2</v>
      </c>
      <c r="Z220" s="1">
        <f t="shared" si="76"/>
        <v>4.9999999999999989E-2</v>
      </c>
      <c r="AA220" s="1">
        <f t="shared" si="76"/>
        <v>4.9999999999999989E-2</v>
      </c>
      <c r="AB220" s="1">
        <f t="shared" si="76"/>
        <v>4.9999999999999989E-2</v>
      </c>
      <c r="AC220" s="1">
        <f t="shared" si="76"/>
        <v>5.0000000000000044E-2</v>
      </c>
      <c r="AD220" s="1">
        <f t="shared" si="76"/>
        <v>4.9999999999999989E-2</v>
      </c>
      <c r="AE220" s="1">
        <f t="shared" si="76"/>
        <v>4.9999999999999989E-2</v>
      </c>
      <c r="AF220" s="1">
        <f t="shared" si="77"/>
        <v>5.0000000000000044E-2</v>
      </c>
      <c r="AG220" s="1">
        <f t="shared" si="77"/>
        <v>4.9999999999999933E-2</v>
      </c>
      <c r="AH220" s="1">
        <f t="shared" si="77"/>
        <v>5.0000000000000044E-2</v>
      </c>
      <c r="AI220" s="1">
        <f t="shared" si="77"/>
        <v>4.9999999999999933E-2</v>
      </c>
      <c r="AJ220" s="1">
        <f t="shared" si="77"/>
        <v>5.0000000000000044E-2</v>
      </c>
      <c r="AK220" s="1">
        <f t="shared" si="77"/>
        <v>5.0000000000000044E-2</v>
      </c>
      <c r="AL220" s="1">
        <f t="shared" si="77"/>
        <v>4.9999999999999933E-2</v>
      </c>
      <c r="AM220" s="1">
        <f t="shared" si="77"/>
        <v>4.9999999999999489E-2</v>
      </c>
      <c r="AN220" s="1">
        <f t="shared" si="77"/>
        <v>5.0000000000000488E-2</v>
      </c>
      <c r="AO220" s="1">
        <f t="shared" si="77"/>
        <v>5.0000000000000044E-2</v>
      </c>
    </row>
    <row r="221" spans="2:41">
      <c r="B221" s="1">
        <f t="shared" si="74"/>
        <v>5.0000000000000044E-2</v>
      </c>
      <c r="C221" s="1">
        <f t="shared" si="74"/>
        <v>4.9999999999999933E-2</v>
      </c>
      <c r="D221" s="1">
        <f t="shared" si="74"/>
        <v>5.0000000000000044E-2</v>
      </c>
      <c r="E221" s="1">
        <f t="shared" si="74"/>
        <v>4.9999999999999933E-2</v>
      </c>
      <c r="F221" s="1">
        <f t="shared" si="74"/>
        <v>5.0000000000000044E-2</v>
      </c>
      <c r="G221" s="1">
        <f t="shared" si="74"/>
        <v>5.0000000000000044E-2</v>
      </c>
      <c r="H221" s="1">
        <f t="shared" si="74"/>
        <v>4.9999999999999933E-2</v>
      </c>
      <c r="I221" s="1">
        <f t="shared" si="74"/>
        <v>5.0000000000000044E-2</v>
      </c>
      <c r="J221" s="1">
        <f t="shared" si="74"/>
        <v>4.9999999999999933E-2</v>
      </c>
      <c r="K221" s="1">
        <f t="shared" si="74"/>
        <v>5.0000000000000044E-2</v>
      </c>
      <c r="L221" s="1">
        <f t="shared" si="75"/>
        <v>4.9999999999999989E-2</v>
      </c>
      <c r="M221" s="1">
        <f t="shared" si="75"/>
        <v>4.9999999999999989E-2</v>
      </c>
      <c r="N221" s="1">
        <f t="shared" si="75"/>
        <v>5.0000000000000044E-2</v>
      </c>
      <c r="O221" s="1">
        <f t="shared" si="75"/>
        <v>4.9999999999999989E-2</v>
      </c>
      <c r="P221" s="1">
        <f t="shared" si="75"/>
        <v>4.9999999999999989E-2</v>
      </c>
      <c r="Q221" s="1">
        <f t="shared" si="75"/>
        <v>4.9999999999999989E-2</v>
      </c>
      <c r="R221" s="1">
        <f t="shared" si="75"/>
        <v>5.0000000000000017E-2</v>
      </c>
      <c r="S221" s="1">
        <f t="shared" si="75"/>
        <v>4.9999999999999989E-2</v>
      </c>
      <c r="T221" s="1">
        <f t="shared" si="75"/>
        <v>0.05</v>
      </c>
      <c r="U221" s="1">
        <f t="shared" si="75"/>
        <v>4.9999999999999781E-2</v>
      </c>
      <c r="V221" s="1">
        <f t="shared" si="76"/>
        <v>5.0000000000000225E-2</v>
      </c>
      <c r="W221" s="1">
        <f t="shared" si="76"/>
        <v>4.9999999999999642E-2</v>
      </c>
      <c r="X221" s="1">
        <f t="shared" si="76"/>
        <v>5.000000000000035E-2</v>
      </c>
      <c r="Y221" s="1">
        <f t="shared" si="76"/>
        <v>5.0000000000000017E-2</v>
      </c>
      <c r="Z221" s="1">
        <f t="shared" si="76"/>
        <v>4.9999999999999989E-2</v>
      </c>
      <c r="AA221" s="1">
        <f t="shared" si="76"/>
        <v>4.9999999999999989E-2</v>
      </c>
      <c r="AB221" s="1">
        <f t="shared" si="76"/>
        <v>4.9999999999999989E-2</v>
      </c>
      <c r="AC221" s="1">
        <f t="shared" si="76"/>
        <v>5.0000000000000044E-2</v>
      </c>
      <c r="AD221" s="1">
        <f t="shared" si="76"/>
        <v>4.9999999999999989E-2</v>
      </c>
      <c r="AE221" s="1">
        <f t="shared" si="76"/>
        <v>4.9999999999999989E-2</v>
      </c>
      <c r="AF221" s="1">
        <f t="shared" si="77"/>
        <v>5.0000000000000044E-2</v>
      </c>
      <c r="AG221" s="1">
        <f t="shared" si="77"/>
        <v>4.9999999999999933E-2</v>
      </c>
      <c r="AH221" s="1">
        <f t="shared" si="77"/>
        <v>5.0000000000000044E-2</v>
      </c>
      <c r="AI221" s="1">
        <f t="shared" si="77"/>
        <v>4.9999999999999933E-2</v>
      </c>
      <c r="AJ221" s="1">
        <f t="shared" si="77"/>
        <v>5.0000000000000044E-2</v>
      </c>
      <c r="AK221" s="1">
        <f t="shared" si="77"/>
        <v>5.0000000000000044E-2</v>
      </c>
      <c r="AL221" s="1">
        <f t="shared" si="77"/>
        <v>4.9999999999999933E-2</v>
      </c>
      <c r="AM221" s="1">
        <f t="shared" si="77"/>
        <v>4.9999999999999489E-2</v>
      </c>
      <c r="AN221" s="1">
        <f t="shared" si="77"/>
        <v>5.0000000000000488E-2</v>
      </c>
      <c r="AO221" s="1">
        <f t="shared" si="77"/>
        <v>5.0000000000000044E-2</v>
      </c>
    </row>
    <row r="222" spans="2:41">
      <c r="B222" s="1">
        <f t="shared" si="74"/>
        <v>5.0000000000000044E-2</v>
      </c>
      <c r="C222" s="1">
        <f t="shared" si="74"/>
        <v>4.9999999999999933E-2</v>
      </c>
      <c r="D222" s="1">
        <f t="shared" si="74"/>
        <v>5.0000000000000044E-2</v>
      </c>
      <c r="E222" s="1">
        <f t="shared" si="74"/>
        <v>4.9999999999999933E-2</v>
      </c>
      <c r="F222" s="1">
        <f t="shared" si="74"/>
        <v>5.0000000000000044E-2</v>
      </c>
      <c r="G222" s="1">
        <f t="shared" si="74"/>
        <v>5.0000000000000044E-2</v>
      </c>
      <c r="H222" s="1">
        <f t="shared" si="74"/>
        <v>4.9999999999999933E-2</v>
      </c>
      <c r="I222" s="1">
        <f t="shared" si="74"/>
        <v>5.0000000000000044E-2</v>
      </c>
      <c r="J222" s="1">
        <f t="shared" si="74"/>
        <v>4.9999999999999933E-2</v>
      </c>
      <c r="K222" s="1">
        <f t="shared" si="74"/>
        <v>5.0000000000000044E-2</v>
      </c>
      <c r="L222" s="1">
        <f t="shared" si="75"/>
        <v>4.9999999999999989E-2</v>
      </c>
      <c r="M222" s="1">
        <f t="shared" si="75"/>
        <v>4.9999999999999989E-2</v>
      </c>
      <c r="N222" s="1">
        <f t="shared" si="75"/>
        <v>5.0000000000000044E-2</v>
      </c>
      <c r="O222" s="1">
        <f t="shared" si="75"/>
        <v>4.9999999999999989E-2</v>
      </c>
      <c r="P222" s="1">
        <f t="shared" si="75"/>
        <v>4.9999999999999989E-2</v>
      </c>
      <c r="Q222" s="1">
        <f t="shared" si="75"/>
        <v>4.9999999999999989E-2</v>
      </c>
      <c r="R222" s="1">
        <f t="shared" si="75"/>
        <v>5.0000000000000017E-2</v>
      </c>
      <c r="S222" s="1">
        <f t="shared" si="75"/>
        <v>4.9999999999999989E-2</v>
      </c>
      <c r="T222" s="1">
        <f t="shared" si="75"/>
        <v>0.05</v>
      </c>
      <c r="U222" s="1">
        <f t="shared" si="75"/>
        <v>4.9999999999999781E-2</v>
      </c>
      <c r="V222" s="1">
        <f t="shared" si="76"/>
        <v>5.0000000000000225E-2</v>
      </c>
      <c r="W222" s="1">
        <f t="shared" si="76"/>
        <v>4.9999999999999642E-2</v>
      </c>
      <c r="X222" s="1">
        <f t="shared" si="76"/>
        <v>5.000000000000035E-2</v>
      </c>
      <c r="Y222" s="1">
        <f t="shared" si="76"/>
        <v>5.0000000000000017E-2</v>
      </c>
      <c r="Z222" s="1">
        <f t="shared" si="76"/>
        <v>4.9999999999999989E-2</v>
      </c>
      <c r="AA222" s="1">
        <f t="shared" si="76"/>
        <v>4.9999999999999989E-2</v>
      </c>
      <c r="AB222" s="1">
        <f t="shared" si="76"/>
        <v>4.9999999999999989E-2</v>
      </c>
      <c r="AC222" s="1">
        <f t="shared" si="76"/>
        <v>5.0000000000000044E-2</v>
      </c>
      <c r="AD222" s="1">
        <f t="shared" si="76"/>
        <v>4.9999999999999989E-2</v>
      </c>
      <c r="AE222" s="1">
        <f t="shared" si="76"/>
        <v>4.9999999999999989E-2</v>
      </c>
      <c r="AF222" s="1">
        <f t="shared" si="77"/>
        <v>5.0000000000000044E-2</v>
      </c>
      <c r="AG222" s="1">
        <f t="shared" si="77"/>
        <v>4.9999999999999933E-2</v>
      </c>
      <c r="AH222" s="1">
        <f t="shared" si="77"/>
        <v>5.0000000000000044E-2</v>
      </c>
      <c r="AI222" s="1">
        <f t="shared" si="77"/>
        <v>4.9999999999999933E-2</v>
      </c>
      <c r="AJ222" s="1">
        <f t="shared" si="77"/>
        <v>5.0000000000000044E-2</v>
      </c>
      <c r="AK222" s="1">
        <f t="shared" si="77"/>
        <v>5.0000000000000044E-2</v>
      </c>
      <c r="AL222" s="1">
        <f t="shared" si="77"/>
        <v>4.9999999999999933E-2</v>
      </c>
      <c r="AM222" s="1">
        <f t="shared" si="77"/>
        <v>4.9999999999999489E-2</v>
      </c>
      <c r="AN222" s="1">
        <f t="shared" si="77"/>
        <v>5.0000000000000488E-2</v>
      </c>
      <c r="AO222" s="1">
        <f t="shared" si="77"/>
        <v>5.0000000000000044E-2</v>
      </c>
    </row>
    <row r="223" spans="2:41">
      <c r="B223" s="1">
        <f t="shared" si="74"/>
        <v>5.0000000000000044E-2</v>
      </c>
      <c r="C223" s="1">
        <f t="shared" si="74"/>
        <v>4.9999999999999933E-2</v>
      </c>
      <c r="D223" s="1">
        <f t="shared" si="74"/>
        <v>5.0000000000000044E-2</v>
      </c>
      <c r="E223" s="1">
        <f t="shared" si="74"/>
        <v>4.9999999999999933E-2</v>
      </c>
      <c r="F223" s="1">
        <f t="shared" si="74"/>
        <v>5.0000000000000044E-2</v>
      </c>
      <c r="G223" s="1">
        <f t="shared" si="74"/>
        <v>5.0000000000000044E-2</v>
      </c>
      <c r="H223" s="1">
        <f t="shared" si="74"/>
        <v>4.9999999999999933E-2</v>
      </c>
      <c r="I223" s="1">
        <f t="shared" si="74"/>
        <v>5.0000000000000044E-2</v>
      </c>
      <c r="J223" s="1">
        <f t="shared" si="74"/>
        <v>4.9999999999999933E-2</v>
      </c>
      <c r="K223" s="1">
        <f t="shared" si="74"/>
        <v>5.0000000000000044E-2</v>
      </c>
      <c r="L223" s="1">
        <f t="shared" si="75"/>
        <v>4.9999999999999989E-2</v>
      </c>
      <c r="M223" s="1">
        <f t="shared" si="75"/>
        <v>4.9999999999999989E-2</v>
      </c>
      <c r="N223" s="1">
        <f t="shared" si="75"/>
        <v>5.0000000000000044E-2</v>
      </c>
      <c r="O223" s="1">
        <f t="shared" si="75"/>
        <v>4.9999999999999989E-2</v>
      </c>
      <c r="P223" s="1">
        <f t="shared" si="75"/>
        <v>4.9999999999999989E-2</v>
      </c>
      <c r="Q223" s="1">
        <f t="shared" si="75"/>
        <v>4.9999999999999989E-2</v>
      </c>
      <c r="R223" s="1">
        <f t="shared" si="75"/>
        <v>5.0000000000000017E-2</v>
      </c>
      <c r="S223" s="1">
        <f t="shared" si="75"/>
        <v>4.9999999999999989E-2</v>
      </c>
      <c r="T223" s="1">
        <f t="shared" si="75"/>
        <v>0.05</v>
      </c>
      <c r="U223" s="1">
        <f t="shared" si="75"/>
        <v>4.9999999999999781E-2</v>
      </c>
      <c r="V223" s="1">
        <f t="shared" si="76"/>
        <v>5.0000000000000225E-2</v>
      </c>
      <c r="W223" s="1">
        <f t="shared" si="76"/>
        <v>4.9999999999999642E-2</v>
      </c>
      <c r="X223" s="1">
        <f t="shared" si="76"/>
        <v>5.000000000000035E-2</v>
      </c>
      <c r="Y223" s="1">
        <f t="shared" si="76"/>
        <v>5.0000000000000017E-2</v>
      </c>
      <c r="Z223" s="1">
        <f t="shared" si="76"/>
        <v>4.9999999999999989E-2</v>
      </c>
      <c r="AA223" s="1">
        <f t="shared" si="76"/>
        <v>4.9999999999999989E-2</v>
      </c>
      <c r="AB223" s="1">
        <f t="shared" si="76"/>
        <v>4.9999999999999989E-2</v>
      </c>
      <c r="AC223" s="1">
        <f t="shared" si="76"/>
        <v>5.0000000000000044E-2</v>
      </c>
      <c r="AD223" s="1">
        <f t="shared" si="76"/>
        <v>4.9999999999999989E-2</v>
      </c>
      <c r="AE223" s="1">
        <f t="shared" si="76"/>
        <v>4.9999999999999989E-2</v>
      </c>
      <c r="AF223" s="1">
        <f t="shared" si="77"/>
        <v>5.0000000000000044E-2</v>
      </c>
      <c r="AG223" s="1">
        <f t="shared" si="77"/>
        <v>4.9999999999999933E-2</v>
      </c>
      <c r="AH223" s="1">
        <f t="shared" si="77"/>
        <v>5.0000000000000044E-2</v>
      </c>
      <c r="AI223" s="1">
        <f t="shared" si="77"/>
        <v>4.9999999999999933E-2</v>
      </c>
      <c r="AJ223" s="1">
        <f t="shared" si="77"/>
        <v>5.0000000000000044E-2</v>
      </c>
      <c r="AK223" s="1">
        <f t="shared" si="77"/>
        <v>5.0000000000000044E-2</v>
      </c>
      <c r="AL223" s="1">
        <f t="shared" si="77"/>
        <v>4.9999999999999933E-2</v>
      </c>
      <c r="AM223" s="1">
        <f t="shared" si="77"/>
        <v>4.9999999999999489E-2</v>
      </c>
      <c r="AN223" s="1">
        <f t="shared" si="77"/>
        <v>5.0000000000000488E-2</v>
      </c>
      <c r="AO223" s="1">
        <f t="shared" si="77"/>
        <v>5.0000000000000044E-2</v>
      </c>
    </row>
    <row r="224" spans="2:41">
      <c r="B224" s="1">
        <f t="shared" si="74"/>
        <v>5.0000000000000044E-2</v>
      </c>
      <c r="C224" s="1">
        <f t="shared" si="74"/>
        <v>4.9999999999999933E-2</v>
      </c>
      <c r="D224" s="1">
        <f t="shared" si="74"/>
        <v>5.0000000000000044E-2</v>
      </c>
      <c r="E224" s="1">
        <f t="shared" si="74"/>
        <v>4.9999999999999933E-2</v>
      </c>
      <c r="F224" s="1">
        <f t="shared" si="74"/>
        <v>5.0000000000000044E-2</v>
      </c>
      <c r="G224" s="1">
        <f t="shared" si="74"/>
        <v>5.0000000000000044E-2</v>
      </c>
      <c r="H224" s="1">
        <f t="shared" si="74"/>
        <v>4.9999999999999933E-2</v>
      </c>
      <c r="I224" s="1">
        <f t="shared" si="74"/>
        <v>5.0000000000000044E-2</v>
      </c>
      <c r="J224" s="1">
        <f t="shared" si="74"/>
        <v>4.9999999999999933E-2</v>
      </c>
      <c r="K224" s="1">
        <f t="shared" si="74"/>
        <v>5.0000000000000044E-2</v>
      </c>
      <c r="L224" s="1">
        <f t="shared" si="75"/>
        <v>4.9999999999999989E-2</v>
      </c>
      <c r="M224" s="1">
        <f t="shared" si="75"/>
        <v>4.9999999999999989E-2</v>
      </c>
      <c r="N224" s="1">
        <f t="shared" si="75"/>
        <v>5.0000000000000044E-2</v>
      </c>
      <c r="O224" s="1">
        <f t="shared" si="75"/>
        <v>4.9999999999999989E-2</v>
      </c>
      <c r="P224" s="1">
        <f t="shared" si="75"/>
        <v>4.9999999999999989E-2</v>
      </c>
      <c r="Q224" s="1">
        <f t="shared" si="75"/>
        <v>4.9999999999999989E-2</v>
      </c>
      <c r="R224" s="1">
        <f t="shared" si="75"/>
        <v>5.0000000000000017E-2</v>
      </c>
      <c r="S224" s="1">
        <f t="shared" si="75"/>
        <v>4.9999999999999989E-2</v>
      </c>
      <c r="T224" s="1">
        <f t="shared" si="75"/>
        <v>0.05</v>
      </c>
      <c r="U224" s="1">
        <f t="shared" si="75"/>
        <v>4.9999999999999781E-2</v>
      </c>
      <c r="V224" s="1">
        <f t="shared" si="76"/>
        <v>5.0000000000000225E-2</v>
      </c>
      <c r="W224" s="1">
        <f t="shared" si="76"/>
        <v>4.9999999999999642E-2</v>
      </c>
      <c r="X224" s="1">
        <f t="shared" si="76"/>
        <v>5.000000000000035E-2</v>
      </c>
      <c r="Y224" s="1">
        <f t="shared" si="76"/>
        <v>5.0000000000000017E-2</v>
      </c>
      <c r="Z224" s="1">
        <f t="shared" si="76"/>
        <v>4.9999999999999989E-2</v>
      </c>
      <c r="AA224" s="1">
        <f t="shared" si="76"/>
        <v>4.9999999999999989E-2</v>
      </c>
      <c r="AB224" s="1">
        <f t="shared" si="76"/>
        <v>4.9999999999999989E-2</v>
      </c>
      <c r="AC224" s="1">
        <f t="shared" si="76"/>
        <v>5.0000000000000044E-2</v>
      </c>
      <c r="AD224" s="1">
        <f t="shared" si="76"/>
        <v>4.9999999999999989E-2</v>
      </c>
      <c r="AE224" s="1">
        <f t="shared" si="76"/>
        <v>4.9999999999999989E-2</v>
      </c>
      <c r="AF224" s="1">
        <f t="shared" si="77"/>
        <v>5.0000000000000044E-2</v>
      </c>
      <c r="AG224" s="1">
        <f t="shared" si="77"/>
        <v>4.9999999999999933E-2</v>
      </c>
      <c r="AH224" s="1">
        <f t="shared" si="77"/>
        <v>5.0000000000000044E-2</v>
      </c>
      <c r="AI224" s="1">
        <f t="shared" si="77"/>
        <v>4.9999999999999933E-2</v>
      </c>
      <c r="AJ224" s="1">
        <f t="shared" si="77"/>
        <v>5.0000000000000044E-2</v>
      </c>
      <c r="AK224" s="1">
        <f t="shared" si="77"/>
        <v>5.0000000000000044E-2</v>
      </c>
      <c r="AL224" s="1">
        <f t="shared" si="77"/>
        <v>4.9999999999999933E-2</v>
      </c>
      <c r="AM224" s="1">
        <f t="shared" si="77"/>
        <v>4.9999999999999489E-2</v>
      </c>
      <c r="AN224" s="1">
        <f t="shared" si="77"/>
        <v>5.0000000000000488E-2</v>
      </c>
      <c r="AO224" s="1">
        <f t="shared" si="77"/>
        <v>5.0000000000000044E-2</v>
      </c>
    </row>
    <row r="225" spans="2:41">
      <c r="B225" s="1">
        <f t="shared" ref="B225:K234" si="78">B$109-B$107</f>
        <v>5.0000000000000044E-2</v>
      </c>
      <c r="C225" s="1">
        <f t="shared" si="78"/>
        <v>4.9999999999999933E-2</v>
      </c>
      <c r="D225" s="1">
        <f t="shared" si="78"/>
        <v>5.0000000000000044E-2</v>
      </c>
      <c r="E225" s="1">
        <f t="shared" si="78"/>
        <v>4.9999999999999933E-2</v>
      </c>
      <c r="F225" s="1">
        <f t="shared" si="78"/>
        <v>5.0000000000000044E-2</v>
      </c>
      <c r="G225" s="1">
        <f t="shared" si="78"/>
        <v>5.0000000000000044E-2</v>
      </c>
      <c r="H225" s="1">
        <f t="shared" si="78"/>
        <v>4.9999999999999933E-2</v>
      </c>
      <c r="I225" s="1">
        <f t="shared" si="78"/>
        <v>5.0000000000000044E-2</v>
      </c>
      <c r="J225" s="1">
        <f t="shared" si="78"/>
        <v>4.9999999999999933E-2</v>
      </c>
      <c r="K225" s="1">
        <f t="shared" si="78"/>
        <v>5.0000000000000044E-2</v>
      </c>
      <c r="L225" s="1">
        <f t="shared" ref="L225:U234" si="79">L$109-L$107</f>
        <v>4.9999999999999989E-2</v>
      </c>
      <c r="M225" s="1">
        <f t="shared" si="79"/>
        <v>4.9999999999999989E-2</v>
      </c>
      <c r="N225" s="1">
        <f t="shared" si="79"/>
        <v>5.0000000000000044E-2</v>
      </c>
      <c r="O225" s="1">
        <f t="shared" si="79"/>
        <v>4.9999999999999989E-2</v>
      </c>
      <c r="P225" s="1">
        <f t="shared" si="79"/>
        <v>4.9999999999999989E-2</v>
      </c>
      <c r="Q225" s="1">
        <f t="shared" si="79"/>
        <v>4.9999999999999989E-2</v>
      </c>
      <c r="R225" s="1">
        <f t="shared" si="79"/>
        <v>5.0000000000000017E-2</v>
      </c>
      <c r="S225" s="1">
        <f t="shared" si="79"/>
        <v>4.9999999999999989E-2</v>
      </c>
      <c r="T225" s="1">
        <f t="shared" si="79"/>
        <v>0.05</v>
      </c>
      <c r="U225" s="1">
        <f t="shared" si="79"/>
        <v>4.9999999999999781E-2</v>
      </c>
      <c r="V225" s="1">
        <f t="shared" ref="V225:AE234" si="80">V$109-V$107</f>
        <v>5.0000000000000225E-2</v>
      </c>
      <c r="W225" s="1">
        <f t="shared" si="80"/>
        <v>4.9999999999999642E-2</v>
      </c>
      <c r="X225" s="1">
        <f t="shared" si="80"/>
        <v>5.000000000000035E-2</v>
      </c>
      <c r="Y225" s="1">
        <f t="shared" si="80"/>
        <v>5.0000000000000017E-2</v>
      </c>
      <c r="Z225" s="1">
        <f t="shared" si="80"/>
        <v>4.9999999999999989E-2</v>
      </c>
      <c r="AA225" s="1">
        <f t="shared" si="80"/>
        <v>4.9999999999999989E-2</v>
      </c>
      <c r="AB225" s="1">
        <f t="shared" si="80"/>
        <v>4.9999999999999989E-2</v>
      </c>
      <c r="AC225" s="1">
        <f t="shared" si="80"/>
        <v>5.0000000000000044E-2</v>
      </c>
      <c r="AD225" s="1">
        <f t="shared" si="80"/>
        <v>4.9999999999999989E-2</v>
      </c>
      <c r="AE225" s="1">
        <f t="shared" si="80"/>
        <v>4.9999999999999989E-2</v>
      </c>
      <c r="AF225" s="1">
        <f t="shared" ref="AF225:AO234" si="81">AF$109-AF$107</f>
        <v>5.0000000000000044E-2</v>
      </c>
      <c r="AG225" s="1">
        <f t="shared" si="81"/>
        <v>4.9999999999999933E-2</v>
      </c>
      <c r="AH225" s="1">
        <f t="shared" si="81"/>
        <v>5.0000000000000044E-2</v>
      </c>
      <c r="AI225" s="1">
        <f t="shared" si="81"/>
        <v>4.9999999999999933E-2</v>
      </c>
      <c r="AJ225" s="1">
        <f t="shared" si="81"/>
        <v>5.0000000000000044E-2</v>
      </c>
      <c r="AK225" s="1">
        <f t="shared" si="81"/>
        <v>5.0000000000000044E-2</v>
      </c>
      <c r="AL225" s="1">
        <f t="shared" si="81"/>
        <v>4.9999999999999933E-2</v>
      </c>
      <c r="AM225" s="1">
        <f t="shared" si="81"/>
        <v>4.9999999999999489E-2</v>
      </c>
      <c r="AN225" s="1">
        <f t="shared" si="81"/>
        <v>5.0000000000000488E-2</v>
      </c>
      <c r="AO225" s="1">
        <f t="shared" si="81"/>
        <v>5.0000000000000044E-2</v>
      </c>
    </row>
    <row r="226" spans="2:41">
      <c r="B226" s="1">
        <f t="shared" si="78"/>
        <v>5.0000000000000044E-2</v>
      </c>
      <c r="C226" s="1">
        <f t="shared" si="78"/>
        <v>4.9999999999999933E-2</v>
      </c>
      <c r="D226" s="1">
        <f t="shared" si="78"/>
        <v>5.0000000000000044E-2</v>
      </c>
      <c r="E226" s="1">
        <f t="shared" si="78"/>
        <v>4.9999999999999933E-2</v>
      </c>
      <c r="F226" s="1">
        <f t="shared" si="78"/>
        <v>5.0000000000000044E-2</v>
      </c>
      <c r="G226" s="1">
        <f t="shared" si="78"/>
        <v>5.0000000000000044E-2</v>
      </c>
      <c r="H226" s="1">
        <f t="shared" si="78"/>
        <v>4.9999999999999933E-2</v>
      </c>
      <c r="I226" s="1">
        <f t="shared" si="78"/>
        <v>5.0000000000000044E-2</v>
      </c>
      <c r="J226" s="1">
        <f t="shared" si="78"/>
        <v>4.9999999999999933E-2</v>
      </c>
      <c r="K226" s="1">
        <f t="shared" si="78"/>
        <v>5.0000000000000044E-2</v>
      </c>
      <c r="L226" s="1">
        <f t="shared" si="79"/>
        <v>4.9999999999999989E-2</v>
      </c>
      <c r="M226" s="1">
        <f t="shared" si="79"/>
        <v>4.9999999999999989E-2</v>
      </c>
      <c r="N226" s="1">
        <f t="shared" si="79"/>
        <v>5.0000000000000044E-2</v>
      </c>
      <c r="O226" s="1">
        <f t="shared" si="79"/>
        <v>4.9999999999999989E-2</v>
      </c>
      <c r="P226" s="1">
        <f t="shared" si="79"/>
        <v>4.9999999999999989E-2</v>
      </c>
      <c r="Q226" s="1">
        <f t="shared" si="79"/>
        <v>4.9999999999999989E-2</v>
      </c>
      <c r="R226" s="1">
        <f t="shared" si="79"/>
        <v>5.0000000000000017E-2</v>
      </c>
      <c r="S226" s="1">
        <f t="shared" si="79"/>
        <v>4.9999999999999989E-2</v>
      </c>
      <c r="T226" s="1">
        <f t="shared" si="79"/>
        <v>0.05</v>
      </c>
      <c r="U226" s="1">
        <f t="shared" si="79"/>
        <v>4.9999999999999781E-2</v>
      </c>
      <c r="V226" s="1">
        <f t="shared" si="80"/>
        <v>5.0000000000000225E-2</v>
      </c>
      <c r="W226" s="1">
        <f t="shared" si="80"/>
        <v>4.9999999999999642E-2</v>
      </c>
      <c r="X226" s="1">
        <f t="shared" si="80"/>
        <v>5.000000000000035E-2</v>
      </c>
      <c r="Y226" s="1">
        <f t="shared" si="80"/>
        <v>5.0000000000000017E-2</v>
      </c>
      <c r="Z226" s="1">
        <f t="shared" si="80"/>
        <v>4.9999999999999989E-2</v>
      </c>
      <c r="AA226" s="1">
        <f t="shared" si="80"/>
        <v>4.9999999999999989E-2</v>
      </c>
      <c r="AB226" s="1">
        <f t="shared" si="80"/>
        <v>4.9999999999999989E-2</v>
      </c>
      <c r="AC226" s="1">
        <f t="shared" si="80"/>
        <v>5.0000000000000044E-2</v>
      </c>
      <c r="AD226" s="1">
        <f t="shared" si="80"/>
        <v>4.9999999999999989E-2</v>
      </c>
      <c r="AE226" s="1">
        <f t="shared" si="80"/>
        <v>4.9999999999999989E-2</v>
      </c>
      <c r="AF226" s="1">
        <f t="shared" si="81"/>
        <v>5.0000000000000044E-2</v>
      </c>
      <c r="AG226" s="1">
        <f t="shared" si="81"/>
        <v>4.9999999999999933E-2</v>
      </c>
      <c r="AH226" s="1">
        <f t="shared" si="81"/>
        <v>5.0000000000000044E-2</v>
      </c>
      <c r="AI226" s="1">
        <f t="shared" si="81"/>
        <v>4.9999999999999933E-2</v>
      </c>
      <c r="AJ226" s="1">
        <f t="shared" si="81"/>
        <v>5.0000000000000044E-2</v>
      </c>
      <c r="AK226" s="1">
        <f t="shared" si="81"/>
        <v>5.0000000000000044E-2</v>
      </c>
      <c r="AL226" s="1">
        <f t="shared" si="81"/>
        <v>4.9999999999999933E-2</v>
      </c>
      <c r="AM226" s="1">
        <f t="shared" si="81"/>
        <v>4.9999999999999489E-2</v>
      </c>
      <c r="AN226" s="1">
        <f t="shared" si="81"/>
        <v>5.0000000000000488E-2</v>
      </c>
      <c r="AO226" s="1">
        <f t="shared" si="81"/>
        <v>5.0000000000000044E-2</v>
      </c>
    </row>
    <row r="227" spans="2:41">
      <c r="B227" s="1">
        <f t="shared" si="78"/>
        <v>5.0000000000000044E-2</v>
      </c>
      <c r="C227" s="1">
        <f t="shared" si="78"/>
        <v>4.9999999999999933E-2</v>
      </c>
      <c r="D227" s="1">
        <f t="shared" si="78"/>
        <v>5.0000000000000044E-2</v>
      </c>
      <c r="E227" s="1">
        <f t="shared" si="78"/>
        <v>4.9999999999999933E-2</v>
      </c>
      <c r="F227" s="1">
        <f t="shared" si="78"/>
        <v>5.0000000000000044E-2</v>
      </c>
      <c r="G227" s="1">
        <f t="shared" si="78"/>
        <v>5.0000000000000044E-2</v>
      </c>
      <c r="H227" s="1">
        <f t="shared" si="78"/>
        <v>4.9999999999999933E-2</v>
      </c>
      <c r="I227" s="1">
        <f t="shared" si="78"/>
        <v>5.0000000000000044E-2</v>
      </c>
      <c r="J227" s="1">
        <f t="shared" si="78"/>
        <v>4.9999999999999933E-2</v>
      </c>
      <c r="K227" s="1">
        <f t="shared" si="78"/>
        <v>5.0000000000000044E-2</v>
      </c>
      <c r="L227" s="1">
        <f t="shared" si="79"/>
        <v>4.9999999999999989E-2</v>
      </c>
      <c r="M227" s="1">
        <f t="shared" si="79"/>
        <v>4.9999999999999989E-2</v>
      </c>
      <c r="N227" s="1">
        <f t="shared" si="79"/>
        <v>5.0000000000000044E-2</v>
      </c>
      <c r="O227" s="1">
        <f t="shared" si="79"/>
        <v>4.9999999999999989E-2</v>
      </c>
      <c r="P227" s="1">
        <f t="shared" si="79"/>
        <v>4.9999999999999989E-2</v>
      </c>
      <c r="Q227" s="1">
        <f t="shared" si="79"/>
        <v>4.9999999999999989E-2</v>
      </c>
      <c r="R227" s="1">
        <f t="shared" si="79"/>
        <v>5.0000000000000017E-2</v>
      </c>
      <c r="S227" s="1">
        <f t="shared" si="79"/>
        <v>4.9999999999999989E-2</v>
      </c>
      <c r="T227" s="1">
        <f t="shared" si="79"/>
        <v>0.05</v>
      </c>
      <c r="U227" s="1">
        <f t="shared" si="79"/>
        <v>4.9999999999999781E-2</v>
      </c>
      <c r="V227" s="1">
        <f t="shared" si="80"/>
        <v>5.0000000000000225E-2</v>
      </c>
      <c r="W227" s="1">
        <f t="shared" si="80"/>
        <v>4.9999999999999642E-2</v>
      </c>
      <c r="X227" s="1">
        <f t="shared" si="80"/>
        <v>5.000000000000035E-2</v>
      </c>
      <c r="Y227" s="1">
        <f t="shared" si="80"/>
        <v>5.0000000000000017E-2</v>
      </c>
      <c r="Z227" s="1">
        <f t="shared" si="80"/>
        <v>4.9999999999999989E-2</v>
      </c>
      <c r="AA227" s="1">
        <f t="shared" si="80"/>
        <v>4.9999999999999989E-2</v>
      </c>
      <c r="AB227" s="1">
        <f t="shared" si="80"/>
        <v>4.9999999999999989E-2</v>
      </c>
      <c r="AC227" s="1">
        <f t="shared" si="80"/>
        <v>5.0000000000000044E-2</v>
      </c>
      <c r="AD227" s="1">
        <f t="shared" si="80"/>
        <v>4.9999999999999989E-2</v>
      </c>
      <c r="AE227" s="1">
        <f t="shared" si="80"/>
        <v>4.9999999999999989E-2</v>
      </c>
      <c r="AF227" s="1">
        <f t="shared" si="81"/>
        <v>5.0000000000000044E-2</v>
      </c>
      <c r="AG227" s="1">
        <f t="shared" si="81"/>
        <v>4.9999999999999933E-2</v>
      </c>
      <c r="AH227" s="1">
        <f t="shared" si="81"/>
        <v>5.0000000000000044E-2</v>
      </c>
      <c r="AI227" s="1">
        <f t="shared" si="81"/>
        <v>4.9999999999999933E-2</v>
      </c>
      <c r="AJ227" s="1">
        <f t="shared" si="81"/>
        <v>5.0000000000000044E-2</v>
      </c>
      <c r="AK227" s="1">
        <f t="shared" si="81"/>
        <v>5.0000000000000044E-2</v>
      </c>
      <c r="AL227" s="1">
        <f t="shared" si="81"/>
        <v>4.9999999999999933E-2</v>
      </c>
      <c r="AM227" s="1">
        <f t="shared" si="81"/>
        <v>4.9999999999999489E-2</v>
      </c>
      <c r="AN227" s="1">
        <f t="shared" si="81"/>
        <v>5.0000000000000488E-2</v>
      </c>
      <c r="AO227" s="1">
        <f t="shared" si="81"/>
        <v>5.0000000000000044E-2</v>
      </c>
    </row>
    <row r="228" spans="2:41">
      <c r="B228" s="1">
        <f t="shared" si="78"/>
        <v>5.0000000000000044E-2</v>
      </c>
      <c r="C228" s="1">
        <f t="shared" si="78"/>
        <v>4.9999999999999933E-2</v>
      </c>
      <c r="D228" s="1">
        <f t="shared" si="78"/>
        <v>5.0000000000000044E-2</v>
      </c>
      <c r="E228" s="1">
        <f t="shared" si="78"/>
        <v>4.9999999999999933E-2</v>
      </c>
      <c r="F228" s="1">
        <f t="shared" si="78"/>
        <v>5.0000000000000044E-2</v>
      </c>
      <c r="G228" s="1">
        <f t="shared" si="78"/>
        <v>5.0000000000000044E-2</v>
      </c>
      <c r="H228" s="1">
        <f t="shared" si="78"/>
        <v>4.9999999999999933E-2</v>
      </c>
      <c r="I228" s="1">
        <f t="shared" si="78"/>
        <v>5.0000000000000044E-2</v>
      </c>
      <c r="J228" s="1">
        <f t="shared" si="78"/>
        <v>4.9999999999999933E-2</v>
      </c>
      <c r="K228" s="1">
        <f t="shared" si="78"/>
        <v>5.0000000000000044E-2</v>
      </c>
      <c r="L228" s="1">
        <f t="shared" si="79"/>
        <v>4.9999999999999989E-2</v>
      </c>
      <c r="M228" s="1">
        <f t="shared" si="79"/>
        <v>4.9999999999999989E-2</v>
      </c>
      <c r="N228" s="1">
        <f t="shared" si="79"/>
        <v>5.0000000000000044E-2</v>
      </c>
      <c r="O228" s="1">
        <f t="shared" si="79"/>
        <v>4.9999999999999989E-2</v>
      </c>
      <c r="P228" s="1">
        <f t="shared" si="79"/>
        <v>4.9999999999999989E-2</v>
      </c>
      <c r="Q228" s="1">
        <f t="shared" si="79"/>
        <v>4.9999999999999989E-2</v>
      </c>
      <c r="R228" s="1">
        <f t="shared" si="79"/>
        <v>5.0000000000000017E-2</v>
      </c>
      <c r="S228" s="1">
        <f t="shared" si="79"/>
        <v>4.9999999999999989E-2</v>
      </c>
      <c r="T228" s="1">
        <f t="shared" si="79"/>
        <v>0.05</v>
      </c>
      <c r="U228" s="1">
        <f t="shared" si="79"/>
        <v>4.9999999999999781E-2</v>
      </c>
      <c r="V228" s="1">
        <f t="shared" si="80"/>
        <v>5.0000000000000225E-2</v>
      </c>
      <c r="W228" s="1">
        <f t="shared" si="80"/>
        <v>4.9999999999999642E-2</v>
      </c>
      <c r="X228" s="1">
        <f t="shared" si="80"/>
        <v>5.000000000000035E-2</v>
      </c>
      <c r="Y228" s="1">
        <f t="shared" si="80"/>
        <v>5.0000000000000017E-2</v>
      </c>
      <c r="Z228" s="1">
        <f t="shared" si="80"/>
        <v>4.9999999999999989E-2</v>
      </c>
      <c r="AA228" s="1">
        <f t="shared" si="80"/>
        <v>4.9999999999999989E-2</v>
      </c>
      <c r="AB228" s="1">
        <f t="shared" si="80"/>
        <v>4.9999999999999989E-2</v>
      </c>
      <c r="AC228" s="1">
        <f t="shared" si="80"/>
        <v>5.0000000000000044E-2</v>
      </c>
      <c r="AD228" s="1">
        <f t="shared" si="80"/>
        <v>4.9999999999999989E-2</v>
      </c>
      <c r="AE228" s="1">
        <f t="shared" si="80"/>
        <v>4.9999999999999989E-2</v>
      </c>
      <c r="AF228" s="1">
        <f t="shared" si="81"/>
        <v>5.0000000000000044E-2</v>
      </c>
      <c r="AG228" s="1">
        <f t="shared" si="81"/>
        <v>4.9999999999999933E-2</v>
      </c>
      <c r="AH228" s="1">
        <f t="shared" si="81"/>
        <v>5.0000000000000044E-2</v>
      </c>
      <c r="AI228" s="1">
        <f t="shared" si="81"/>
        <v>4.9999999999999933E-2</v>
      </c>
      <c r="AJ228" s="1">
        <f t="shared" si="81"/>
        <v>5.0000000000000044E-2</v>
      </c>
      <c r="AK228" s="1">
        <f t="shared" si="81"/>
        <v>5.0000000000000044E-2</v>
      </c>
      <c r="AL228" s="1">
        <f t="shared" si="81"/>
        <v>4.9999999999999933E-2</v>
      </c>
      <c r="AM228" s="1">
        <f t="shared" si="81"/>
        <v>4.9999999999999489E-2</v>
      </c>
      <c r="AN228" s="1">
        <f t="shared" si="81"/>
        <v>5.0000000000000488E-2</v>
      </c>
      <c r="AO228" s="1">
        <f t="shared" si="81"/>
        <v>5.0000000000000044E-2</v>
      </c>
    </row>
    <row r="229" spans="2:41">
      <c r="B229" s="1">
        <f t="shared" si="78"/>
        <v>5.0000000000000044E-2</v>
      </c>
      <c r="C229" s="1">
        <f t="shared" si="78"/>
        <v>4.9999999999999933E-2</v>
      </c>
      <c r="D229" s="1">
        <f t="shared" si="78"/>
        <v>5.0000000000000044E-2</v>
      </c>
      <c r="E229" s="1">
        <f t="shared" si="78"/>
        <v>4.9999999999999933E-2</v>
      </c>
      <c r="F229" s="1">
        <f t="shared" si="78"/>
        <v>5.0000000000000044E-2</v>
      </c>
      <c r="G229" s="1">
        <f t="shared" si="78"/>
        <v>5.0000000000000044E-2</v>
      </c>
      <c r="H229" s="1">
        <f t="shared" si="78"/>
        <v>4.9999999999999933E-2</v>
      </c>
      <c r="I229" s="1">
        <f t="shared" si="78"/>
        <v>5.0000000000000044E-2</v>
      </c>
      <c r="J229" s="1">
        <f t="shared" si="78"/>
        <v>4.9999999999999933E-2</v>
      </c>
      <c r="K229" s="1">
        <f t="shared" si="78"/>
        <v>5.0000000000000044E-2</v>
      </c>
      <c r="L229" s="1">
        <f t="shared" si="79"/>
        <v>4.9999999999999989E-2</v>
      </c>
      <c r="M229" s="1">
        <f t="shared" si="79"/>
        <v>4.9999999999999989E-2</v>
      </c>
      <c r="N229" s="1">
        <f t="shared" si="79"/>
        <v>5.0000000000000044E-2</v>
      </c>
      <c r="O229" s="1">
        <f t="shared" si="79"/>
        <v>4.9999999999999989E-2</v>
      </c>
      <c r="P229" s="1">
        <f t="shared" si="79"/>
        <v>4.9999999999999989E-2</v>
      </c>
      <c r="Q229" s="1">
        <f t="shared" si="79"/>
        <v>4.9999999999999989E-2</v>
      </c>
      <c r="R229" s="1">
        <f t="shared" si="79"/>
        <v>5.0000000000000017E-2</v>
      </c>
      <c r="S229" s="1">
        <f t="shared" si="79"/>
        <v>4.9999999999999989E-2</v>
      </c>
      <c r="T229" s="1">
        <f t="shared" si="79"/>
        <v>0.05</v>
      </c>
      <c r="U229" s="1">
        <f t="shared" si="79"/>
        <v>4.9999999999999781E-2</v>
      </c>
      <c r="V229" s="1">
        <f t="shared" si="80"/>
        <v>5.0000000000000225E-2</v>
      </c>
      <c r="W229" s="1">
        <f t="shared" si="80"/>
        <v>4.9999999999999642E-2</v>
      </c>
      <c r="X229" s="1">
        <f t="shared" si="80"/>
        <v>5.000000000000035E-2</v>
      </c>
      <c r="Y229" s="1">
        <f t="shared" si="80"/>
        <v>5.0000000000000017E-2</v>
      </c>
      <c r="Z229" s="1">
        <f t="shared" si="80"/>
        <v>4.9999999999999989E-2</v>
      </c>
      <c r="AA229" s="1">
        <f t="shared" si="80"/>
        <v>4.9999999999999989E-2</v>
      </c>
      <c r="AB229" s="1">
        <f t="shared" si="80"/>
        <v>4.9999999999999989E-2</v>
      </c>
      <c r="AC229" s="1">
        <f t="shared" si="80"/>
        <v>5.0000000000000044E-2</v>
      </c>
      <c r="AD229" s="1">
        <f t="shared" si="80"/>
        <v>4.9999999999999989E-2</v>
      </c>
      <c r="AE229" s="1">
        <f t="shared" si="80"/>
        <v>4.9999999999999989E-2</v>
      </c>
      <c r="AF229" s="1">
        <f t="shared" si="81"/>
        <v>5.0000000000000044E-2</v>
      </c>
      <c r="AG229" s="1">
        <f t="shared" si="81"/>
        <v>4.9999999999999933E-2</v>
      </c>
      <c r="AH229" s="1">
        <f t="shared" si="81"/>
        <v>5.0000000000000044E-2</v>
      </c>
      <c r="AI229" s="1">
        <f t="shared" si="81"/>
        <v>4.9999999999999933E-2</v>
      </c>
      <c r="AJ229" s="1">
        <f t="shared" si="81"/>
        <v>5.0000000000000044E-2</v>
      </c>
      <c r="AK229" s="1">
        <f t="shared" si="81"/>
        <v>5.0000000000000044E-2</v>
      </c>
      <c r="AL229" s="1">
        <f t="shared" si="81"/>
        <v>4.9999999999999933E-2</v>
      </c>
      <c r="AM229" s="1">
        <f t="shared" si="81"/>
        <v>4.9999999999999489E-2</v>
      </c>
      <c r="AN229" s="1">
        <f t="shared" si="81"/>
        <v>5.0000000000000488E-2</v>
      </c>
      <c r="AO229" s="1">
        <f t="shared" si="81"/>
        <v>5.0000000000000044E-2</v>
      </c>
    </row>
    <row r="230" spans="2:41">
      <c r="B230" s="1">
        <f t="shared" si="78"/>
        <v>5.0000000000000044E-2</v>
      </c>
      <c r="C230" s="1">
        <f t="shared" si="78"/>
        <v>4.9999999999999933E-2</v>
      </c>
      <c r="D230" s="1">
        <f t="shared" si="78"/>
        <v>5.0000000000000044E-2</v>
      </c>
      <c r="E230" s="1">
        <f t="shared" si="78"/>
        <v>4.9999999999999933E-2</v>
      </c>
      <c r="F230" s="1">
        <f t="shared" si="78"/>
        <v>5.0000000000000044E-2</v>
      </c>
      <c r="G230" s="1">
        <f t="shared" si="78"/>
        <v>5.0000000000000044E-2</v>
      </c>
      <c r="H230" s="1">
        <f t="shared" si="78"/>
        <v>4.9999999999999933E-2</v>
      </c>
      <c r="I230" s="1">
        <f t="shared" si="78"/>
        <v>5.0000000000000044E-2</v>
      </c>
      <c r="J230" s="1">
        <f t="shared" si="78"/>
        <v>4.9999999999999933E-2</v>
      </c>
      <c r="K230" s="1">
        <f t="shared" si="78"/>
        <v>5.0000000000000044E-2</v>
      </c>
      <c r="L230" s="1">
        <f t="shared" si="79"/>
        <v>4.9999999999999989E-2</v>
      </c>
      <c r="M230" s="1">
        <f t="shared" si="79"/>
        <v>4.9999999999999989E-2</v>
      </c>
      <c r="N230" s="1">
        <f t="shared" si="79"/>
        <v>5.0000000000000044E-2</v>
      </c>
      <c r="O230" s="1">
        <f t="shared" si="79"/>
        <v>4.9999999999999989E-2</v>
      </c>
      <c r="P230" s="1">
        <f t="shared" si="79"/>
        <v>4.9999999999999989E-2</v>
      </c>
      <c r="Q230" s="1">
        <f t="shared" si="79"/>
        <v>4.9999999999999989E-2</v>
      </c>
      <c r="R230" s="1">
        <f t="shared" si="79"/>
        <v>5.0000000000000017E-2</v>
      </c>
      <c r="S230" s="1">
        <f t="shared" si="79"/>
        <v>4.9999999999999989E-2</v>
      </c>
      <c r="T230" s="1">
        <f t="shared" si="79"/>
        <v>0.05</v>
      </c>
      <c r="U230" s="1">
        <f t="shared" si="79"/>
        <v>4.9999999999999781E-2</v>
      </c>
      <c r="V230" s="1">
        <f t="shared" si="80"/>
        <v>5.0000000000000225E-2</v>
      </c>
      <c r="W230" s="1">
        <f t="shared" si="80"/>
        <v>4.9999999999999642E-2</v>
      </c>
      <c r="X230" s="1">
        <f t="shared" si="80"/>
        <v>5.000000000000035E-2</v>
      </c>
      <c r="Y230" s="1">
        <f t="shared" si="80"/>
        <v>5.0000000000000017E-2</v>
      </c>
      <c r="Z230" s="1">
        <f t="shared" si="80"/>
        <v>4.9999999999999989E-2</v>
      </c>
      <c r="AA230" s="1">
        <f t="shared" si="80"/>
        <v>4.9999999999999989E-2</v>
      </c>
      <c r="AB230" s="1">
        <f t="shared" si="80"/>
        <v>4.9999999999999989E-2</v>
      </c>
      <c r="AC230" s="1">
        <f t="shared" si="80"/>
        <v>5.0000000000000044E-2</v>
      </c>
      <c r="AD230" s="1">
        <f t="shared" si="80"/>
        <v>4.9999999999999989E-2</v>
      </c>
      <c r="AE230" s="1">
        <f t="shared" si="80"/>
        <v>4.9999999999999989E-2</v>
      </c>
      <c r="AF230" s="1">
        <f t="shared" si="81"/>
        <v>5.0000000000000044E-2</v>
      </c>
      <c r="AG230" s="1">
        <f t="shared" si="81"/>
        <v>4.9999999999999933E-2</v>
      </c>
      <c r="AH230" s="1">
        <f t="shared" si="81"/>
        <v>5.0000000000000044E-2</v>
      </c>
      <c r="AI230" s="1">
        <f t="shared" si="81"/>
        <v>4.9999999999999933E-2</v>
      </c>
      <c r="AJ230" s="1">
        <f t="shared" si="81"/>
        <v>5.0000000000000044E-2</v>
      </c>
      <c r="AK230" s="1">
        <f t="shared" si="81"/>
        <v>5.0000000000000044E-2</v>
      </c>
      <c r="AL230" s="1">
        <f t="shared" si="81"/>
        <v>4.9999999999999933E-2</v>
      </c>
      <c r="AM230" s="1">
        <f t="shared" si="81"/>
        <v>4.9999999999999489E-2</v>
      </c>
      <c r="AN230" s="1">
        <f t="shared" si="81"/>
        <v>5.0000000000000488E-2</v>
      </c>
      <c r="AO230" s="1">
        <f t="shared" si="81"/>
        <v>5.0000000000000044E-2</v>
      </c>
    </row>
    <row r="231" spans="2:41">
      <c r="B231" s="1">
        <f t="shared" si="78"/>
        <v>5.0000000000000044E-2</v>
      </c>
      <c r="C231" s="1">
        <f t="shared" si="78"/>
        <v>4.9999999999999933E-2</v>
      </c>
      <c r="D231" s="1">
        <f t="shared" si="78"/>
        <v>5.0000000000000044E-2</v>
      </c>
      <c r="E231" s="1">
        <f t="shared" si="78"/>
        <v>4.9999999999999933E-2</v>
      </c>
      <c r="F231" s="1">
        <f t="shared" si="78"/>
        <v>5.0000000000000044E-2</v>
      </c>
      <c r="G231" s="1">
        <f t="shared" si="78"/>
        <v>5.0000000000000044E-2</v>
      </c>
      <c r="H231" s="1">
        <f t="shared" si="78"/>
        <v>4.9999999999999933E-2</v>
      </c>
      <c r="I231" s="1">
        <f t="shared" si="78"/>
        <v>5.0000000000000044E-2</v>
      </c>
      <c r="J231" s="1">
        <f t="shared" si="78"/>
        <v>4.9999999999999933E-2</v>
      </c>
      <c r="K231" s="1">
        <f t="shared" si="78"/>
        <v>5.0000000000000044E-2</v>
      </c>
      <c r="L231" s="1">
        <f t="shared" si="79"/>
        <v>4.9999999999999989E-2</v>
      </c>
      <c r="M231" s="1">
        <f t="shared" si="79"/>
        <v>4.9999999999999989E-2</v>
      </c>
      <c r="N231" s="1">
        <f t="shared" si="79"/>
        <v>5.0000000000000044E-2</v>
      </c>
      <c r="O231" s="1">
        <f t="shared" si="79"/>
        <v>4.9999999999999989E-2</v>
      </c>
      <c r="P231" s="1">
        <f t="shared" si="79"/>
        <v>4.9999999999999989E-2</v>
      </c>
      <c r="Q231" s="1">
        <f t="shared" si="79"/>
        <v>4.9999999999999989E-2</v>
      </c>
      <c r="R231" s="1">
        <f t="shared" si="79"/>
        <v>5.0000000000000017E-2</v>
      </c>
      <c r="S231" s="1">
        <f t="shared" si="79"/>
        <v>4.9999999999999989E-2</v>
      </c>
      <c r="T231" s="1">
        <f t="shared" si="79"/>
        <v>0.05</v>
      </c>
      <c r="U231" s="1">
        <f t="shared" si="79"/>
        <v>4.9999999999999781E-2</v>
      </c>
      <c r="V231" s="1">
        <f t="shared" si="80"/>
        <v>5.0000000000000225E-2</v>
      </c>
      <c r="W231" s="1">
        <f t="shared" si="80"/>
        <v>4.9999999999999642E-2</v>
      </c>
      <c r="X231" s="1">
        <f t="shared" si="80"/>
        <v>5.000000000000035E-2</v>
      </c>
      <c r="Y231" s="1">
        <f t="shared" si="80"/>
        <v>5.0000000000000017E-2</v>
      </c>
      <c r="Z231" s="1">
        <f t="shared" si="80"/>
        <v>4.9999999999999989E-2</v>
      </c>
      <c r="AA231" s="1">
        <f t="shared" si="80"/>
        <v>4.9999999999999989E-2</v>
      </c>
      <c r="AB231" s="1">
        <f t="shared" si="80"/>
        <v>4.9999999999999989E-2</v>
      </c>
      <c r="AC231" s="1">
        <f t="shared" si="80"/>
        <v>5.0000000000000044E-2</v>
      </c>
      <c r="AD231" s="1">
        <f t="shared" si="80"/>
        <v>4.9999999999999989E-2</v>
      </c>
      <c r="AE231" s="1">
        <f t="shared" si="80"/>
        <v>4.9999999999999989E-2</v>
      </c>
      <c r="AF231" s="1">
        <f t="shared" si="81"/>
        <v>5.0000000000000044E-2</v>
      </c>
      <c r="AG231" s="1">
        <f t="shared" si="81"/>
        <v>4.9999999999999933E-2</v>
      </c>
      <c r="AH231" s="1">
        <f t="shared" si="81"/>
        <v>5.0000000000000044E-2</v>
      </c>
      <c r="AI231" s="1">
        <f t="shared" si="81"/>
        <v>4.9999999999999933E-2</v>
      </c>
      <c r="AJ231" s="1">
        <f t="shared" si="81"/>
        <v>5.0000000000000044E-2</v>
      </c>
      <c r="AK231" s="1">
        <f t="shared" si="81"/>
        <v>5.0000000000000044E-2</v>
      </c>
      <c r="AL231" s="1">
        <f t="shared" si="81"/>
        <v>4.9999999999999933E-2</v>
      </c>
      <c r="AM231" s="1">
        <f t="shared" si="81"/>
        <v>4.9999999999999489E-2</v>
      </c>
      <c r="AN231" s="1">
        <f t="shared" si="81"/>
        <v>5.0000000000000488E-2</v>
      </c>
      <c r="AO231" s="1">
        <f t="shared" si="81"/>
        <v>5.0000000000000044E-2</v>
      </c>
    </row>
    <row r="232" spans="2:41">
      <c r="B232" s="1">
        <f t="shared" si="78"/>
        <v>5.0000000000000044E-2</v>
      </c>
      <c r="C232" s="1">
        <f t="shared" si="78"/>
        <v>4.9999999999999933E-2</v>
      </c>
      <c r="D232" s="1">
        <f t="shared" si="78"/>
        <v>5.0000000000000044E-2</v>
      </c>
      <c r="E232" s="1">
        <f t="shared" si="78"/>
        <v>4.9999999999999933E-2</v>
      </c>
      <c r="F232" s="1">
        <f t="shared" si="78"/>
        <v>5.0000000000000044E-2</v>
      </c>
      <c r="G232" s="1">
        <f t="shared" si="78"/>
        <v>5.0000000000000044E-2</v>
      </c>
      <c r="H232" s="1">
        <f t="shared" si="78"/>
        <v>4.9999999999999933E-2</v>
      </c>
      <c r="I232" s="1">
        <f t="shared" si="78"/>
        <v>5.0000000000000044E-2</v>
      </c>
      <c r="J232" s="1">
        <f t="shared" si="78"/>
        <v>4.9999999999999933E-2</v>
      </c>
      <c r="K232" s="1">
        <f t="shared" si="78"/>
        <v>5.0000000000000044E-2</v>
      </c>
      <c r="L232" s="1">
        <f t="shared" si="79"/>
        <v>4.9999999999999989E-2</v>
      </c>
      <c r="M232" s="1">
        <f t="shared" si="79"/>
        <v>4.9999999999999989E-2</v>
      </c>
      <c r="N232" s="1">
        <f t="shared" si="79"/>
        <v>5.0000000000000044E-2</v>
      </c>
      <c r="O232" s="1">
        <f t="shared" si="79"/>
        <v>4.9999999999999989E-2</v>
      </c>
      <c r="P232" s="1">
        <f t="shared" si="79"/>
        <v>4.9999999999999989E-2</v>
      </c>
      <c r="Q232" s="1">
        <f t="shared" si="79"/>
        <v>4.9999999999999989E-2</v>
      </c>
      <c r="R232" s="1">
        <f t="shared" si="79"/>
        <v>5.0000000000000017E-2</v>
      </c>
      <c r="S232" s="1">
        <f t="shared" si="79"/>
        <v>4.9999999999999989E-2</v>
      </c>
      <c r="T232" s="1">
        <f t="shared" si="79"/>
        <v>0.05</v>
      </c>
      <c r="U232" s="1">
        <f t="shared" si="79"/>
        <v>4.9999999999999781E-2</v>
      </c>
      <c r="V232" s="1">
        <f t="shared" si="80"/>
        <v>5.0000000000000225E-2</v>
      </c>
      <c r="W232" s="1">
        <f t="shared" si="80"/>
        <v>4.9999999999999642E-2</v>
      </c>
      <c r="X232" s="1">
        <f t="shared" si="80"/>
        <v>5.000000000000035E-2</v>
      </c>
      <c r="Y232" s="1">
        <f t="shared" si="80"/>
        <v>5.0000000000000017E-2</v>
      </c>
      <c r="Z232" s="1">
        <f t="shared" si="80"/>
        <v>4.9999999999999989E-2</v>
      </c>
      <c r="AA232" s="1">
        <f t="shared" si="80"/>
        <v>4.9999999999999989E-2</v>
      </c>
      <c r="AB232" s="1">
        <f t="shared" si="80"/>
        <v>4.9999999999999989E-2</v>
      </c>
      <c r="AC232" s="1">
        <f t="shared" si="80"/>
        <v>5.0000000000000044E-2</v>
      </c>
      <c r="AD232" s="1">
        <f t="shared" si="80"/>
        <v>4.9999999999999989E-2</v>
      </c>
      <c r="AE232" s="1">
        <f t="shared" si="80"/>
        <v>4.9999999999999989E-2</v>
      </c>
      <c r="AF232" s="1">
        <f t="shared" si="81"/>
        <v>5.0000000000000044E-2</v>
      </c>
      <c r="AG232" s="1">
        <f t="shared" si="81"/>
        <v>4.9999999999999933E-2</v>
      </c>
      <c r="AH232" s="1">
        <f t="shared" si="81"/>
        <v>5.0000000000000044E-2</v>
      </c>
      <c r="AI232" s="1">
        <f t="shared" si="81"/>
        <v>4.9999999999999933E-2</v>
      </c>
      <c r="AJ232" s="1">
        <f t="shared" si="81"/>
        <v>5.0000000000000044E-2</v>
      </c>
      <c r="AK232" s="1">
        <f t="shared" si="81"/>
        <v>5.0000000000000044E-2</v>
      </c>
      <c r="AL232" s="1">
        <f t="shared" si="81"/>
        <v>4.9999999999999933E-2</v>
      </c>
      <c r="AM232" s="1">
        <f t="shared" si="81"/>
        <v>4.9999999999999489E-2</v>
      </c>
      <c r="AN232" s="1">
        <f t="shared" si="81"/>
        <v>5.0000000000000488E-2</v>
      </c>
      <c r="AO232" s="1">
        <f t="shared" si="81"/>
        <v>5.0000000000000044E-2</v>
      </c>
    </row>
    <row r="233" spans="2:41">
      <c r="B233" s="1">
        <f t="shared" si="78"/>
        <v>5.0000000000000044E-2</v>
      </c>
      <c r="C233" s="1">
        <f t="shared" si="78"/>
        <v>4.9999999999999933E-2</v>
      </c>
      <c r="D233" s="1">
        <f t="shared" si="78"/>
        <v>5.0000000000000044E-2</v>
      </c>
      <c r="E233" s="1">
        <f t="shared" si="78"/>
        <v>4.9999999999999933E-2</v>
      </c>
      <c r="F233" s="1">
        <f t="shared" si="78"/>
        <v>5.0000000000000044E-2</v>
      </c>
      <c r="G233" s="1">
        <f t="shared" si="78"/>
        <v>5.0000000000000044E-2</v>
      </c>
      <c r="H233" s="1">
        <f t="shared" si="78"/>
        <v>4.9999999999999933E-2</v>
      </c>
      <c r="I233" s="1">
        <f t="shared" si="78"/>
        <v>5.0000000000000044E-2</v>
      </c>
      <c r="J233" s="1">
        <f t="shared" si="78"/>
        <v>4.9999999999999933E-2</v>
      </c>
      <c r="K233" s="1">
        <f t="shared" si="78"/>
        <v>5.0000000000000044E-2</v>
      </c>
      <c r="L233" s="1">
        <f t="shared" si="79"/>
        <v>4.9999999999999989E-2</v>
      </c>
      <c r="M233" s="1">
        <f t="shared" si="79"/>
        <v>4.9999999999999989E-2</v>
      </c>
      <c r="N233" s="1">
        <f t="shared" si="79"/>
        <v>5.0000000000000044E-2</v>
      </c>
      <c r="O233" s="1">
        <f t="shared" si="79"/>
        <v>4.9999999999999989E-2</v>
      </c>
      <c r="P233" s="1">
        <f t="shared" si="79"/>
        <v>4.9999999999999989E-2</v>
      </c>
      <c r="Q233" s="1">
        <f t="shared" si="79"/>
        <v>4.9999999999999989E-2</v>
      </c>
      <c r="R233" s="1">
        <f t="shared" si="79"/>
        <v>5.0000000000000017E-2</v>
      </c>
      <c r="S233" s="1">
        <f t="shared" si="79"/>
        <v>4.9999999999999989E-2</v>
      </c>
      <c r="T233" s="1">
        <f t="shared" si="79"/>
        <v>0.05</v>
      </c>
      <c r="U233" s="1">
        <f t="shared" si="79"/>
        <v>4.9999999999999781E-2</v>
      </c>
      <c r="V233" s="1">
        <f t="shared" si="80"/>
        <v>5.0000000000000225E-2</v>
      </c>
      <c r="W233" s="1">
        <f t="shared" si="80"/>
        <v>4.9999999999999642E-2</v>
      </c>
      <c r="X233" s="1">
        <f t="shared" si="80"/>
        <v>5.000000000000035E-2</v>
      </c>
      <c r="Y233" s="1">
        <f t="shared" si="80"/>
        <v>5.0000000000000017E-2</v>
      </c>
      <c r="Z233" s="1">
        <f t="shared" si="80"/>
        <v>4.9999999999999989E-2</v>
      </c>
      <c r="AA233" s="1">
        <f t="shared" si="80"/>
        <v>4.9999999999999989E-2</v>
      </c>
      <c r="AB233" s="1">
        <f t="shared" si="80"/>
        <v>4.9999999999999989E-2</v>
      </c>
      <c r="AC233" s="1">
        <f t="shared" si="80"/>
        <v>5.0000000000000044E-2</v>
      </c>
      <c r="AD233" s="1">
        <f t="shared" si="80"/>
        <v>4.9999999999999989E-2</v>
      </c>
      <c r="AE233" s="1">
        <f t="shared" si="80"/>
        <v>4.9999999999999989E-2</v>
      </c>
      <c r="AF233" s="1">
        <f t="shared" si="81"/>
        <v>5.0000000000000044E-2</v>
      </c>
      <c r="AG233" s="1">
        <f t="shared" si="81"/>
        <v>4.9999999999999933E-2</v>
      </c>
      <c r="AH233" s="1">
        <f t="shared" si="81"/>
        <v>5.0000000000000044E-2</v>
      </c>
      <c r="AI233" s="1">
        <f t="shared" si="81"/>
        <v>4.9999999999999933E-2</v>
      </c>
      <c r="AJ233" s="1">
        <f t="shared" si="81"/>
        <v>5.0000000000000044E-2</v>
      </c>
      <c r="AK233" s="1">
        <f t="shared" si="81"/>
        <v>5.0000000000000044E-2</v>
      </c>
      <c r="AL233" s="1">
        <f t="shared" si="81"/>
        <v>4.9999999999999933E-2</v>
      </c>
      <c r="AM233" s="1">
        <f t="shared" si="81"/>
        <v>4.9999999999999489E-2</v>
      </c>
      <c r="AN233" s="1">
        <f t="shared" si="81"/>
        <v>5.0000000000000488E-2</v>
      </c>
      <c r="AO233" s="1">
        <f t="shared" si="81"/>
        <v>5.0000000000000044E-2</v>
      </c>
    </row>
    <row r="234" spans="2:41">
      <c r="B234" s="1">
        <f t="shared" si="78"/>
        <v>5.0000000000000044E-2</v>
      </c>
      <c r="C234" s="1">
        <f t="shared" si="78"/>
        <v>4.9999999999999933E-2</v>
      </c>
      <c r="D234" s="1">
        <f t="shared" si="78"/>
        <v>5.0000000000000044E-2</v>
      </c>
      <c r="E234" s="1">
        <f t="shared" si="78"/>
        <v>4.9999999999999933E-2</v>
      </c>
      <c r="F234" s="1">
        <f t="shared" si="78"/>
        <v>5.0000000000000044E-2</v>
      </c>
      <c r="G234" s="1">
        <f t="shared" si="78"/>
        <v>5.0000000000000044E-2</v>
      </c>
      <c r="H234" s="1">
        <f t="shared" si="78"/>
        <v>4.9999999999999933E-2</v>
      </c>
      <c r="I234" s="1">
        <f t="shared" si="78"/>
        <v>5.0000000000000044E-2</v>
      </c>
      <c r="J234" s="1">
        <f t="shared" si="78"/>
        <v>4.9999999999999933E-2</v>
      </c>
      <c r="K234" s="1">
        <f t="shared" si="78"/>
        <v>5.0000000000000044E-2</v>
      </c>
      <c r="L234" s="1">
        <f t="shared" si="79"/>
        <v>4.9999999999999989E-2</v>
      </c>
      <c r="M234" s="1">
        <f t="shared" si="79"/>
        <v>4.9999999999999989E-2</v>
      </c>
      <c r="N234" s="1">
        <f t="shared" si="79"/>
        <v>5.0000000000000044E-2</v>
      </c>
      <c r="O234" s="1">
        <f t="shared" si="79"/>
        <v>4.9999999999999989E-2</v>
      </c>
      <c r="P234" s="1">
        <f t="shared" si="79"/>
        <v>4.9999999999999989E-2</v>
      </c>
      <c r="Q234" s="1">
        <f t="shared" si="79"/>
        <v>4.9999999999999989E-2</v>
      </c>
      <c r="R234" s="1">
        <f t="shared" si="79"/>
        <v>5.0000000000000017E-2</v>
      </c>
      <c r="S234" s="1">
        <f t="shared" si="79"/>
        <v>4.9999999999999989E-2</v>
      </c>
      <c r="T234" s="1">
        <f t="shared" si="79"/>
        <v>0.05</v>
      </c>
      <c r="U234" s="1">
        <f t="shared" si="79"/>
        <v>4.9999999999999781E-2</v>
      </c>
      <c r="V234" s="1">
        <f t="shared" si="80"/>
        <v>5.0000000000000225E-2</v>
      </c>
      <c r="W234" s="1">
        <f t="shared" si="80"/>
        <v>4.9999999999999642E-2</v>
      </c>
      <c r="X234" s="1">
        <f t="shared" si="80"/>
        <v>5.000000000000035E-2</v>
      </c>
      <c r="Y234" s="1">
        <f t="shared" si="80"/>
        <v>5.0000000000000017E-2</v>
      </c>
      <c r="Z234" s="1">
        <f t="shared" si="80"/>
        <v>4.9999999999999989E-2</v>
      </c>
      <c r="AA234" s="1">
        <f t="shared" si="80"/>
        <v>4.9999999999999989E-2</v>
      </c>
      <c r="AB234" s="1">
        <f t="shared" si="80"/>
        <v>4.9999999999999989E-2</v>
      </c>
      <c r="AC234" s="1">
        <f t="shared" si="80"/>
        <v>5.0000000000000044E-2</v>
      </c>
      <c r="AD234" s="1">
        <f t="shared" si="80"/>
        <v>4.9999999999999989E-2</v>
      </c>
      <c r="AE234" s="1">
        <f t="shared" si="80"/>
        <v>4.9999999999999989E-2</v>
      </c>
      <c r="AF234" s="1">
        <f t="shared" si="81"/>
        <v>5.0000000000000044E-2</v>
      </c>
      <c r="AG234" s="1">
        <f t="shared" si="81"/>
        <v>4.9999999999999933E-2</v>
      </c>
      <c r="AH234" s="1">
        <f t="shared" si="81"/>
        <v>5.0000000000000044E-2</v>
      </c>
      <c r="AI234" s="1">
        <f t="shared" si="81"/>
        <v>4.9999999999999933E-2</v>
      </c>
      <c r="AJ234" s="1">
        <f t="shared" si="81"/>
        <v>5.0000000000000044E-2</v>
      </c>
      <c r="AK234" s="1">
        <f t="shared" si="81"/>
        <v>5.0000000000000044E-2</v>
      </c>
      <c r="AL234" s="1">
        <f t="shared" si="81"/>
        <v>4.9999999999999933E-2</v>
      </c>
      <c r="AM234" s="1">
        <f t="shared" si="81"/>
        <v>4.9999999999999489E-2</v>
      </c>
      <c r="AN234" s="1">
        <f t="shared" si="81"/>
        <v>5.0000000000000488E-2</v>
      </c>
      <c r="AO234" s="1">
        <f t="shared" si="81"/>
        <v>5.0000000000000044E-2</v>
      </c>
    </row>
    <row r="243" spans="1:41">
      <c r="A243" s="1" t="s">
        <v>122</v>
      </c>
    </row>
    <row r="244" spans="1:41">
      <c r="B244" s="1">
        <f t="shared" ref="B244:AO244" si="82">$B$110-B$106</f>
        <v>4.7078540892666276E-2</v>
      </c>
      <c r="C244" s="1">
        <f t="shared" si="82"/>
        <v>5.0803030688584661E-2</v>
      </c>
      <c r="D244" s="1">
        <f t="shared" si="82"/>
        <v>5.4527520484503017E-2</v>
      </c>
      <c r="E244" s="1">
        <f t="shared" si="82"/>
        <v>5.8252010280421374E-2</v>
      </c>
      <c r="F244" s="1">
        <f t="shared" si="82"/>
        <v>6.1976500076339758E-2</v>
      </c>
      <c r="G244" s="1">
        <f t="shared" si="82"/>
        <v>6.5482872529328079E-2</v>
      </c>
      <c r="H244" s="1">
        <f t="shared" si="82"/>
        <v>6.7263694447136285E-2</v>
      </c>
      <c r="I244" s="1">
        <f t="shared" si="82"/>
        <v>6.9044516364944519E-2</v>
      </c>
      <c r="J244" s="1">
        <f t="shared" si="82"/>
        <v>7.0825338282752726E-2</v>
      </c>
      <c r="K244" s="1">
        <f t="shared" si="82"/>
        <v>7.2606160200560932E-2</v>
      </c>
      <c r="L244" s="1">
        <f t="shared" si="82"/>
        <v>7.4386982118369166E-2</v>
      </c>
      <c r="M244" s="1">
        <f t="shared" si="82"/>
        <v>7.6167804036177372E-2</v>
      </c>
      <c r="N244" s="1">
        <f t="shared" si="82"/>
        <v>7.7948625953985606E-2</v>
      </c>
      <c r="O244" s="1">
        <f t="shared" si="82"/>
        <v>7.8587805152399132E-2</v>
      </c>
      <c r="P244" s="1">
        <f t="shared" si="82"/>
        <v>7.8993856107813121E-2</v>
      </c>
      <c r="Q244" s="1">
        <f t="shared" si="82"/>
        <v>7.9399907063227138E-2</v>
      </c>
      <c r="R244" s="1">
        <f t="shared" si="82"/>
        <v>7.9805958018641154E-2</v>
      </c>
      <c r="S244" s="1">
        <f t="shared" si="82"/>
        <v>8.0212008974055171E-2</v>
      </c>
      <c r="T244" s="1">
        <f t="shared" si="82"/>
        <v>8.0618059929469188E-2</v>
      </c>
      <c r="U244" s="1">
        <f t="shared" si="82"/>
        <v>8.1024110884883205E-2</v>
      </c>
      <c r="V244" s="1">
        <f t="shared" si="82"/>
        <v>8.1430161840297222E-2</v>
      </c>
      <c r="W244" s="1">
        <f t="shared" si="82"/>
        <v>8.1024110884883205E-2</v>
      </c>
      <c r="X244" s="1">
        <f t="shared" si="82"/>
        <v>8.0618059929469188E-2</v>
      </c>
      <c r="Y244" s="1">
        <f t="shared" si="82"/>
        <v>8.0212008974055171E-2</v>
      </c>
      <c r="Z244" s="1">
        <f t="shared" si="82"/>
        <v>7.9805958018641154E-2</v>
      </c>
      <c r="AA244" s="1">
        <f t="shared" si="82"/>
        <v>7.9399907063227138E-2</v>
      </c>
      <c r="AB244" s="1">
        <f t="shared" si="82"/>
        <v>7.8993856107813121E-2</v>
      </c>
      <c r="AC244" s="1">
        <f t="shared" si="82"/>
        <v>7.8587805152399132E-2</v>
      </c>
      <c r="AD244" s="1">
        <f t="shared" si="82"/>
        <v>7.7948625953985606E-2</v>
      </c>
      <c r="AE244" s="1">
        <f t="shared" si="82"/>
        <v>7.6167804036177372E-2</v>
      </c>
      <c r="AF244" s="1">
        <f t="shared" si="82"/>
        <v>7.4386982118369166E-2</v>
      </c>
      <c r="AG244" s="1">
        <f t="shared" si="82"/>
        <v>7.2606160200560932E-2</v>
      </c>
      <c r="AH244" s="1">
        <f t="shared" si="82"/>
        <v>7.0825338282752726E-2</v>
      </c>
      <c r="AI244" s="1">
        <f t="shared" si="82"/>
        <v>6.9044516364944519E-2</v>
      </c>
      <c r="AJ244" s="1">
        <f t="shared" si="82"/>
        <v>6.7263694447136285E-2</v>
      </c>
      <c r="AK244" s="1">
        <f t="shared" si="82"/>
        <v>6.5482872529328079E-2</v>
      </c>
      <c r="AL244" s="1">
        <f t="shared" si="82"/>
        <v>6.1976500076339758E-2</v>
      </c>
      <c r="AM244" s="1">
        <f t="shared" si="82"/>
        <v>5.8252010280421374E-2</v>
      </c>
      <c r="AN244" s="1">
        <f t="shared" si="82"/>
        <v>5.4527520484503017E-2</v>
      </c>
      <c r="AO244" s="1">
        <f t="shared" si="82"/>
        <v>5.0803030688584661E-2</v>
      </c>
    </row>
    <row r="245" spans="1:41">
      <c r="B245" s="1">
        <f t="shared" ref="B245:AO245" si="83">$C$110-B$106</f>
        <v>4.8966295994707087E-2</v>
      </c>
      <c r="C245" s="1">
        <f t="shared" si="83"/>
        <v>5.2690785790625472E-2</v>
      </c>
      <c r="D245" s="1">
        <f t="shared" si="83"/>
        <v>5.6415275586543828E-2</v>
      </c>
      <c r="E245" s="1">
        <f t="shared" si="83"/>
        <v>6.0139765382462185E-2</v>
      </c>
      <c r="F245" s="1">
        <f t="shared" si="83"/>
        <v>6.3864255178380569E-2</v>
      </c>
      <c r="G245" s="1">
        <f t="shared" si="83"/>
        <v>6.737062763136889E-2</v>
      </c>
      <c r="H245" s="1">
        <f t="shared" si="83"/>
        <v>6.9151449549177096E-2</v>
      </c>
      <c r="I245" s="1">
        <f t="shared" si="83"/>
        <v>7.093227146698533E-2</v>
      </c>
      <c r="J245" s="1">
        <f t="shared" si="83"/>
        <v>7.2713093384793537E-2</v>
      </c>
      <c r="K245" s="1">
        <f t="shared" si="83"/>
        <v>7.4493915302601743E-2</v>
      </c>
      <c r="L245" s="1">
        <f t="shared" si="83"/>
        <v>7.6274737220409977E-2</v>
      </c>
      <c r="M245" s="1">
        <f t="shared" si="83"/>
        <v>7.8055559138218183E-2</v>
      </c>
      <c r="N245" s="1">
        <f t="shared" si="83"/>
        <v>7.9836381056026418E-2</v>
      </c>
      <c r="O245" s="1">
        <f t="shared" si="83"/>
        <v>8.0475560254439943E-2</v>
      </c>
      <c r="P245" s="1">
        <f t="shared" si="83"/>
        <v>8.0881611209853932E-2</v>
      </c>
      <c r="Q245" s="1">
        <f t="shared" si="83"/>
        <v>8.1287662165267949E-2</v>
      </c>
      <c r="R245" s="1">
        <f t="shared" si="83"/>
        <v>8.1693713120681966E-2</v>
      </c>
      <c r="S245" s="1">
        <f t="shared" si="83"/>
        <v>8.2099764076095982E-2</v>
      </c>
      <c r="T245" s="1">
        <f t="shared" si="83"/>
        <v>8.2505815031509999E-2</v>
      </c>
      <c r="U245" s="1">
        <f t="shared" si="83"/>
        <v>8.2911865986924016E-2</v>
      </c>
      <c r="V245" s="1">
        <f t="shared" si="83"/>
        <v>8.3317916942338033E-2</v>
      </c>
      <c r="W245" s="1">
        <f t="shared" si="83"/>
        <v>8.2911865986924016E-2</v>
      </c>
      <c r="X245" s="1">
        <f t="shared" si="83"/>
        <v>8.2505815031509999E-2</v>
      </c>
      <c r="Y245" s="1">
        <f t="shared" si="83"/>
        <v>8.2099764076095982E-2</v>
      </c>
      <c r="Z245" s="1">
        <f t="shared" si="83"/>
        <v>8.1693713120681966E-2</v>
      </c>
      <c r="AA245" s="1">
        <f t="shared" si="83"/>
        <v>8.1287662165267949E-2</v>
      </c>
      <c r="AB245" s="1">
        <f t="shared" si="83"/>
        <v>8.0881611209853932E-2</v>
      </c>
      <c r="AC245" s="1">
        <f t="shared" si="83"/>
        <v>8.0475560254439943E-2</v>
      </c>
      <c r="AD245" s="1">
        <f t="shared" si="83"/>
        <v>7.9836381056026418E-2</v>
      </c>
      <c r="AE245" s="1">
        <f t="shared" si="83"/>
        <v>7.8055559138218183E-2</v>
      </c>
      <c r="AF245" s="1">
        <f t="shared" si="83"/>
        <v>7.6274737220409977E-2</v>
      </c>
      <c r="AG245" s="1">
        <f t="shared" si="83"/>
        <v>7.4493915302601743E-2</v>
      </c>
      <c r="AH245" s="1">
        <f t="shared" si="83"/>
        <v>7.2713093384793537E-2</v>
      </c>
      <c r="AI245" s="1">
        <f t="shared" si="83"/>
        <v>7.093227146698533E-2</v>
      </c>
      <c r="AJ245" s="1">
        <f t="shared" si="83"/>
        <v>6.9151449549177096E-2</v>
      </c>
      <c r="AK245" s="1">
        <f t="shared" si="83"/>
        <v>6.737062763136889E-2</v>
      </c>
      <c r="AL245" s="1">
        <f t="shared" si="83"/>
        <v>6.3864255178380569E-2</v>
      </c>
      <c r="AM245" s="1">
        <f t="shared" si="83"/>
        <v>6.0139765382462185E-2</v>
      </c>
      <c r="AN245" s="1">
        <f t="shared" si="83"/>
        <v>5.6415275586543828E-2</v>
      </c>
      <c r="AO245" s="1">
        <f t="shared" si="83"/>
        <v>5.2690785790625472E-2</v>
      </c>
    </row>
    <row r="246" spans="1:41">
      <c r="B246" s="1">
        <f t="shared" ref="B246:AO246" si="84">$D$110-B$106</f>
        <v>5.0854051096747899E-2</v>
      </c>
      <c r="C246" s="1">
        <f t="shared" si="84"/>
        <v>5.4578540892666283E-2</v>
      </c>
      <c r="D246" s="1">
        <f t="shared" si="84"/>
        <v>5.8303030688584639E-2</v>
      </c>
      <c r="E246" s="1">
        <f t="shared" si="84"/>
        <v>6.2027520484502996E-2</v>
      </c>
      <c r="F246" s="1">
        <f t="shared" si="84"/>
        <v>6.575201028042138E-2</v>
      </c>
      <c r="G246" s="1">
        <f t="shared" si="84"/>
        <v>6.9258382733409701E-2</v>
      </c>
      <c r="H246" s="1">
        <f t="shared" si="84"/>
        <v>7.1039204651217908E-2</v>
      </c>
      <c r="I246" s="1">
        <f t="shared" si="84"/>
        <v>7.2820026569026142E-2</v>
      </c>
      <c r="J246" s="1">
        <f t="shared" si="84"/>
        <v>7.4600848486834348E-2</v>
      </c>
      <c r="K246" s="1">
        <f t="shared" si="84"/>
        <v>7.6381670404642554E-2</v>
      </c>
      <c r="L246" s="1">
        <f t="shared" si="84"/>
        <v>7.8162492322450788E-2</v>
      </c>
      <c r="M246" s="1">
        <f t="shared" si="84"/>
        <v>7.9943314240258995E-2</v>
      </c>
      <c r="N246" s="1">
        <f t="shared" si="84"/>
        <v>8.1724136158067229E-2</v>
      </c>
      <c r="O246" s="1">
        <f t="shared" si="84"/>
        <v>8.2363315356480754E-2</v>
      </c>
      <c r="P246" s="1">
        <f t="shared" si="84"/>
        <v>8.2769366311894743E-2</v>
      </c>
      <c r="Q246" s="1">
        <f t="shared" si="84"/>
        <v>8.317541726730876E-2</v>
      </c>
      <c r="R246" s="1">
        <f t="shared" si="84"/>
        <v>8.3581468222722777E-2</v>
      </c>
      <c r="S246" s="1">
        <f t="shared" si="84"/>
        <v>8.3987519178136794E-2</v>
      </c>
      <c r="T246" s="1">
        <f t="shared" si="84"/>
        <v>8.439357013355081E-2</v>
      </c>
      <c r="U246" s="1">
        <f t="shared" si="84"/>
        <v>8.4799621088964827E-2</v>
      </c>
      <c r="V246" s="1">
        <f t="shared" si="84"/>
        <v>8.5205672044378844E-2</v>
      </c>
      <c r="W246" s="1">
        <f t="shared" si="84"/>
        <v>8.4799621088964827E-2</v>
      </c>
      <c r="X246" s="1">
        <f t="shared" si="84"/>
        <v>8.439357013355081E-2</v>
      </c>
      <c r="Y246" s="1">
        <f t="shared" si="84"/>
        <v>8.3987519178136794E-2</v>
      </c>
      <c r="Z246" s="1">
        <f t="shared" si="84"/>
        <v>8.3581468222722777E-2</v>
      </c>
      <c r="AA246" s="1">
        <f t="shared" si="84"/>
        <v>8.317541726730876E-2</v>
      </c>
      <c r="AB246" s="1">
        <f t="shared" si="84"/>
        <v>8.2769366311894743E-2</v>
      </c>
      <c r="AC246" s="1">
        <f t="shared" si="84"/>
        <v>8.2363315356480754E-2</v>
      </c>
      <c r="AD246" s="1">
        <f t="shared" si="84"/>
        <v>8.1724136158067229E-2</v>
      </c>
      <c r="AE246" s="1">
        <f t="shared" si="84"/>
        <v>7.9943314240258995E-2</v>
      </c>
      <c r="AF246" s="1">
        <f t="shared" si="84"/>
        <v>7.8162492322450788E-2</v>
      </c>
      <c r="AG246" s="1">
        <f t="shared" si="84"/>
        <v>7.6381670404642554E-2</v>
      </c>
      <c r="AH246" s="1">
        <f t="shared" si="84"/>
        <v>7.4600848486834348E-2</v>
      </c>
      <c r="AI246" s="1">
        <f t="shared" si="84"/>
        <v>7.2820026569026142E-2</v>
      </c>
      <c r="AJ246" s="1">
        <f t="shared" si="84"/>
        <v>7.1039204651217908E-2</v>
      </c>
      <c r="AK246" s="1">
        <f t="shared" si="84"/>
        <v>6.9258382733409701E-2</v>
      </c>
      <c r="AL246" s="1">
        <f t="shared" si="84"/>
        <v>6.575201028042138E-2</v>
      </c>
      <c r="AM246" s="1">
        <f t="shared" si="84"/>
        <v>6.2027520484502996E-2</v>
      </c>
      <c r="AN246" s="1">
        <f t="shared" si="84"/>
        <v>5.8303030688584639E-2</v>
      </c>
      <c r="AO246" s="1">
        <f t="shared" si="84"/>
        <v>5.4578540892666283E-2</v>
      </c>
    </row>
    <row r="247" spans="1:41">
      <c r="B247" s="1">
        <f t="shared" ref="B247:AO247" si="85">$E$110-B$106</f>
        <v>5.2741806198788738E-2</v>
      </c>
      <c r="C247" s="1">
        <f t="shared" si="85"/>
        <v>5.6466295994707122E-2</v>
      </c>
      <c r="D247" s="1">
        <f t="shared" si="85"/>
        <v>6.0190785790625478E-2</v>
      </c>
      <c r="E247" s="1">
        <f t="shared" si="85"/>
        <v>6.3915275586543835E-2</v>
      </c>
      <c r="F247" s="1">
        <f t="shared" si="85"/>
        <v>6.7639765382462219E-2</v>
      </c>
      <c r="G247" s="1">
        <f t="shared" si="85"/>
        <v>7.114613783545054E-2</v>
      </c>
      <c r="H247" s="1">
        <f t="shared" si="85"/>
        <v>7.2926959753258747E-2</v>
      </c>
      <c r="I247" s="1">
        <f t="shared" si="85"/>
        <v>7.4707781671066981E-2</v>
      </c>
      <c r="J247" s="1">
        <f t="shared" si="85"/>
        <v>7.6488603588875187E-2</v>
      </c>
      <c r="K247" s="1">
        <f t="shared" si="85"/>
        <v>7.8269425506683393E-2</v>
      </c>
      <c r="L247" s="1">
        <f t="shared" si="85"/>
        <v>8.0050247424491627E-2</v>
      </c>
      <c r="M247" s="1">
        <f t="shared" si="85"/>
        <v>8.1831069342299834E-2</v>
      </c>
      <c r="N247" s="1">
        <f t="shared" si="85"/>
        <v>8.3611891260108068E-2</v>
      </c>
      <c r="O247" s="1">
        <f t="shared" si="85"/>
        <v>8.4251070458521593E-2</v>
      </c>
      <c r="P247" s="1">
        <f t="shared" si="85"/>
        <v>8.4657121413935582E-2</v>
      </c>
      <c r="Q247" s="1">
        <f t="shared" si="85"/>
        <v>8.5063172369349599E-2</v>
      </c>
      <c r="R247" s="1">
        <f t="shared" si="85"/>
        <v>8.5469223324763616E-2</v>
      </c>
      <c r="S247" s="1">
        <f t="shared" si="85"/>
        <v>8.5875274280177633E-2</v>
      </c>
      <c r="T247" s="1">
        <f t="shared" si="85"/>
        <v>8.6281325235591649E-2</v>
      </c>
      <c r="U247" s="1">
        <f t="shared" si="85"/>
        <v>8.6687376191005666E-2</v>
      </c>
      <c r="V247" s="1">
        <f t="shared" si="85"/>
        <v>8.7093427146419683E-2</v>
      </c>
      <c r="W247" s="1">
        <f t="shared" si="85"/>
        <v>8.6687376191005666E-2</v>
      </c>
      <c r="X247" s="1">
        <f t="shared" si="85"/>
        <v>8.6281325235591649E-2</v>
      </c>
      <c r="Y247" s="1">
        <f t="shared" si="85"/>
        <v>8.5875274280177633E-2</v>
      </c>
      <c r="Z247" s="1">
        <f t="shared" si="85"/>
        <v>8.5469223324763616E-2</v>
      </c>
      <c r="AA247" s="1">
        <f t="shared" si="85"/>
        <v>8.5063172369349599E-2</v>
      </c>
      <c r="AB247" s="1">
        <f t="shared" si="85"/>
        <v>8.4657121413935582E-2</v>
      </c>
      <c r="AC247" s="1">
        <f t="shared" si="85"/>
        <v>8.4251070458521593E-2</v>
      </c>
      <c r="AD247" s="1">
        <f t="shared" si="85"/>
        <v>8.3611891260108068E-2</v>
      </c>
      <c r="AE247" s="1">
        <f t="shared" si="85"/>
        <v>8.1831069342299834E-2</v>
      </c>
      <c r="AF247" s="1">
        <f t="shared" si="85"/>
        <v>8.0050247424491627E-2</v>
      </c>
      <c r="AG247" s="1">
        <f t="shared" si="85"/>
        <v>7.8269425506683393E-2</v>
      </c>
      <c r="AH247" s="1">
        <f t="shared" si="85"/>
        <v>7.6488603588875187E-2</v>
      </c>
      <c r="AI247" s="1">
        <f t="shared" si="85"/>
        <v>7.4707781671066981E-2</v>
      </c>
      <c r="AJ247" s="1">
        <f t="shared" si="85"/>
        <v>7.2926959753258747E-2</v>
      </c>
      <c r="AK247" s="1">
        <f t="shared" si="85"/>
        <v>7.114613783545054E-2</v>
      </c>
      <c r="AL247" s="1">
        <f t="shared" si="85"/>
        <v>6.7639765382462219E-2</v>
      </c>
      <c r="AM247" s="1">
        <f t="shared" si="85"/>
        <v>6.3915275586543835E-2</v>
      </c>
      <c r="AN247" s="1">
        <f t="shared" si="85"/>
        <v>6.0190785790625478E-2</v>
      </c>
      <c r="AO247" s="1">
        <f t="shared" si="85"/>
        <v>5.6466295994707122E-2</v>
      </c>
    </row>
    <row r="248" spans="1:41">
      <c r="B248" s="1">
        <f t="shared" ref="B248:AO248" si="86">$F$110-B$106</f>
        <v>5.4690933764275335E-2</v>
      </c>
      <c r="C248" s="1">
        <f t="shared" si="86"/>
        <v>5.8415423560193719E-2</v>
      </c>
      <c r="D248" s="1">
        <f t="shared" si="86"/>
        <v>6.2139913356112075E-2</v>
      </c>
      <c r="E248" s="1">
        <f t="shared" si="86"/>
        <v>6.5864403152030432E-2</v>
      </c>
      <c r="F248" s="1">
        <f t="shared" si="86"/>
        <v>6.9588892947948816E-2</v>
      </c>
      <c r="G248" s="1">
        <f t="shared" si="86"/>
        <v>7.3095265400937137E-2</v>
      </c>
      <c r="H248" s="1">
        <f t="shared" si="86"/>
        <v>7.4876087318745344E-2</v>
      </c>
      <c r="I248" s="1">
        <f t="shared" si="86"/>
        <v>7.6656909236553578E-2</v>
      </c>
      <c r="J248" s="1">
        <f t="shared" si="86"/>
        <v>7.8437731154361784E-2</v>
      </c>
      <c r="K248" s="1">
        <f t="shared" si="86"/>
        <v>8.021855307216999E-2</v>
      </c>
      <c r="L248" s="1">
        <f t="shared" si="86"/>
        <v>8.1999374989978224E-2</v>
      </c>
      <c r="M248" s="1">
        <f t="shared" si="86"/>
        <v>8.3780196907786431E-2</v>
      </c>
      <c r="N248" s="1">
        <f t="shared" si="86"/>
        <v>8.5561018825594665E-2</v>
      </c>
      <c r="O248" s="1">
        <f t="shared" si="86"/>
        <v>8.620019802400819E-2</v>
      </c>
      <c r="P248" s="1">
        <f t="shared" si="86"/>
        <v>8.6606248979422179E-2</v>
      </c>
      <c r="Q248" s="1">
        <f t="shared" si="86"/>
        <v>8.7012299934836196E-2</v>
      </c>
      <c r="R248" s="1">
        <f t="shared" si="86"/>
        <v>8.7418350890250213E-2</v>
      </c>
      <c r="S248" s="1">
        <f t="shared" si="86"/>
        <v>8.7824401845664229E-2</v>
      </c>
      <c r="T248" s="1">
        <f t="shared" si="86"/>
        <v>8.8230452801078246E-2</v>
      </c>
      <c r="U248" s="1">
        <f t="shared" si="86"/>
        <v>8.8636503756492263E-2</v>
      </c>
      <c r="V248" s="1">
        <f t="shared" si="86"/>
        <v>8.904255471190628E-2</v>
      </c>
      <c r="W248" s="1">
        <f t="shared" si="86"/>
        <v>8.8636503756492263E-2</v>
      </c>
      <c r="X248" s="1">
        <f t="shared" si="86"/>
        <v>8.8230452801078246E-2</v>
      </c>
      <c r="Y248" s="1">
        <f t="shared" si="86"/>
        <v>8.7824401845664229E-2</v>
      </c>
      <c r="Z248" s="1">
        <f t="shared" si="86"/>
        <v>8.7418350890250213E-2</v>
      </c>
      <c r="AA248" s="1">
        <f t="shared" si="86"/>
        <v>8.7012299934836196E-2</v>
      </c>
      <c r="AB248" s="1">
        <f t="shared" si="86"/>
        <v>8.6606248979422179E-2</v>
      </c>
      <c r="AC248" s="1">
        <f t="shared" si="86"/>
        <v>8.620019802400819E-2</v>
      </c>
      <c r="AD248" s="1">
        <f t="shared" si="86"/>
        <v>8.5561018825594665E-2</v>
      </c>
      <c r="AE248" s="1">
        <f t="shared" si="86"/>
        <v>8.3780196907786431E-2</v>
      </c>
      <c r="AF248" s="1">
        <f t="shared" si="86"/>
        <v>8.1999374989978224E-2</v>
      </c>
      <c r="AG248" s="1">
        <f t="shared" si="86"/>
        <v>8.021855307216999E-2</v>
      </c>
      <c r="AH248" s="1">
        <f t="shared" si="86"/>
        <v>7.8437731154361784E-2</v>
      </c>
      <c r="AI248" s="1">
        <f t="shared" si="86"/>
        <v>7.6656909236553578E-2</v>
      </c>
      <c r="AJ248" s="1">
        <f t="shared" si="86"/>
        <v>7.4876087318745344E-2</v>
      </c>
      <c r="AK248" s="1">
        <f t="shared" si="86"/>
        <v>7.3095265400937137E-2</v>
      </c>
      <c r="AL248" s="1">
        <f t="shared" si="86"/>
        <v>6.9588892947948816E-2</v>
      </c>
      <c r="AM248" s="1">
        <f t="shared" si="86"/>
        <v>6.5864403152030432E-2</v>
      </c>
      <c r="AN248" s="1">
        <f t="shared" si="86"/>
        <v>6.2139913356112075E-2</v>
      </c>
      <c r="AO248" s="1">
        <f t="shared" si="86"/>
        <v>5.8415423560193719E-2</v>
      </c>
    </row>
    <row r="249" spans="1:41">
      <c r="B249" s="1">
        <f t="shared" ref="B249:AO249" si="87">$G$110-B$106</f>
        <v>5.6367984149215976E-2</v>
      </c>
      <c r="C249" s="1">
        <f t="shared" si="87"/>
        <v>6.009247394513436E-2</v>
      </c>
      <c r="D249" s="1">
        <f t="shared" si="87"/>
        <v>6.3816963741052724E-2</v>
      </c>
      <c r="E249" s="1">
        <f t="shared" si="87"/>
        <v>6.754145353697108E-2</v>
      </c>
      <c r="F249" s="1">
        <f t="shared" si="87"/>
        <v>7.1265943332889464E-2</v>
      </c>
      <c r="G249" s="1">
        <f t="shared" si="87"/>
        <v>7.4772315785877785E-2</v>
      </c>
      <c r="H249" s="1">
        <f t="shared" si="87"/>
        <v>7.6553137703685992E-2</v>
      </c>
      <c r="I249" s="1">
        <f t="shared" si="87"/>
        <v>7.8333959621494226E-2</v>
      </c>
      <c r="J249" s="1">
        <f t="shared" si="87"/>
        <v>8.0114781539302432E-2</v>
      </c>
      <c r="K249" s="1">
        <f t="shared" si="87"/>
        <v>8.1895603457110638E-2</v>
      </c>
      <c r="L249" s="1">
        <f t="shared" si="87"/>
        <v>8.3676425374918872E-2</v>
      </c>
      <c r="M249" s="1">
        <f t="shared" si="87"/>
        <v>8.5457247292727079E-2</v>
      </c>
      <c r="N249" s="1">
        <f t="shared" si="87"/>
        <v>8.7238069210535313E-2</v>
      </c>
      <c r="O249" s="1">
        <f t="shared" si="87"/>
        <v>8.7877248408948838E-2</v>
      </c>
      <c r="P249" s="1">
        <f t="shared" si="87"/>
        <v>8.8283299364362827E-2</v>
      </c>
      <c r="Q249" s="1">
        <f t="shared" si="87"/>
        <v>8.8689350319776844E-2</v>
      </c>
      <c r="R249" s="1">
        <f t="shared" si="87"/>
        <v>8.9095401275190861E-2</v>
      </c>
      <c r="S249" s="1">
        <f t="shared" si="87"/>
        <v>8.9501452230604878E-2</v>
      </c>
      <c r="T249" s="1">
        <f t="shared" si="87"/>
        <v>8.9907503186018894E-2</v>
      </c>
      <c r="U249" s="1">
        <f t="shared" si="87"/>
        <v>9.0313554141432911E-2</v>
      </c>
      <c r="V249" s="1">
        <f t="shared" si="87"/>
        <v>9.0719605096846928E-2</v>
      </c>
      <c r="W249" s="1">
        <f t="shared" si="87"/>
        <v>9.0313554141432911E-2</v>
      </c>
      <c r="X249" s="1">
        <f t="shared" si="87"/>
        <v>8.9907503186018894E-2</v>
      </c>
      <c r="Y249" s="1">
        <f t="shared" si="87"/>
        <v>8.9501452230604878E-2</v>
      </c>
      <c r="Z249" s="1">
        <f t="shared" si="87"/>
        <v>8.9095401275190861E-2</v>
      </c>
      <c r="AA249" s="1">
        <f t="shared" si="87"/>
        <v>8.8689350319776844E-2</v>
      </c>
      <c r="AB249" s="1">
        <f t="shared" si="87"/>
        <v>8.8283299364362827E-2</v>
      </c>
      <c r="AC249" s="1">
        <f t="shared" si="87"/>
        <v>8.7877248408948838E-2</v>
      </c>
      <c r="AD249" s="1">
        <f t="shared" si="87"/>
        <v>8.7238069210535313E-2</v>
      </c>
      <c r="AE249" s="1">
        <f t="shared" si="87"/>
        <v>8.5457247292727079E-2</v>
      </c>
      <c r="AF249" s="1">
        <f t="shared" si="87"/>
        <v>8.3676425374918872E-2</v>
      </c>
      <c r="AG249" s="1">
        <f t="shared" si="87"/>
        <v>8.1895603457110638E-2</v>
      </c>
      <c r="AH249" s="1">
        <f t="shared" si="87"/>
        <v>8.0114781539302432E-2</v>
      </c>
      <c r="AI249" s="1">
        <f t="shared" si="87"/>
        <v>7.8333959621494226E-2</v>
      </c>
      <c r="AJ249" s="1">
        <f t="shared" si="87"/>
        <v>7.6553137703685992E-2</v>
      </c>
      <c r="AK249" s="1">
        <f t="shared" si="87"/>
        <v>7.4772315785877785E-2</v>
      </c>
      <c r="AL249" s="1">
        <f t="shared" si="87"/>
        <v>7.1265943332889464E-2</v>
      </c>
      <c r="AM249" s="1">
        <f t="shared" si="87"/>
        <v>6.754145353697108E-2</v>
      </c>
      <c r="AN249" s="1">
        <f t="shared" si="87"/>
        <v>6.3816963741052724E-2</v>
      </c>
      <c r="AO249" s="1">
        <f t="shared" si="87"/>
        <v>6.009247394513436E-2</v>
      </c>
    </row>
    <row r="250" spans="1:41">
      <c r="B250" s="1">
        <f t="shared" ref="B250:AO250" si="88">$H$110-B$106</f>
        <v>5.8011819765654338E-2</v>
      </c>
      <c r="C250" s="1">
        <f t="shared" si="88"/>
        <v>6.1736309561572722E-2</v>
      </c>
      <c r="D250" s="1">
        <f t="shared" si="88"/>
        <v>6.5460799357491078E-2</v>
      </c>
      <c r="E250" s="1">
        <f t="shared" si="88"/>
        <v>6.9185289153409435E-2</v>
      </c>
      <c r="F250" s="1">
        <f t="shared" si="88"/>
        <v>7.2909778949327819E-2</v>
      </c>
      <c r="G250" s="1">
        <f t="shared" si="88"/>
        <v>7.641615140231614E-2</v>
      </c>
      <c r="H250" s="1">
        <f t="shared" si="88"/>
        <v>7.8196973320124347E-2</v>
      </c>
      <c r="I250" s="1">
        <f t="shared" si="88"/>
        <v>7.9977795237932581E-2</v>
      </c>
      <c r="J250" s="1">
        <f t="shared" si="88"/>
        <v>8.1758617155740787E-2</v>
      </c>
      <c r="K250" s="1">
        <f t="shared" si="88"/>
        <v>8.3539439073548993E-2</v>
      </c>
      <c r="L250" s="1">
        <f t="shared" si="88"/>
        <v>8.5320260991357227E-2</v>
      </c>
      <c r="M250" s="1">
        <f t="shared" si="88"/>
        <v>8.7101082909165434E-2</v>
      </c>
      <c r="N250" s="1">
        <f t="shared" si="88"/>
        <v>8.8881904826973668E-2</v>
      </c>
      <c r="O250" s="1">
        <f t="shared" si="88"/>
        <v>8.9521084025387193E-2</v>
      </c>
      <c r="P250" s="1">
        <f t="shared" si="88"/>
        <v>8.9927134980801182E-2</v>
      </c>
      <c r="Q250" s="1">
        <f t="shared" si="88"/>
        <v>9.0333185936215199E-2</v>
      </c>
      <c r="R250" s="1">
        <f t="shared" si="88"/>
        <v>9.0739236891629216E-2</v>
      </c>
      <c r="S250" s="1">
        <f t="shared" si="88"/>
        <v>9.1145287847043233E-2</v>
      </c>
      <c r="T250" s="1">
        <f t="shared" si="88"/>
        <v>9.1551338802457249E-2</v>
      </c>
      <c r="U250" s="1">
        <f t="shared" si="88"/>
        <v>9.1957389757871266E-2</v>
      </c>
      <c r="V250" s="1">
        <f t="shared" si="88"/>
        <v>9.2363440713285283E-2</v>
      </c>
      <c r="W250" s="1">
        <f t="shared" si="88"/>
        <v>9.1957389757871266E-2</v>
      </c>
      <c r="X250" s="1">
        <f t="shared" si="88"/>
        <v>9.1551338802457249E-2</v>
      </c>
      <c r="Y250" s="1">
        <f t="shared" si="88"/>
        <v>9.1145287847043233E-2</v>
      </c>
      <c r="Z250" s="1">
        <f t="shared" si="88"/>
        <v>9.0739236891629216E-2</v>
      </c>
      <c r="AA250" s="1">
        <f t="shared" si="88"/>
        <v>9.0333185936215199E-2</v>
      </c>
      <c r="AB250" s="1">
        <f t="shared" si="88"/>
        <v>8.9927134980801182E-2</v>
      </c>
      <c r="AC250" s="1">
        <f t="shared" si="88"/>
        <v>8.9521084025387193E-2</v>
      </c>
      <c r="AD250" s="1">
        <f t="shared" si="88"/>
        <v>8.8881904826973668E-2</v>
      </c>
      <c r="AE250" s="1">
        <f t="shared" si="88"/>
        <v>8.7101082909165434E-2</v>
      </c>
      <c r="AF250" s="1">
        <f t="shared" si="88"/>
        <v>8.5320260991357227E-2</v>
      </c>
      <c r="AG250" s="1">
        <f t="shared" si="88"/>
        <v>8.3539439073548993E-2</v>
      </c>
      <c r="AH250" s="1">
        <f t="shared" si="88"/>
        <v>8.1758617155740787E-2</v>
      </c>
      <c r="AI250" s="1">
        <f t="shared" si="88"/>
        <v>7.9977795237932581E-2</v>
      </c>
      <c r="AJ250" s="1">
        <f t="shared" si="88"/>
        <v>7.8196973320124347E-2</v>
      </c>
      <c r="AK250" s="1">
        <f t="shared" si="88"/>
        <v>7.641615140231614E-2</v>
      </c>
      <c r="AL250" s="1">
        <f t="shared" si="88"/>
        <v>7.2909778949327819E-2</v>
      </c>
      <c r="AM250" s="1">
        <f t="shared" si="88"/>
        <v>6.9185289153409435E-2</v>
      </c>
      <c r="AN250" s="1">
        <f t="shared" si="88"/>
        <v>6.5460799357491078E-2</v>
      </c>
      <c r="AO250" s="1">
        <f t="shared" si="88"/>
        <v>6.1736309561572722E-2</v>
      </c>
    </row>
    <row r="251" spans="1:41">
      <c r="B251" s="1">
        <f t="shared" ref="B251:AO251" si="89">$I$110-B$106</f>
        <v>5.9655655382092693E-2</v>
      </c>
      <c r="C251" s="1">
        <f t="shared" si="89"/>
        <v>6.3380145178011077E-2</v>
      </c>
      <c r="D251" s="1">
        <f t="shared" si="89"/>
        <v>6.7104634973929433E-2</v>
      </c>
      <c r="E251" s="1">
        <f t="shared" si="89"/>
        <v>7.082912476984779E-2</v>
      </c>
      <c r="F251" s="1">
        <f t="shared" si="89"/>
        <v>7.4553614565766174E-2</v>
      </c>
      <c r="G251" s="1">
        <f t="shared" si="89"/>
        <v>7.8059987018754495E-2</v>
      </c>
      <c r="H251" s="1">
        <f t="shared" si="89"/>
        <v>7.9840808936562702E-2</v>
      </c>
      <c r="I251" s="1">
        <f t="shared" si="89"/>
        <v>8.1621630854370936E-2</v>
      </c>
      <c r="J251" s="1">
        <f t="shared" si="89"/>
        <v>8.3402452772179142E-2</v>
      </c>
      <c r="K251" s="1">
        <f t="shared" si="89"/>
        <v>8.5183274689987348E-2</v>
      </c>
      <c r="L251" s="1">
        <f t="shared" si="89"/>
        <v>8.6964096607795582E-2</v>
      </c>
      <c r="M251" s="1">
        <f t="shared" si="89"/>
        <v>8.8744918525603789E-2</v>
      </c>
      <c r="N251" s="1">
        <f t="shared" si="89"/>
        <v>9.0525740443412023E-2</v>
      </c>
      <c r="O251" s="1">
        <f t="shared" si="89"/>
        <v>9.1164919641825548E-2</v>
      </c>
      <c r="P251" s="1">
        <f t="shared" si="89"/>
        <v>9.1570970597239537E-2</v>
      </c>
      <c r="Q251" s="1">
        <f t="shared" si="89"/>
        <v>9.1977021552653554E-2</v>
      </c>
      <c r="R251" s="1">
        <f t="shared" si="89"/>
        <v>9.2383072508067571E-2</v>
      </c>
      <c r="S251" s="1">
        <f t="shared" si="89"/>
        <v>9.2789123463481588E-2</v>
      </c>
      <c r="T251" s="1">
        <f t="shared" si="89"/>
        <v>9.3195174418895604E-2</v>
      </c>
      <c r="U251" s="1">
        <f t="shared" si="89"/>
        <v>9.3601225374309621E-2</v>
      </c>
      <c r="V251" s="1">
        <f t="shared" si="89"/>
        <v>9.4007276329723638E-2</v>
      </c>
      <c r="W251" s="1">
        <f t="shared" si="89"/>
        <v>9.3601225374309621E-2</v>
      </c>
      <c r="X251" s="1">
        <f t="shared" si="89"/>
        <v>9.3195174418895604E-2</v>
      </c>
      <c r="Y251" s="1">
        <f t="shared" si="89"/>
        <v>9.2789123463481588E-2</v>
      </c>
      <c r="Z251" s="1">
        <f t="shared" si="89"/>
        <v>9.2383072508067571E-2</v>
      </c>
      <c r="AA251" s="1">
        <f t="shared" si="89"/>
        <v>9.1977021552653554E-2</v>
      </c>
      <c r="AB251" s="1">
        <f t="shared" si="89"/>
        <v>9.1570970597239537E-2</v>
      </c>
      <c r="AC251" s="1">
        <f t="shared" si="89"/>
        <v>9.1164919641825548E-2</v>
      </c>
      <c r="AD251" s="1">
        <f t="shared" si="89"/>
        <v>9.0525740443412023E-2</v>
      </c>
      <c r="AE251" s="1">
        <f t="shared" si="89"/>
        <v>8.8744918525603789E-2</v>
      </c>
      <c r="AF251" s="1">
        <f t="shared" si="89"/>
        <v>8.6964096607795582E-2</v>
      </c>
      <c r="AG251" s="1">
        <f t="shared" si="89"/>
        <v>8.5183274689987348E-2</v>
      </c>
      <c r="AH251" s="1">
        <f t="shared" si="89"/>
        <v>8.3402452772179142E-2</v>
      </c>
      <c r="AI251" s="1">
        <f t="shared" si="89"/>
        <v>8.1621630854370936E-2</v>
      </c>
      <c r="AJ251" s="1">
        <f t="shared" si="89"/>
        <v>7.9840808936562702E-2</v>
      </c>
      <c r="AK251" s="1">
        <f t="shared" si="89"/>
        <v>7.8059987018754495E-2</v>
      </c>
      <c r="AL251" s="1">
        <f t="shared" si="89"/>
        <v>7.4553614565766174E-2</v>
      </c>
      <c r="AM251" s="1">
        <f t="shared" si="89"/>
        <v>7.082912476984779E-2</v>
      </c>
      <c r="AN251" s="1">
        <f t="shared" si="89"/>
        <v>6.7104634973929433E-2</v>
      </c>
      <c r="AO251" s="1">
        <f t="shared" si="89"/>
        <v>6.3380145178011077E-2</v>
      </c>
    </row>
    <row r="252" spans="1:41">
      <c r="B252" s="1">
        <f t="shared" ref="B252:AO252" si="90">$J$110-B$106</f>
        <v>6.1299490998531055E-2</v>
      </c>
      <c r="C252" s="1">
        <f t="shared" si="90"/>
        <v>6.5023980794449432E-2</v>
      </c>
      <c r="D252" s="1">
        <f t="shared" si="90"/>
        <v>6.8748470590367788E-2</v>
      </c>
      <c r="E252" s="1">
        <f t="shared" si="90"/>
        <v>7.2472960386286145E-2</v>
      </c>
      <c r="F252" s="1">
        <f t="shared" si="90"/>
        <v>7.6197450182204529E-2</v>
      </c>
      <c r="G252" s="1">
        <f t="shared" si="90"/>
        <v>7.970382263519285E-2</v>
      </c>
      <c r="H252" s="1">
        <f t="shared" si="90"/>
        <v>8.1484644553001057E-2</v>
      </c>
      <c r="I252" s="1">
        <f t="shared" si="90"/>
        <v>8.3265466470809291E-2</v>
      </c>
      <c r="J252" s="1">
        <f t="shared" si="90"/>
        <v>8.5046288388617497E-2</v>
      </c>
      <c r="K252" s="1">
        <f t="shared" si="90"/>
        <v>8.6827110306425703E-2</v>
      </c>
      <c r="L252" s="1">
        <f t="shared" si="90"/>
        <v>8.8607932224233937E-2</v>
      </c>
      <c r="M252" s="1">
        <f t="shared" si="90"/>
        <v>9.0388754142042144E-2</v>
      </c>
      <c r="N252" s="1">
        <f t="shared" si="90"/>
        <v>9.2169576059850378E-2</v>
      </c>
      <c r="O252" s="1">
        <f t="shared" si="90"/>
        <v>9.2808755258263903E-2</v>
      </c>
      <c r="P252" s="1">
        <f t="shared" si="90"/>
        <v>9.3214806213677892E-2</v>
      </c>
      <c r="Q252" s="1">
        <f t="shared" si="90"/>
        <v>9.3620857169091909E-2</v>
      </c>
      <c r="R252" s="1">
        <f t="shared" si="90"/>
        <v>9.4026908124505926E-2</v>
      </c>
      <c r="S252" s="1">
        <f t="shared" si="90"/>
        <v>9.4432959079919943E-2</v>
      </c>
      <c r="T252" s="1">
        <f t="shared" si="90"/>
        <v>9.4839010035333959E-2</v>
      </c>
      <c r="U252" s="1">
        <f t="shared" si="90"/>
        <v>9.5245060990747976E-2</v>
      </c>
      <c r="V252" s="1">
        <f t="shared" si="90"/>
        <v>9.5651111946161993E-2</v>
      </c>
      <c r="W252" s="1">
        <f t="shared" si="90"/>
        <v>9.5245060990747976E-2</v>
      </c>
      <c r="X252" s="1">
        <f t="shared" si="90"/>
        <v>9.4839010035333959E-2</v>
      </c>
      <c r="Y252" s="1">
        <f t="shared" si="90"/>
        <v>9.4432959079919943E-2</v>
      </c>
      <c r="Z252" s="1">
        <f t="shared" si="90"/>
        <v>9.4026908124505926E-2</v>
      </c>
      <c r="AA252" s="1">
        <f t="shared" si="90"/>
        <v>9.3620857169091909E-2</v>
      </c>
      <c r="AB252" s="1">
        <f t="shared" si="90"/>
        <v>9.3214806213677892E-2</v>
      </c>
      <c r="AC252" s="1">
        <f t="shared" si="90"/>
        <v>9.2808755258263903E-2</v>
      </c>
      <c r="AD252" s="1">
        <f t="shared" si="90"/>
        <v>9.2169576059850378E-2</v>
      </c>
      <c r="AE252" s="1">
        <f t="shared" si="90"/>
        <v>9.0388754142042144E-2</v>
      </c>
      <c r="AF252" s="1">
        <f t="shared" si="90"/>
        <v>8.8607932224233937E-2</v>
      </c>
      <c r="AG252" s="1">
        <f t="shared" si="90"/>
        <v>8.6827110306425703E-2</v>
      </c>
      <c r="AH252" s="1">
        <f t="shared" si="90"/>
        <v>8.5046288388617497E-2</v>
      </c>
      <c r="AI252" s="1">
        <f t="shared" si="90"/>
        <v>8.3265466470809291E-2</v>
      </c>
      <c r="AJ252" s="1">
        <f t="shared" si="90"/>
        <v>8.1484644553001057E-2</v>
      </c>
      <c r="AK252" s="1">
        <f t="shared" si="90"/>
        <v>7.970382263519285E-2</v>
      </c>
      <c r="AL252" s="1">
        <f t="shared" si="90"/>
        <v>7.6197450182204529E-2</v>
      </c>
      <c r="AM252" s="1">
        <f t="shared" si="90"/>
        <v>7.2472960386286145E-2</v>
      </c>
      <c r="AN252" s="1">
        <f t="shared" si="90"/>
        <v>6.8748470590367788E-2</v>
      </c>
      <c r="AO252" s="1">
        <f t="shared" si="90"/>
        <v>6.5023980794449432E-2</v>
      </c>
    </row>
    <row r="253" spans="1:41">
      <c r="B253" s="1">
        <f t="shared" ref="B253:AO253" si="91">$K$110-B$106</f>
        <v>6.2943326614969403E-2</v>
      </c>
      <c r="C253" s="1">
        <f t="shared" si="91"/>
        <v>6.6667816410887787E-2</v>
      </c>
      <c r="D253" s="1">
        <f t="shared" si="91"/>
        <v>7.0392306206806143E-2</v>
      </c>
      <c r="E253" s="1">
        <f t="shared" si="91"/>
        <v>7.41167960027245E-2</v>
      </c>
      <c r="F253" s="1">
        <f t="shared" si="91"/>
        <v>7.7841285798642884E-2</v>
      </c>
      <c r="G253" s="1">
        <f t="shared" si="91"/>
        <v>8.1347658251631205E-2</v>
      </c>
      <c r="H253" s="1">
        <f t="shared" si="91"/>
        <v>8.3128480169439412E-2</v>
      </c>
      <c r="I253" s="1">
        <f t="shared" si="91"/>
        <v>8.4909302087247646E-2</v>
      </c>
      <c r="J253" s="1">
        <f t="shared" si="91"/>
        <v>8.6690124005055852E-2</v>
      </c>
      <c r="K253" s="1">
        <f t="shared" si="91"/>
        <v>8.8470945922864058E-2</v>
      </c>
      <c r="L253" s="1">
        <f t="shared" si="91"/>
        <v>9.0251767840672292E-2</v>
      </c>
      <c r="M253" s="1">
        <f t="shared" si="91"/>
        <v>9.2032589758480499E-2</v>
      </c>
      <c r="N253" s="1">
        <f t="shared" si="91"/>
        <v>9.3813411676288733E-2</v>
      </c>
      <c r="O253" s="1">
        <f t="shared" si="91"/>
        <v>9.4452590874702258E-2</v>
      </c>
      <c r="P253" s="1">
        <f t="shared" si="91"/>
        <v>9.4858641830116247E-2</v>
      </c>
      <c r="Q253" s="1">
        <f t="shared" si="91"/>
        <v>9.5264692785530264E-2</v>
      </c>
      <c r="R253" s="1">
        <f t="shared" si="91"/>
        <v>9.5670743740944281E-2</v>
      </c>
      <c r="S253" s="1">
        <f t="shared" si="91"/>
        <v>9.6076794696358297E-2</v>
      </c>
      <c r="T253" s="1">
        <f t="shared" si="91"/>
        <v>9.6482845651772314E-2</v>
      </c>
      <c r="U253" s="1">
        <f t="shared" si="91"/>
        <v>9.6888896607186331E-2</v>
      </c>
      <c r="V253" s="1">
        <f t="shared" si="91"/>
        <v>9.7294947562600348E-2</v>
      </c>
      <c r="W253" s="1">
        <f t="shared" si="91"/>
        <v>9.6888896607186331E-2</v>
      </c>
      <c r="X253" s="1">
        <f t="shared" si="91"/>
        <v>9.6482845651772314E-2</v>
      </c>
      <c r="Y253" s="1">
        <f t="shared" si="91"/>
        <v>9.6076794696358297E-2</v>
      </c>
      <c r="Z253" s="1">
        <f t="shared" si="91"/>
        <v>9.5670743740944281E-2</v>
      </c>
      <c r="AA253" s="1">
        <f t="shared" si="91"/>
        <v>9.5264692785530264E-2</v>
      </c>
      <c r="AB253" s="1">
        <f t="shared" si="91"/>
        <v>9.4858641830116247E-2</v>
      </c>
      <c r="AC253" s="1">
        <f t="shared" si="91"/>
        <v>9.4452590874702258E-2</v>
      </c>
      <c r="AD253" s="1">
        <f t="shared" si="91"/>
        <v>9.3813411676288733E-2</v>
      </c>
      <c r="AE253" s="1">
        <f t="shared" si="91"/>
        <v>9.2032589758480499E-2</v>
      </c>
      <c r="AF253" s="1">
        <f t="shared" si="91"/>
        <v>9.0251767840672292E-2</v>
      </c>
      <c r="AG253" s="1">
        <f t="shared" si="91"/>
        <v>8.8470945922864058E-2</v>
      </c>
      <c r="AH253" s="1">
        <f t="shared" si="91"/>
        <v>8.6690124005055852E-2</v>
      </c>
      <c r="AI253" s="1">
        <f t="shared" si="91"/>
        <v>8.4909302087247646E-2</v>
      </c>
      <c r="AJ253" s="1">
        <f t="shared" si="91"/>
        <v>8.3128480169439412E-2</v>
      </c>
      <c r="AK253" s="1">
        <f t="shared" si="91"/>
        <v>8.1347658251631205E-2</v>
      </c>
      <c r="AL253" s="1">
        <f t="shared" si="91"/>
        <v>7.7841285798642884E-2</v>
      </c>
      <c r="AM253" s="1">
        <f t="shared" si="91"/>
        <v>7.41167960027245E-2</v>
      </c>
      <c r="AN253" s="1">
        <f t="shared" si="91"/>
        <v>7.0392306206806143E-2</v>
      </c>
      <c r="AO253" s="1">
        <f t="shared" si="91"/>
        <v>6.6667816410887787E-2</v>
      </c>
    </row>
    <row r="254" spans="1:41">
      <c r="B254" s="1">
        <f t="shared" ref="B254:AO254" si="92">$L$110-B$106</f>
        <v>6.4587162231407771E-2</v>
      </c>
      <c r="C254" s="1">
        <f t="shared" si="92"/>
        <v>6.8311652027326156E-2</v>
      </c>
      <c r="D254" s="1">
        <f t="shared" si="92"/>
        <v>7.2036141823244512E-2</v>
      </c>
      <c r="E254" s="1">
        <f t="shared" si="92"/>
        <v>7.5760631619162869E-2</v>
      </c>
      <c r="F254" s="1">
        <f t="shared" si="92"/>
        <v>7.9485121415081253E-2</v>
      </c>
      <c r="G254" s="1">
        <f t="shared" si="92"/>
        <v>8.2991493868069574E-2</v>
      </c>
      <c r="H254" s="1">
        <f t="shared" si="92"/>
        <v>8.477231578587778E-2</v>
      </c>
      <c r="I254" s="1">
        <f t="shared" si="92"/>
        <v>8.6553137703686014E-2</v>
      </c>
      <c r="J254" s="1">
        <f t="shared" si="92"/>
        <v>8.8333959621494221E-2</v>
      </c>
      <c r="K254" s="1">
        <f t="shared" si="92"/>
        <v>9.0114781539302427E-2</v>
      </c>
      <c r="L254" s="1">
        <f t="shared" si="92"/>
        <v>9.1895603457110661E-2</v>
      </c>
      <c r="M254" s="1">
        <f t="shared" si="92"/>
        <v>9.3676425374918867E-2</v>
      </c>
      <c r="N254" s="1">
        <f t="shared" si="92"/>
        <v>9.5457247292727102E-2</v>
      </c>
      <c r="O254" s="1">
        <f t="shared" si="92"/>
        <v>9.6096426491140627E-2</v>
      </c>
      <c r="P254" s="1">
        <f t="shared" si="92"/>
        <v>9.6502477446554616E-2</v>
      </c>
      <c r="Q254" s="1">
        <f t="shared" si="92"/>
        <v>9.6908528401968633E-2</v>
      </c>
      <c r="R254" s="1">
        <f t="shared" si="92"/>
        <v>9.731457935738265E-2</v>
      </c>
      <c r="S254" s="1">
        <f t="shared" si="92"/>
        <v>9.7720630312796666E-2</v>
      </c>
      <c r="T254" s="1">
        <f t="shared" si="92"/>
        <v>9.8126681268210683E-2</v>
      </c>
      <c r="U254" s="1">
        <f t="shared" si="92"/>
        <v>9.85327322236247E-2</v>
      </c>
      <c r="V254" s="1">
        <f t="shared" si="92"/>
        <v>9.8938783179038717E-2</v>
      </c>
      <c r="W254" s="1">
        <f t="shared" si="92"/>
        <v>9.85327322236247E-2</v>
      </c>
      <c r="X254" s="1">
        <f t="shared" si="92"/>
        <v>9.8126681268210683E-2</v>
      </c>
      <c r="Y254" s="1">
        <f t="shared" si="92"/>
        <v>9.7720630312796666E-2</v>
      </c>
      <c r="Z254" s="1">
        <f t="shared" si="92"/>
        <v>9.731457935738265E-2</v>
      </c>
      <c r="AA254" s="1">
        <f t="shared" si="92"/>
        <v>9.6908528401968633E-2</v>
      </c>
      <c r="AB254" s="1">
        <f t="shared" si="92"/>
        <v>9.6502477446554616E-2</v>
      </c>
      <c r="AC254" s="1">
        <f t="shared" si="92"/>
        <v>9.6096426491140627E-2</v>
      </c>
      <c r="AD254" s="1">
        <f t="shared" si="92"/>
        <v>9.5457247292727102E-2</v>
      </c>
      <c r="AE254" s="1">
        <f t="shared" si="92"/>
        <v>9.3676425374918867E-2</v>
      </c>
      <c r="AF254" s="1">
        <f t="shared" si="92"/>
        <v>9.1895603457110661E-2</v>
      </c>
      <c r="AG254" s="1">
        <f t="shared" si="92"/>
        <v>9.0114781539302427E-2</v>
      </c>
      <c r="AH254" s="1">
        <f t="shared" si="92"/>
        <v>8.8333959621494221E-2</v>
      </c>
      <c r="AI254" s="1">
        <f t="shared" si="92"/>
        <v>8.6553137703686014E-2</v>
      </c>
      <c r="AJ254" s="1">
        <f t="shared" si="92"/>
        <v>8.477231578587778E-2</v>
      </c>
      <c r="AK254" s="1">
        <f t="shared" si="92"/>
        <v>8.2991493868069574E-2</v>
      </c>
      <c r="AL254" s="1">
        <f t="shared" si="92"/>
        <v>7.9485121415081253E-2</v>
      </c>
      <c r="AM254" s="1">
        <f t="shared" si="92"/>
        <v>7.5760631619162869E-2</v>
      </c>
      <c r="AN254" s="1">
        <f t="shared" si="92"/>
        <v>7.2036141823244512E-2</v>
      </c>
      <c r="AO254" s="1">
        <f t="shared" si="92"/>
        <v>6.8311652027326156E-2</v>
      </c>
    </row>
    <row r="255" spans="1:41">
      <c r="B255" s="1">
        <f t="shared" ref="B255:AO255" si="93">$M$110-B$106</f>
        <v>6.6230997847846113E-2</v>
      </c>
      <c r="C255" s="1">
        <f t="shared" si="93"/>
        <v>6.9955487643764497E-2</v>
      </c>
      <c r="D255" s="1">
        <f t="shared" si="93"/>
        <v>7.3679977439682853E-2</v>
      </c>
      <c r="E255" s="1">
        <f t="shared" si="93"/>
        <v>7.740446723560121E-2</v>
      </c>
      <c r="F255" s="1">
        <f t="shared" si="93"/>
        <v>8.1128957031519594E-2</v>
      </c>
      <c r="G255" s="1">
        <f t="shared" si="93"/>
        <v>8.4635329484507915E-2</v>
      </c>
      <c r="H255" s="1">
        <f t="shared" si="93"/>
        <v>8.6416151402316121E-2</v>
      </c>
      <c r="I255" s="1">
        <f t="shared" si="93"/>
        <v>8.8196973320124356E-2</v>
      </c>
      <c r="J255" s="1">
        <f t="shared" si="93"/>
        <v>8.9977795237932562E-2</v>
      </c>
      <c r="K255" s="1">
        <f t="shared" si="93"/>
        <v>9.1758617155740768E-2</v>
      </c>
      <c r="L255" s="1">
        <f t="shared" si="93"/>
        <v>9.3539439073549002E-2</v>
      </c>
      <c r="M255" s="1">
        <f t="shared" si="93"/>
        <v>9.5320260991357209E-2</v>
      </c>
      <c r="N255" s="1">
        <f t="shared" si="93"/>
        <v>9.7101082909165443E-2</v>
      </c>
      <c r="O255" s="1">
        <f t="shared" si="93"/>
        <v>9.7740262107578968E-2</v>
      </c>
      <c r="P255" s="1">
        <f t="shared" si="93"/>
        <v>9.8146313062992957E-2</v>
      </c>
      <c r="Q255" s="1">
        <f t="shared" si="93"/>
        <v>9.8552364018406974E-2</v>
      </c>
      <c r="R255" s="1">
        <f t="shared" si="93"/>
        <v>9.8958414973820991E-2</v>
      </c>
      <c r="S255" s="1">
        <f t="shared" si="93"/>
        <v>9.9364465929235007E-2</v>
      </c>
      <c r="T255" s="1">
        <f t="shared" si="93"/>
        <v>9.9770516884649024E-2</v>
      </c>
      <c r="U255" s="1">
        <f t="shared" si="93"/>
        <v>0.10017656784006304</v>
      </c>
      <c r="V255" s="1">
        <f t="shared" si="93"/>
        <v>0.10058261879547706</v>
      </c>
      <c r="W255" s="1">
        <f t="shared" si="93"/>
        <v>0.10017656784006304</v>
      </c>
      <c r="X255" s="1">
        <f t="shared" si="93"/>
        <v>9.9770516884649024E-2</v>
      </c>
      <c r="Y255" s="1">
        <f t="shared" si="93"/>
        <v>9.9364465929235007E-2</v>
      </c>
      <c r="Z255" s="1">
        <f t="shared" si="93"/>
        <v>9.8958414973820991E-2</v>
      </c>
      <c r="AA255" s="1">
        <f t="shared" si="93"/>
        <v>9.8552364018406974E-2</v>
      </c>
      <c r="AB255" s="1">
        <f t="shared" si="93"/>
        <v>9.8146313062992957E-2</v>
      </c>
      <c r="AC255" s="1">
        <f t="shared" si="93"/>
        <v>9.7740262107578968E-2</v>
      </c>
      <c r="AD255" s="1">
        <f t="shared" si="93"/>
        <v>9.7101082909165443E-2</v>
      </c>
      <c r="AE255" s="1">
        <f t="shared" si="93"/>
        <v>9.5320260991357209E-2</v>
      </c>
      <c r="AF255" s="1">
        <f t="shared" si="93"/>
        <v>9.3539439073549002E-2</v>
      </c>
      <c r="AG255" s="1">
        <f t="shared" si="93"/>
        <v>9.1758617155740768E-2</v>
      </c>
      <c r="AH255" s="1">
        <f t="shared" si="93"/>
        <v>8.9977795237932562E-2</v>
      </c>
      <c r="AI255" s="1">
        <f t="shared" si="93"/>
        <v>8.8196973320124356E-2</v>
      </c>
      <c r="AJ255" s="1">
        <f t="shared" si="93"/>
        <v>8.6416151402316121E-2</v>
      </c>
      <c r="AK255" s="1">
        <f t="shared" si="93"/>
        <v>8.4635329484507915E-2</v>
      </c>
      <c r="AL255" s="1">
        <f t="shared" si="93"/>
        <v>8.1128957031519594E-2</v>
      </c>
      <c r="AM255" s="1">
        <f t="shared" si="93"/>
        <v>7.740446723560121E-2</v>
      </c>
      <c r="AN255" s="1">
        <f t="shared" si="93"/>
        <v>7.3679977439682853E-2</v>
      </c>
      <c r="AO255" s="1">
        <f t="shared" si="93"/>
        <v>6.9955487643764497E-2</v>
      </c>
    </row>
    <row r="256" spans="1:41">
      <c r="B256" s="1">
        <f t="shared" ref="B256:AO256" si="94">$N$110-B$106</f>
        <v>6.7420656733308493E-2</v>
      </c>
      <c r="C256" s="1">
        <f t="shared" si="94"/>
        <v>7.1145146529226877E-2</v>
      </c>
      <c r="D256" s="1">
        <f t="shared" si="94"/>
        <v>7.4869636325145233E-2</v>
      </c>
      <c r="E256" s="1">
        <f t="shared" si="94"/>
        <v>7.859412612106359E-2</v>
      </c>
      <c r="F256" s="1">
        <f t="shared" si="94"/>
        <v>8.2318615916981974E-2</v>
      </c>
      <c r="G256" s="1">
        <f t="shared" si="94"/>
        <v>8.5824988369970295E-2</v>
      </c>
      <c r="H256" s="1">
        <f t="shared" si="94"/>
        <v>8.7605810287778502E-2</v>
      </c>
      <c r="I256" s="1">
        <f t="shared" si="94"/>
        <v>8.9386632205586736E-2</v>
      </c>
      <c r="J256" s="1">
        <f t="shared" si="94"/>
        <v>9.1167454123394942E-2</v>
      </c>
      <c r="K256" s="1">
        <f t="shared" si="94"/>
        <v>9.2948276041203148E-2</v>
      </c>
      <c r="L256" s="1">
        <f t="shared" si="94"/>
        <v>9.4729097959011382E-2</v>
      </c>
      <c r="M256" s="1">
        <f t="shared" si="94"/>
        <v>9.6509919876819589E-2</v>
      </c>
      <c r="N256" s="1">
        <f t="shared" si="94"/>
        <v>9.8290741794627823E-2</v>
      </c>
      <c r="O256" s="1">
        <f t="shared" si="94"/>
        <v>9.8929920993041348E-2</v>
      </c>
      <c r="P256" s="1">
        <f t="shared" si="94"/>
        <v>9.9335971948455337E-2</v>
      </c>
      <c r="Q256" s="1">
        <f t="shared" si="94"/>
        <v>9.9742022903869354E-2</v>
      </c>
      <c r="R256" s="1">
        <f t="shared" si="94"/>
        <v>0.10014807385928337</v>
      </c>
      <c r="S256" s="1">
        <f t="shared" si="94"/>
        <v>0.10055412481469739</v>
      </c>
      <c r="T256" s="1">
        <f t="shared" si="94"/>
        <v>0.1009601757701114</v>
      </c>
      <c r="U256" s="1">
        <f t="shared" si="94"/>
        <v>0.10136622672552542</v>
      </c>
      <c r="V256" s="1">
        <f t="shared" si="94"/>
        <v>0.10177227768093944</v>
      </c>
      <c r="W256" s="1">
        <f t="shared" si="94"/>
        <v>0.10136622672552542</v>
      </c>
      <c r="X256" s="1">
        <f t="shared" si="94"/>
        <v>0.1009601757701114</v>
      </c>
      <c r="Y256" s="1">
        <f t="shared" si="94"/>
        <v>0.10055412481469739</v>
      </c>
      <c r="Z256" s="1">
        <f t="shared" si="94"/>
        <v>0.10014807385928337</v>
      </c>
      <c r="AA256" s="1">
        <f t="shared" si="94"/>
        <v>9.9742022903869354E-2</v>
      </c>
      <c r="AB256" s="1">
        <f t="shared" si="94"/>
        <v>9.9335971948455337E-2</v>
      </c>
      <c r="AC256" s="1">
        <f t="shared" si="94"/>
        <v>9.8929920993041348E-2</v>
      </c>
      <c r="AD256" s="1">
        <f t="shared" si="94"/>
        <v>9.8290741794627823E-2</v>
      </c>
      <c r="AE256" s="1">
        <f t="shared" si="94"/>
        <v>9.6509919876819589E-2</v>
      </c>
      <c r="AF256" s="1">
        <f t="shared" si="94"/>
        <v>9.4729097959011382E-2</v>
      </c>
      <c r="AG256" s="1">
        <f t="shared" si="94"/>
        <v>9.2948276041203148E-2</v>
      </c>
      <c r="AH256" s="1">
        <f t="shared" si="94"/>
        <v>9.1167454123394942E-2</v>
      </c>
      <c r="AI256" s="1">
        <f t="shared" si="94"/>
        <v>8.9386632205586736E-2</v>
      </c>
      <c r="AJ256" s="1">
        <f t="shared" si="94"/>
        <v>8.7605810287778502E-2</v>
      </c>
      <c r="AK256" s="1">
        <f t="shared" si="94"/>
        <v>8.5824988369970295E-2</v>
      </c>
      <c r="AL256" s="1">
        <f t="shared" si="94"/>
        <v>8.2318615916981974E-2</v>
      </c>
      <c r="AM256" s="1">
        <f t="shared" si="94"/>
        <v>7.859412612106359E-2</v>
      </c>
      <c r="AN256" s="1">
        <f t="shared" si="94"/>
        <v>7.4869636325145233E-2</v>
      </c>
      <c r="AO256" s="1">
        <f t="shared" si="94"/>
        <v>7.1145146529226877E-2</v>
      </c>
    </row>
    <row r="257" spans="2:41">
      <c r="B257" s="1">
        <f t="shared" ref="B257:AO257" si="95">$O$110-B$106</f>
        <v>6.715159751894148E-2</v>
      </c>
      <c r="C257" s="1">
        <f t="shared" si="95"/>
        <v>7.0876087314859865E-2</v>
      </c>
      <c r="D257" s="1">
        <f t="shared" si="95"/>
        <v>7.4600577110778221E-2</v>
      </c>
      <c r="E257" s="1">
        <f t="shared" si="95"/>
        <v>7.8325066906696578E-2</v>
      </c>
      <c r="F257" s="1">
        <f t="shared" si="95"/>
        <v>8.2049556702614962E-2</v>
      </c>
      <c r="G257" s="1">
        <f t="shared" si="95"/>
        <v>8.5555929155603283E-2</v>
      </c>
      <c r="H257" s="1">
        <f t="shared" si="95"/>
        <v>8.7336751073411489E-2</v>
      </c>
      <c r="I257" s="1">
        <f t="shared" si="95"/>
        <v>8.9117572991219723E-2</v>
      </c>
      <c r="J257" s="1">
        <f t="shared" si="95"/>
        <v>9.089839490902793E-2</v>
      </c>
      <c r="K257" s="1">
        <f t="shared" si="95"/>
        <v>9.2679216826836136E-2</v>
      </c>
      <c r="L257" s="1">
        <f t="shared" si="95"/>
        <v>9.446003874464437E-2</v>
      </c>
      <c r="M257" s="1">
        <f t="shared" si="95"/>
        <v>9.6240860662452576E-2</v>
      </c>
      <c r="N257" s="1">
        <f t="shared" si="95"/>
        <v>9.802168258026081E-2</v>
      </c>
      <c r="O257" s="1">
        <f t="shared" si="95"/>
        <v>9.8660861778674336E-2</v>
      </c>
      <c r="P257" s="1">
        <f t="shared" si="95"/>
        <v>9.9066912734088325E-2</v>
      </c>
      <c r="Q257" s="1">
        <f t="shared" si="95"/>
        <v>9.9472963689502342E-2</v>
      </c>
      <c r="R257" s="1">
        <f t="shared" si="95"/>
        <v>9.9879014644916359E-2</v>
      </c>
      <c r="S257" s="1">
        <f t="shared" si="95"/>
        <v>0.10028506560033038</v>
      </c>
      <c r="T257" s="1">
        <f t="shared" si="95"/>
        <v>0.10069111655574439</v>
      </c>
      <c r="U257" s="1">
        <f t="shared" si="95"/>
        <v>0.10109716751115841</v>
      </c>
      <c r="V257" s="1">
        <f t="shared" si="95"/>
        <v>0.10150321846657243</v>
      </c>
      <c r="W257" s="1">
        <f t="shared" si="95"/>
        <v>0.10109716751115841</v>
      </c>
      <c r="X257" s="1">
        <f t="shared" si="95"/>
        <v>0.10069111655574439</v>
      </c>
      <c r="Y257" s="1">
        <f t="shared" si="95"/>
        <v>0.10028506560033038</v>
      </c>
      <c r="Z257" s="1">
        <f t="shared" si="95"/>
        <v>9.9879014644916359E-2</v>
      </c>
      <c r="AA257" s="1">
        <f t="shared" si="95"/>
        <v>9.9472963689502342E-2</v>
      </c>
      <c r="AB257" s="1">
        <f t="shared" si="95"/>
        <v>9.9066912734088325E-2</v>
      </c>
      <c r="AC257" s="1">
        <f t="shared" si="95"/>
        <v>9.8660861778674336E-2</v>
      </c>
      <c r="AD257" s="1">
        <f t="shared" si="95"/>
        <v>9.802168258026081E-2</v>
      </c>
      <c r="AE257" s="1">
        <f t="shared" si="95"/>
        <v>9.6240860662452576E-2</v>
      </c>
      <c r="AF257" s="1">
        <f t="shared" si="95"/>
        <v>9.446003874464437E-2</v>
      </c>
      <c r="AG257" s="1">
        <f t="shared" si="95"/>
        <v>9.2679216826836136E-2</v>
      </c>
      <c r="AH257" s="1">
        <f t="shared" si="95"/>
        <v>9.089839490902793E-2</v>
      </c>
      <c r="AI257" s="1">
        <f t="shared" si="95"/>
        <v>8.9117572991219723E-2</v>
      </c>
      <c r="AJ257" s="1">
        <f t="shared" si="95"/>
        <v>8.7336751073411489E-2</v>
      </c>
      <c r="AK257" s="1">
        <f t="shared" si="95"/>
        <v>8.5555929155603283E-2</v>
      </c>
      <c r="AL257" s="1">
        <f t="shared" si="95"/>
        <v>8.2049556702614962E-2</v>
      </c>
      <c r="AM257" s="1">
        <f t="shared" si="95"/>
        <v>7.8325066906696578E-2</v>
      </c>
      <c r="AN257" s="1">
        <f t="shared" si="95"/>
        <v>7.4600577110778221E-2</v>
      </c>
      <c r="AO257" s="1">
        <f t="shared" si="95"/>
        <v>7.0876087314859865E-2</v>
      </c>
    </row>
    <row r="258" spans="2:41">
      <c r="B258" s="1">
        <f t="shared" ref="B258:AO258" si="96">$P$110-B$106</f>
        <v>6.7016247200470141E-2</v>
      </c>
      <c r="C258" s="1">
        <f t="shared" si="96"/>
        <v>7.0740736996388526E-2</v>
      </c>
      <c r="D258" s="1">
        <f t="shared" si="96"/>
        <v>7.4465226792306882E-2</v>
      </c>
      <c r="E258" s="1">
        <f t="shared" si="96"/>
        <v>7.8189716588225239E-2</v>
      </c>
      <c r="F258" s="1">
        <f t="shared" si="96"/>
        <v>8.1914206384143623E-2</v>
      </c>
      <c r="G258" s="1">
        <f t="shared" si="96"/>
        <v>8.5420578837131944E-2</v>
      </c>
      <c r="H258" s="1">
        <f t="shared" si="96"/>
        <v>8.720140075494015E-2</v>
      </c>
      <c r="I258" s="1">
        <f t="shared" si="96"/>
        <v>8.8982222672748384E-2</v>
      </c>
      <c r="J258" s="1">
        <f t="shared" si="96"/>
        <v>9.0763044590556591E-2</v>
      </c>
      <c r="K258" s="1">
        <f t="shared" si="96"/>
        <v>9.2543866508364797E-2</v>
      </c>
      <c r="L258" s="1">
        <f t="shared" si="96"/>
        <v>9.4324688426173031E-2</v>
      </c>
      <c r="M258" s="1">
        <f t="shared" si="96"/>
        <v>9.6105510343981237E-2</v>
      </c>
      <c r="N258" s="1">
        <f t="shared" si="96"/>
        <v>9.7886332261789472E-2</v>
      </c>
      <c r="O258" s="1">
        <f t="shared" si="96"/>
        <v>9.8525511460202997E-2</v>
      </c>
      <c r="P258" s="1">
        <f t="shared" si="96"/>
        <v>9.8931562415616986E-2</v>
      </c>
      <c r="Q258" s="1">
        <f t="shared" si="96"/>
        <v>9.9337613371031003E-2</v>
      </c>
      <c r="R258" s="1">
        <f t="shared" si="96"/>
        <v>9.974366432644502E-2</v>
      </c>
      <c r="S258" s="1">
        <f t="shared" si="96"/>
        <v>0.10014971528185904</v>
      </c>
      <c r="T258" s="1">
        <f t="shared" si="96"/>
        <v>0.10055576623727305</v>
      </c>
      <c r="U258" s="1">
        <f t="shared" si="96"/>
        <v>0.10096181719268707</v>
      </c>
      <c r="V258" s="1">
        <f t="shared" si="96"/>
        <v>0.10136786814810109</v>
      </c>
      <c r="W258" s="1">
        <f t="shared" si="96"/>
        <v>0.10096181719268707</v>
      </c>
      <c r="X258" s="1">
        <f t="shared" si="96"/>
        <v>0.10055576623727305</v>
      </c>
      <c r="Y258" s="1">
        <f t="shared" si="96"/>
        <v>0.10014971528185904</v>
      </c>
      <c r="Z258" s="1">
        <f t="shared" si="96"/>
        <v>9.974366432644502E-2</v>
      </c>
      <c r="AA258" s="1">
        <f t="shared" si="96"/>
        <v>9.9337613371031003E-2</v>
      </c>
      <c r="AB258" s="1">
        <f t="shared" si="96"/>
        <v>9.8931562415616986E-2</v>
      </c>
      <c r="AC258" s="1">
        <f t="shared" si="96"/>
        <v>9.8525511460202997E-2</v>
      </c>
      <c r="AD258" s="1">
        <f t="shared" si="96"/>
        <v>9.7886332261789472E-2</v>
      </c>
      <c r="AE258" s="1">
        <f t="shared" si="96"/>
        <v>9.6105510343981237E-2</v>
      </c>
      <c r="AF258" s="1">
        <f t="shared" si="96"/>
        <v>9.4324688426173031E-2</v>
      </c>
      <c r="AG258" s="1">
        <f t="shared" si="96"/>
        <v>9.2543866508364797E-2</v>
      </c>
      <c r="AH258" s="1">
        <f t="shared" si="96"/>
        <v>9.0763044590556591E-2</v>
      </c>
      <c r="AI258" s="1">
        <f t="shared" si="96"/>
        <v>8.8982222672748384E-2</v>
      </c>
      <c r="AJ258" s="1">
        <f t="shared" si="96"/>
        <v>8.720140075494015E-2</v>
      </c>
      <c r="AK258" s="1">
        <f t="shared" si="96"/>
        <v>8.5420578837131944E-2</v>
      </c>
      <c r="AL258" s="1">
        <f t="shared" si="96"/>
        <v>8.1914206384143623E-2</v>
      </c>
      <c r="AM258" s="1">
        <f t="shared" si="96"/>
        <v>7.8189716588225239E-2</v>
      </c>
      <c r="AN258" s="1">
        <f t="shared" si="96"/>
        <v>7.4465226792306882E-2</v>
      </c>
      <c r="AO258" s="1">
        <f t="shared" si="96"/>
        <v>7.0740736996388526E-2</v>
      </c>
    </row>
    <row r="259" spans="2:41">
      <c r="B259" s="1">
        <f t="shared" ref="B259:AO259" si="97">$Q$110-B$106</f>
        <v>6.6880896881998803E-2</v>
      </c>
      <c r="C259" s="1">
        <f t="shared" si="97"/>
        <v>7.0605386677917187E-2</v>
      </c>
      <c r="D259" s="1">
        <f t="shared" si="97"/>
        <v>7.4329876473835543E-2</v>
      </c>
      <c r="E259" s="1">
        <f t="shared" si="97"/>
        <v>7.80543662697539E-2</v>
      </c>
      <c r="F259" s="1">
        <f t="shared" si="97"/>
        <v>8.1778856065672284E-2</v>
      </c>
      <c r="G259" s="1">
        <f t="shared" si="97"/>
        <v>8.5285228518660605E-2</v>
      </c>
      <c r="H259" s="1">
        <f t="shared" si="97"/>
        <v>8.7066050436468811E-2</v>
      </c>
      <c r="I259" s="1">
        <f t="shared" si="97"/>
        <v>8.8846872354277046E-2</v>
      </c>
      <c r="J259" s="1">
        <f t="shared" si="97"/>
        <v>9.0627694272085252E-2</v>
      </c>
      <c r="K259" s="1">
        <f t="shared" si="97"/>
        <v>9.2408516189893458E-2</v>
      </c>
      <c r="L259" s="1">
        <f t="shared" si="97"/>
        <v>9.4189338107701692E-2</v>
      </c>
      <c r="M259" s="1">
        <f t="shared" si="97"/>
        <v>9.5970160025509899E-2</v>
      </c>
      <c r="N259" s="1">
        <f t="shared" si="97"/>
        <v>9.7750981943318133E-2</v>
      </c>
      <c r="O259" s="1">
        <f t="shared" si="97"/>
        <v>9.8390161141731658E-2</v>
      </c>
      <c r="P259" s="1">
        <f t="shared" si="97"/>
        <v>9.8796212097145647E-2</v>
      </c>
      <c r="Q259" s="1">
        <f t="shared" si="97"/>
        <v>9.9202263052559664E-2</v>
      </c>
      <c r="R259" s="1">
        <f t="shared" si="97"/>
        <v>9.9608314007973681E-2</v>
      </c>
      <c r="S259" s="1">
        <f t="shared" si="97"/>
        <v>0.1000143649633877</v>
      </c>
      <c r="T259" s="1">
        <f t="shared" si="97"/>
        <v>0.10042041591880171</v>
      </c>
      <c r="U259" s="1">
        <f t="shared" si="97"/>
        <v>0.10082646687421573</v>
      </c>
      <c r="V259" s="1">
        <f t="shared" si="97"/>
        <v>0.10123251782962975</v>
      </c>
      <c r="W259" s="1">
        <f t="shared" si="97"/>
        <v>0.10082646687421573</v>
      </c>
      <c r="X259" s="1">
        <f t="shared" si="97"/>
        <v>0.10042041591880171</v>
      </c>
      <c r="Y259" s="1">
        <f t="shared" si="97"/>
        <v>0.1000143649633877</v>
      </c>
      <c r="Z259" s="1">
        <f t="shared" si="97"/>
        <v>9.9608314007973681E-2</v>
      </c>
      <c r="AA259" s="1">
        <f t="shared" si="97"/>
        <v>9.9202263052559664E-2</v>
      </c>
      <c r="AB259" s="1">
        <f t="shared" si="97"/>
        <v>9.8796212097145647E-2</v>
      </c>
      <c r="AC259" s="1">
        <f t="shared" si="97"/>
        <v>9.8390161141731658E-2</v>
      </c>
      <c r="AD259" s="1">
        <f t="shared" si="97"/>
        <v>9.7750981943318133E-2</v>
      </c>
      <c r="AE259" s="1">
        <f t="shared" si="97"/>
        <v>9.5970160025509899E-2</v>
      </c>
      <c r="AF259" s="1">
        <f t="shared" si="97"/>
        <v>9.4189338107701692E-2</v>
      </c>
      <c r="AG259" s="1">
        <f t="shared" si="97"/>
        <v>9.2408516189893458E-2</v>
      </c>
      <c r="AH259" s="1">
        <f t="shared" si="97"/>
        <v>9.0627694272085252E-2</v>
      </c>
      <c r="AI259" s="1">
        <f t="shared" si="97"/>
        <v>8.8846872354277046E-2</v>
      </c>
      <c r="AJ259" s="1">
        <f t="shared" si="97"/>
        <v>8.7066050436468811E-2</v>
      </c>
      <c r="AK259" s="1">
        <f t="shared" si="97"/>
        <v>8.5285228518660605E-2</v>
      </c>
      <c r="AL259" s="1">
        <f t="shared" si="97"/>
        <v>8.1778856065672284E-2</v>
      </c>
      <c r="AM259" s="1">
        <f t="shared" si="97"/>
        <v>7.80543662697539E-2</v>
      </c>
      <c r="AN259" s="1">
        <f t="shared" si="97"/>
        <v>7.4329876473835543E-2</v>
      </c>
      <c r="AO259" s="1">
        <f t="shared" si="97"/>
        <v>7.0605386677917187E-2</v>
      </c>
    </row>
    <row r="260" spans="2:41">
      <c r="B260" s="1">
        <f t="shared" ref="B260:AO260" si="98">$R$110-B$106</f>
        <v>6.6745546563527464E-2</v>
      </c>
      <c r="C260" s="1">
        <f t="shared" si="98"/>
        <v>7.0470036359445848E-2</v>
      </c>
      <c r="D260" s="1">
        <f t="shared" si="98"/>
        <v>7.4194526155364204E-2</v>
      </c>
      <c r="E260" s="1">
        <f t="shared" si="98"/>
        <v>7.7919015951282561E-2</v>
      </c>
      <c r="F260" s="1">
        <f t="shared" si="98"/>
        <v>8.1643505747200945E-2</v>
      </c>
      <c r="G260" s="1">
        <f t="shared" si="98"/>
        <v>8.5149878200189266E-2</v>
      </c>
      <c r="H260" s="1">
        <f t="shared" si="98"/>
        <v>8.6930700117997473E-2</v>
      </c>
      <c r="I260" s="1">
        <f t="shared" si="98"/>
        <v>8.8711522035805707E-2</v>
      </c>
      <c r="J260" s="1">
        <f t="shared" si="98"/>
        <v>9.0492343953613913E-2</v>
      </c>
      <c r="K260" s="1">
        <f t="shared" si="98"/>
        <v>9.2273165871422119E-2</v>
      </c>
      <c r="L260" s="1">
        <f t="shared" si="98"/>
        <v>9.4053987789230353E-2</v>
      </c>
      <c r="M260" s="1">
        <f t="shared" si="98"/>
        <v>9.583480970703856E-2</v>
      </c>
      <c r="N260" s="1">
        <f t="shared" si="98"/>
        <v>9.7615631624846794E-2</v>
      </c>
      <c r="O260" s="1">
        <f t="shared" si="98"/>
        <v>9.8254810823260319E-2</v>
      </c>
      <c r="P260" s="1">
        <f t="shared" si="98"/>
        <v>9.8660861778674308E-2</v>
      </c>
      <c r="Q260" s="1">
        <f t="shared" si="98"/>
        <v>9.9066912734088325E-2</v>
      </c>
      <c r="R260" s="1">
        <f t="shared" si="98"/>
        <v>9.9472963689502342E-2</v>
      </c>
      <c r="S260" s="1">
        <f t="shared" si="98"/>
        <v>9.9879014644916359E-2</v>
      </c>
      <c r="T260" s="1">
        <f t="shared" si="98"/>
        <v>0.10028506560033038</v>
      </c>
      <c r="U260" s="1">
        <f t="shared" si="98"/>
        <v>0.10069111655574439</v>
      </c>
      <c r="V260" s="1">
        <f t="shared" si="98"/>
        <v>0.10109716751115841</v>
      </c>
      <c r="W260" s="1">
        <f t="shared" si="98"/>
        <v>0.10069111655574439</v>
      </c>
      <c r="X260" s="1">
        <f t="shared" si="98"/>
        <v>0.10028506560033038</v>
      </c>
      <c r="Y260" s="1">
        <f t="shared" si="98"/>
        <v>9.9879014644916359E-2</v>
      </c>
      <c r="Z260" s="1">
        <f t="shared" si="98"/>
        <v>9.9472963689502342E-2</v>
      </c>
      <c r="AA260" s="1">
        <f t="shared" si="98"/>
        <v>9.9066912734088325E-2</v>
      </c>
      <c r="AB260" s="1">
        <f t="shared" si="98"/>
        <v>9.8660861778674308E-2</v>
      </c>
      <c r="AC260" s="1">
        <f t="shared" si="98"/>
        <v>9.8254810823260319E-2</v>
      </c>
      <c r="AD260" s="1">
        <f t="shared" si="98"/>
        <v>9.7615631624846794E-2</v>
      </c>
      <c r="AE260" s="1">
        <f t="shared" si="98"/>
        <v>9.583480970703856E-2</v>
      </c>
      <c r="AF260" s="1">
        <f t="shared" si="98"/>
        <v>9.4053987789230353E-2</v>
      </c>
      <c r="AG260" s="1">
        <f t="shared" si="98"/>
        <v>9.2273165871422119E-2</v>
      </c>
      <c r="AH260" s="1">
        <f t="shared" si="98"/>
        <v>9.0492343953613913E-2</v>
      </c>
      <c r="AI260" s="1">
        <f t="shared" si="98"/>
        <v>8.8711522035805707E-2</v>
      </c>
      <c r="AJ260" s="1">
        <f t="shared" si="98"/>
        <v>8.6930700117997473E-2</v>
      </c>
      <c r="AK260" s="1">
        <f t="shared" si="98"/>
        <v>8.5149878200189266E-2</v>
      </c>
      <c r="AL260" s="1">
        <f t="shared" si="98"/>
        <v>8.1643505747200945E-2</v>
      </c>
      <c r="AM260" s="1">
        <f t="shared" si="98"/>
        <v>7.7919015951282561E-2</v>
      </c>
      <c r="AN260" s="1">
        <f t="shared" si="98"/>
        <v>7.4194526155364204E-2</v>
      </c>
      <c r="AO260" s="1">
        <f t="shared" si="98"/>
        <v>7.0470036359445848E-2</v>
      </c>
    </row>
    <row r="261" spans="2:41">
      <c r="B261" s="1">
        <f t="shared" ref="B261:AO261" si="99">$S$110-B$106</f>
        <v>6.6610196245056139E-2</v>
      </c>
      <c r="C261" s="1">
        <f t="shared" si="99"/>
        <v>7.0334686040974523E-2</v>
      </c>
      <c r="D261" s="1">
        <f t="shared" si="99"/>
        <v>7.4059175836892879E-2</v>
      </c>
      <c r="E261" s="1">
        <f t="shared" si="99"/>
        <v>7.7783665632811236E-2</v>
      </c>
      <c r="F261" s="1">
        <f t="shared" si="99"/>
        <v>8.150815542872962E-2</v>
      </c>
      <c r="G261" s="1">
        <f t="shared" si="99"/>
        <v>8.5014527881717941E-2</v>
      </c>
      <c r="H261" s="1">
        <f t="shared" si="99"/>
        <v>8.6795349799526147E-2</v>
      </c>
      <c r="I261" s="1">
        <f t="shared" si="99"/>
        <v>8.8576171717334382E-2</v>
      </c>
      <c r="J261" s="1">
        <f t="shared" si="99"/>
        <v>9.0356993635142588E-2</v>
      </c>
      <c r="K261" s="1">
        <f t="shared" si="99"/>
        <v>9.2137815552950794E-2</v>
      </c>
      <c r="L261" s="1">
        <f t="shared" si="99"/>
        <v>9.3918637470759028E-2</v>
      </c>
      <c r="M261" s="1">
        <f t="shared" si="99"/>
        <v>9.5699459388567235E-2</v>
      </c>
      <c r="N261" s="1">
        <f t="shared" si="99"/>
        <v>9.7480281306375469E-2</v>
      </c>
      <c r="O261" s="1">
        <f t="shared" si="99"/>
        <v>9.8119460504788994E-2</v>
      </c>
      <c r="P261" s="1">
        <f t="shared" si="99"/>
        <v>9.8525511460202983E-2</v>
      </c>
      <c r="Q261" s="1">
        <f t="shared" si="99"/>
        <v>9.8931562415617E-2</v>
      </c>
      <c r="R261" s="1">
        <f t="shared" si="99"/>
        <v>9.9337613371031017E-2</v>
      </c>
      <c r="S261" s="1">
        <f t="shared" si="99"/>
        <v>9.9743664326445033E-2</v>
      </c>
      <c r="T261" s="1">
        <f t="shared" si="99"/>
        <v>0.10014971528185905</v>
      </c>
      <c r="U261" s="1">
        <f t="shared" si="99"/>
        <v>0.10055576623727307</v>
      </c>
      <c r="V261" s="1">
        <f t="shared" si="99"/>
        <v>0.10096181719268708</v>
      </c>
      <c r="W261" s="1">
        <f t="shared" si="99"/>
        <v>0.10055576623727307</v>
      </c>
      <c r="X261" s="1">
        <f t="shared" si="99"/>
        <v>0.10014971528185905</v>
      </c>
      <c r="Y261" s="1">
        <f t="shared" si="99"/>
        <v>9.9743664326445033E-2</v>
      </c>
      <c r="Z261" s="1">
        <f t="shared" si="99"/>
        <v>9.9337613371031017E-2</v>
      </c>
      <c r="AA261" s="1">
        <f t="shared" si="99"/>
        <v>9.8931562415617E-2</v>
      </c>
      <c r="AB261" s="1">
        <f t="shared" si="99"/>
        <v>9.8525511460202983E-2</v>
      </c>
      <c r="AC261" s="1">
        <f t="shared" si="99"/>
        <v>9.8119460504788994E-2</v>
      </c>
      <c r="AD261" s="1">
        <f t="shared" si="99"/>
        <v>9.7480281306375469E-2</v>
      </c>
      <c r="AE261" s="1">
        <f t="shared" si="99"/>
        <v>9.5699459388567235E-2</v>
      </c>
      <c r="AF261" s="1">
        <f t="shared" si="99"/>
        <v>9.3918637470759028E-2</v>
      </c>
      <c r="AG261" s="1">
        <f t="shared" si="99"/>
        <v>9.2137815552950794E-2</v>
      </c>
      <c r="AH261" s="1">
        <f t="shared" si="99"/>
        <v>9.0356993635142588E-2</v>
      </c>
      <c r="AI261" s="1">
        <f t="shared" si="99"/>
        <v>8.8576171717334382E-2</v>
      </c>
      <c r="AJ261" s="1">
        <f t="shared" si="99"/>
        <v>8.6795349799526147E-2</v>
      </c>
      <c r="AK261" s="1">
        <f t="shared" si="99"/>
        <v>8.5014527881717941E-2</v>
      </c>
      <c r="AL261" s="1">
        <f t="shared" si="99"/>
        <v>8.150815542872962E-2</v>
      </c>
      <c r="AM261" s="1">
        <f t="shared" si="99"/>
        <v>7.7783665632811236E-2</v>
      </c>
      <c r="AN261" s="1">
        <f t="shared" si="99"/>
        <v>7.4059175836892879E-2</v>
      </c>
      <c r="AO261" s="1">
        <f t="shared" si="99"/>
        <v>7.0334686040974523E-2</v>
      </c>
    </row>
    <row r="262" spans="2:41">
      <c r="B262" s="1">
        <f t="shared" ref="B262:AO262" si="100">$T$110-B$106</f>
        <v>6.64748459265848E-2</v>
      </c>
      <c r="C262" s="1">
        <f t="shared" si="100"/>
        <v>7.0199335722503184E-2</v>
      </c>
      <c r="D262" s="1">
        <f t="shared" si="100"/>
        <v>7.392382551842154E-2</v>
      </c>
      <c r="E262" s="1">
        <f t="shared" si="100"/>
        <v>7.7648315314339897E-2</v>
      </c>
      <c r="F262" s="1">
        <f t="shared" si="100"/>
        <v>8.1372805110258281E-2</v>
      </c>
      <c r="G262" s="1">
        <f t="shared" si="100"/>
        <v>8.4879177563246602E-2</v>
      </c>
      <c r="H262" s="1">
        <f t="shared" si="100"/>
        <v>8.6659999481054809E-2</v>
      </c>
      <c r="I262" s="1">
        <f t="shared" si="100"/>
        <v>8.8440821398863043E-2</v>
      </c>
      <c r="J262" s="1">
        <f t="shared" si="100"/>
        <v>9.0221643316671249E-2</v>
      </c>
      <c r="K262" s="1">
        <f t="shared" si="100"/>
        <v>9.2002465234479455E-2</v>
      </c>
      <c r="L262" s="1">
        <f t="shared" si="100"/>
        <v>9.3783287152287689E-2</v>
      </c>
      <c r="M262" s="1">
        <f t="shared" si="100"/>
        <v>9.5564109070095896E-2</v>
      </c>
      <c r="N262" s="1">
        <f t="shared" si="100"/>
        <v>9.734493098790413E-2</v>
      </c>
      <c r="O262" s="1">
        <f t="shared" si="100"/>
        <v>9.7984110186317655E-2</v>
      </c>
      <c r="P262" s="1">
        <f t="shared" si="100"/>
        <v>9.8390161141731644E-2</v>
      </c>
      <c r="Q262" s="1">
        <f t="shared" si="100"/>
        <v>9.8796212097145661E-2</v>
      </c>
      <c r="R262" s="1">
        <f t="shared" si="100"/>
        <v>9.9202263052559678E-2</v>
      </c>
      <c r="S262" s="1">
        <f t="shared" si="100"/>
        <v>9.9608314007973695E-2</v>
      </c>
      <c r="T262" s="1">
        <f t="shared" si="100"/>
        <v>0.10001436496338771</v>
      </c>
      <c r="U262" s="1">
        <f t="shared" si="100"/>
        <v>0.10042041591880173</v>
      </c>
      <c r="V262" s="1">
        <f t="shared" si="100"/>
        <v>0.10082646687421574</v>
      </c>
      <c r="W262" s="1">
        <f t="shared" si="100"/>
        <v>0.10042041591880173</v>
      </c>
      <c r="X262" s="1">
        <f t="shared" si="100"/>
        <v>0.10001436496338771</v>
      </c>
      <c r="Y262" s="1">
        <f t="shared" si="100"/>
        <v>9.9608314007973695E-2</v>
      </c>
      <c r="Z262" s="1">
        <f t="shared" si="100"/>
        <v>9.9202263052559678E-2</v>
      </c>
      <c r="AA262" s="1">
        <f t="shared" si="100"/>
        <v>9.8796212097145661E-2</v>
      </c>
      <c r="AB262" s="1">
        <f t="shared" si="100"/>
        <v>9.8390161141731644E-2</v>
      </c>
      <c r="AC262" s="1">
        <f t="shared" si="100"/>
        <v>9.7984110186317655E-2</v>
      </c>
      <c r="AD262" s="1">
        <f t="shared" si="100"/>
        <v>9.734493098790413E-2</v>
      </c>
      <c r="AE262" s="1">
        <f t="shared" si="100"/>
        <v>9.5564109070095896E-2</v>
      </c>
      <c r="AF262" s="1">
        <f t="shared" si="100"/>
        <v>9.3783287152287689E-2</v>
      </c>
      <c r="AG262" s="1">
        <f t="shared" si="100"/>
        <v>9.2002465234479455E-2</v>
      </c>
      <c r="AH262" s="1">
        <f t="shared" si="100"/>
        <v>9.0221643316671249E-2</v>
      </c>
      <c r="AI262" s="1">
        <f t="shared" si="100"/>
        <v>8.8440821398863043E-2</v>
      </c>
      <c r="AJ262" s="1">
        <f t="shared" si="100"/>
        <v>8.6659999481054809E-2</v>
      </c>
      <c r="AK262" s="1">
        <f t="shared" si="100"/>
        <v>8.4879177563246602E-2</v>
      </c>
      <c r="AL262" s="1">
        <f t="shared" si="100"/>
        <v>8.1372805110258281E-2</v>
      </c>
      <c r="AM262" s="1">
        <f t="shared" si="100"/>
        <v>7.7648315314339897E-2</v>
      </c>
      <c r="AN262" s="1">
        <f t="shared" si="100"/>
        <v>7.392382551842154E-2</v>
      </c>
      <c r="AO262" s="1">
        <f t="shared" si="100"/>
        <v>7.0199335722503184E-2</v>
      </c>
    </row>
    <row r="263" spans="2:41">
      <c r="B263" s="1">
        <f t="shared" ref="B263:AO263" si="101">$U$110-B$106</f>
        <v>6.6339495608113461E-2</v>
      </c>
      <c r="C263" s="1">
        <f t="shared" si="101"/>
        <v>7.0063985404031845E-2</v>
      </c>
      <c r="D263" s="1">
        <f t="shared" si="101"/>
        <v>7.3788475199950201E-2</v>
      </c>
      <c r="E263" s="1">
        <f t="shared" si="101"/>
        <v>7.7512964995868558E-2</v>
      </c>
      <c r="F263" s="1">
        <f t="shared" si="101"/>
        <v>8.1237454791786942E-2</v>
      </c>
      <c r="G263" s="1">
        <f t="shared" si="101"/>
        <v>8.4743827244775263E-2</v>
      </c>
      <c r="H263" s="1">
        <f t="shared" si="101"/>
        <v>8.652464916258347E-2</v>
      </c>
      <c r="I263" s="1">
        <f t="shared" si="101"/>
        <v>8.8305471080391704E-2</v>
      </c>
      <c r="J263" s="1">
        <f t="shared" si="101"/>
        <v>9.008629299819991E-2</v>
      </c>
      <c r="K263" s="1">
        <f t="shared" si="101"/>
        <v>9.1867114916008116E-2</v>
      </c>
      <c r="L263" s="1">
        <f t="shared" si="101"/>
        <v>9.364793683381635E-2</v>
      </c>
      <c r="M263" s="1">
        <f t="shared" si="101"/>
        <v>9.5428758751624557E-2</v>
      </c>
      <c r="N263" s="1">
        <f t="shared" si="101"/>
        <v>9.7209580669432791E-2</v>
      </c>
      <c r="O263" s="1">
        <f t="shared" si="101"/>
        <v>9.7848759867846316E-2</v>
      </c>
      <c r="P263" s="1">
        <f t="shared" si="101"/>
        <v>9.8254810823260305E-2</v>
      </c>
      <c r="Q263" s="1">
        <f t="shared" si="101"/>
        <v>9.8660861778674322E-2</v>
      </c>
      <c r="R263" s="1">
        <f t="shared" si="101"/>
        <v>9.9066912734088339E-2</v>
      </c>
      <c r="S263" s="1">
        <f t="shared" si="101"/>
        <v>9.9472963689502356E-2</v>
      </c>
      <c r="T263" s="1">
        <f t="shared" si="101"/>
        <v>9.9879014644916372E-2</v>
      </c>
      <c r="U263" s="1">
        <f t="shared" si="101"/>
        <v>0.10028506560033039</v>
      </c>
      <c r="V263" s="1">
        <f t="shared" si="101"/>
        <v>0.10069111655574441</v>
      </c>
      <c r="W263" s="1">
        <f t="shared" si="101"/>
        <v>0.10028506560033039</v>
      </c>
      <c r="X263" s="1">
        <f t="shared" si="101"/>
        <v>9.9879014644916372E-2</v>
      </c>
      <c r="Y263" s="1">
        <f t="shared" si="101"/>
        <v>9.9472963689502356E-2</v>
      </c>
      <c r="Z263" s="1">
        <f t="shared" si="101"/>
        <v>9.9066912734088339E-2</v>
      </c>
      <c r="AA263" s="1">
        <f t="shared" si="101"/>
        <v>9.8660861778674322E-2</v>
      </c>
      <c r="AB263" s="1">
        <f t="shared" si="101"/>
        <v>9.8254810823260305E-2</v>
      </c>
      <c r="AC263" s="1">
        <f t="shared" si="101"/>
        <v>9.7848759867846316E-2</v>
      </c>
      <c r="AD263" s="1">
        <f t="shared" si="101"/>
        <v>9.7209580669432791E-2</v>
      </c>
      <c r="AE263" s="1">
        <f t="shared" si="101"/>
        <v>9.5428758751624557E-2</v>
      </c>
      <c r="AF263" s="1">
        <f t="shared" si="101"/>
        <v>9.364793683381635E-2</v>
      </c>
      <c r="AG263" s="1">
        <f t="shared" si="101"/>
        <v>9.1867114916008116E-2</v>
      </c>
      <c r="AH263" s="1">
        <f t="shared" si="101"/>
        <v>9.008629299819991E-2</v>
      </c>
      <c r="AI263" s="1">
        <f t="shared" si="101"/>
        <v>8.8305471080391704E-2</v>
      </c>
      <c r="AJ263" s="1">
        <f t="shared" si="101"/>
        <v>8.652464916258347E-2</v>
      </c>
      <c r="AK263" s="1">
        <f t="shared" si="101"/>
        <v>8.4743827244775263E-2</v>
      </c>
      <c r="AL263" s="1">
        <f t="shared" si="101"/>
        <v>8.1237454791786942E-2</v>
      </c>
      <c r="AM263" s="1">
        <f t="shared" si="101"/>
        <v>7.7512964995868558E-2</v>
      </c>
      <c r="AN263" s="1">
        <f t="shared" si="101"/>
        <v>7.3788475199950201E-2</v>
      </c>
      <c r="AO263" s="1">
        <f t="shared" si="101"/>
        <v>7.0063985404031845E-2</v>
      </c>
    </row>
    <row r="264" spans="2:41">
      <c r="B264" s="1">
        <f t="shared" ref="B264:AO264" si="102">$V$110-B$106</f>
        <v>6.6339495608113461E-2</v>
      </c>
      <c r="C264" s="1">
        <f t="shared" si="102"/>
        <v>7.0063985404031845E-2</v>
      </c>
      <c r="D264" s="1">
        <f t="shared" si="102"/>
        <v>7.3788475199950201E-2</v>
      </c>
      <c r="E264" s="1">
        <f t="shared" si="102"/>
        <v>7.7512964995868558E-2</v>
      </c>
      <c r="F264" s="1">
        <f t="shared" si="102"/>
        <v>8.1237454791786942E-2</v>
      </c>
      <c r="G264" s="1">
        <f t="shared" si="102"/>
        <v>8.4743827244775263E-2</v>
      </c>
      <c r="H264" s="1">
        <f t="shared" si="102"/>
        <v>8.652464916258347E-2</v>
      </c>
      <c r="I264" s="1">
        <f t="shared" si="102"/>
        <v>8.8305471080391704E-2</v>
      </c>
      <c r="J264" s="1">
        <f t="shared" si="102"/>
        <v>9.008629299819991E-2</v>
      </c>
      <c r="K264" s="1">
        <f t="shared" si="102"/>
        <v>9.1867114916008116E-2</v>
      </c>
      <c r="L264" s="1">
        <f t="shared" si="102"/>
        <v>9.364793683381635E-2</v>
      </c>
      <c r="M264" s="1">
        <f t="shared" si="102"/>
        <v>9.5428758751624557E-2</v>
      </c>
      <c r="N264" s="1">
        <f t="shared" si="102"/>
        <v>9.7209580669432791E-2</v>
      </c>
      <c r="O264" s="1">
        <f t="shared" si="102"/>
        <v>9.7848759867846316E-2</v>
      </c>
      <c r="P264" s="1">
        <f t="shared" si="102"/>
        <v>9.8254810823260305E-2</v>
      </c>
      <c r="Q264" s="1">
        <f t="shared" si="102"/>
        <v>9.8660861778674322E-2</v>
      </c>
      <c r="R264" s="1">
        <f t="shared" si="102"/>
        <v>9.9066912734088339E-2</v>
      </c>
      <c r="S264" s="1">
        <f t="shared" si="102"/>
        <v>9.9472963689502356E-2</v>
      </c>
      <c r="T264" s="1">
        <f t="shared" si="102"/>
        <v>9.9879014644916372E-2</v>
      </c>
      <c r="U264" s="1">
        <f t="shared" si="102"/>
        <v>0.10028506560033039</v>
      </c>
      <c r="V264" s="1">
        <f t="shared" si="102"/>
        <v>0.10069111655574441</v>
      </c>
      <c r="W264" s="1">
        <f t="shared" si="102"/>
        <v>0.10028506560033039</v>
      </c>
      <c r="X264" s="1">
        <f t="shared" si="102"/>
        <v>9.9879014644916372E-2</v>
      </c>
      <c r="Y264" s="1">
        <f t="shared" si="102"/>
        <v>9.9472963689502356E-2</v>
      </c>
      <c r="Z264" s="1">
        <f t="shared" si="102"/>
        <v>9.9066912734088339E-2</v>
      </c>
      <c r="AA264" s="1">
        <f t="shared" si="102"/>
        <v>9.8660861778674322E-2</v>
      </c>
      <c r="AB264" s="1">
        <f t="shared" si="102"/>
        <v>9.8254810823260305E-2</v>
      </c>
      <c r="AC264" s="1">
        <f t="shared" si="102"/>
        <v>9.7848759867846316E-2</v>
      </c>
      <c r="AD264" s="1">
        <f t="shared" si="102"/>
        <v>9.7209580669432791E-2</v>
      </c>
      <c r="AE264" s="1">
        <f t="shared" si="102"/>
        <v>9.5428758751624557E-2</v>
      </c>
      <c r="AF264" s="1">
        <f t="shared" si="102"/>
        <v>9.364793683381635E-2</v>
      </c>
      <c r="AG264" s="1">
        <f t="shared" si="102"/>
        <v>9.1867114916008116E-2</v>
      </c>
      <c r="AH264" s="1">
        <f t="shared" si="102"/>
        <v>9.008629299819991E-2</v>
      </c>
      <c r="AI264" s="1">
        <f t="shared" si="102"/>
        <v>8.8305471080391704E-2</v>
      </c>
      <c r="AJ264" s="1">
        <f t="shared" si="102"/>
        <v>8.652464916258347E-2</v>
      </c>
      <c r="AK264" s="1">
        <f t="shared" si="102"/>
        <v>8.4743827244775263E-2</v>
      </c>
      <c r="AL264" s="1">
        <f t="shared" si="102"/>
        <v>8.1237454791786942E-2</v>
      </c>
      <c r="AM264" s="1">
        <f t="shared" si="102"/>
        <v>7.7512964995868558E-2</v>
      </c>
      <c r="AN264" s="1">
        <f t="shared" si="102"/>
        <v>7.3788475199950201E-2</v>
      </c>
      <c r="AO264" s="1">
        <f t="shared" si="102"/>
        <v>7.0063985404031845E-2</v>
      </c>
    </row>
    <row r="265" spans="2:41">
      <c r="B265" s="1">
        <f t="shared" ref="B265:AO265" si="103">$W$110-B$106</f>
        <v>6.64748459265848E-2</v>
      </c>
      <c r="C265" s="1">
        <f t="shared" si="103"/>
        <v>7.0199335722503184E-2</v>
      </c>
      <c r="D265" s="1">
        <f t="shared" si="103"/>
        <v>7.392382551842154E-2</v>
      </c>
      <c r="E265" s="1">
        <f t="shared" si="103"/>
        <v>7.7648315314339897E-2</v>
      </c>
      <c r="F265" s="1">
        <f t="shared" si="103"/>
        <v>8.1372805110258281E-2</v>
      </c>
      <c r="G265" s="1">
        <f t="shared" si="103"/>
        <v>8.4879177563246602E-2</v>
      </c>
      <c r="H265" s="1">
        <f t="shared" si="103"/>
        <v>8.6659999481054809E-2</v>
      </c>
      <c r="I265" s="1">
        <f t="shared" si="103"/>
        <v>8.8440821398863043E-2</v>
      </c>
      <c r="J265" s="1">
        <f t="shared" si="103"/>
        <v>9.0221643316671249E-2</v>
      </c>
      <c r="K265" s="1">
        <f t="shared" si="103"/>
        <v>9.2002465234479455E-2</v>
      </c>
      <c r="L265" s="1">
        <f t="shared" si="103"/>
        <v>9.3783287152287689E-2</v>
      </c>
      <c r="M265" s="1">
        <f t="shared" si="103"/>
        <v>9.5564109070095896E-2</v>
      </c>
      <c r="N265" s="1">
        <f t="shared" si="103"/>
        <v>9.734493098790413E-2</v>
      </c>
      <c r="O265" s="1">
        <f t="shared" si="103"/>
        <v>9.7984110186317655E-2</v>
      </c>
      <c r="P265" s="1">
        <f t="shared" si="103"/>
        <v>9.8390161141731644E-2</v>
      </c>
      <c r="Q265" s="1">
        <f t="shared" si="103"/>
        <v>9.8796212097145661E-2</v>
      </c>
      <c r="R265" s="1">
        <f t="shared" si="103"/>
        <v>9.9202263052559678E-2</v>
      </c>
      <c r="S265" s="1">
        <f t="shared" si="103"/>
        <v>9.9608314007973695E-2</v>
      </c>
      <c r="T265" s="1">
        <f t="shared" si="103"/>
        <v>0.10001436496338771</v>
      </c>
      <c r="U265" s="1">
        <f t="shared" si="103"/>
        <v>0.10042041591880173</v>
      </c>
      <c r="V265" s="1">
        <f t="shared" si="103"/>
        <v>0.10082646687421574</v>
      </c>
      <c r="W265" s="1">
        <f t="shared" si="103"/>
        <v>0.10042041591880173</v>
      </c>
      <c r="X265" s="1">
        <f t="shared" si="103"/>
        <v>0.10001436496338771</v>
      </c>
      <c r="Y265" s="1">
        <f t="shared" si="103"/>
        <v>9.9608314007973695E-2</v>
      </c>
      <c r="Z265" s="1">
        <f t="shared" si="103"/>
        <v>9.9202263052559678E-2</v>
      </c>
      <c r="AA265" s="1">
        <f t="shared" si="103"/>
        <v>9.8796212097145661E-2</v>
      </c>
      <c r="AB265" s="1">
        <f t="shared" si="103"/>
        <v>9.8390161141731644E-2</v>
      </c>
      <c r="AC265" s="1">
        <f t="shared" si="103"/>
        <v>9.7984110186317655E-2</v>
      </c>
      <c r="AD265" s="1">
        <f t="shared" si="103"/>
        <v>9.734493098790413E-2</v>
      </c>
      <c r="AE265" s="1">
        <f t="shared" si="103"/>
        <v>9.5564109070095896E-2</v>
      </c>
      <c r="AF265" s="1">
        <f t="shared" si="103"/>
        <v>9.3783287152287689E-2</v>
      </c>
      <c r="AG265" s="1">
        <f t="shared" si="103"/>
        <v>9.2002465234479455E-2</v>
      </c>
      <c r="AH265" s="1">
        <f t="shared" si="103"/>
        <v>9.0221643316671249E-2</v>
      </c>
      <c r="AI265" s="1">
        <f t="shared" si="103"/>
        <v>8.8440821398863043E-2</v>
      </c>
      <c r="AJ265" s="1">
        <f t="shared" si="103"/>
        <v>8.6659999481054809E-2</v>
      </c>
      <c r="AK265" s="1">
        <f t="shared" si="103"/>
        <v>8.4879177563246602E-2</v>
      </c>
      <c r="AL265" s="1">
        <f t="shared" si="103"/>
        <v>8.1372805110258281E-2</v>
      </c>
      <c r="AM265" s="1">
        <f t="shared" si="103"/>
        <v>7.7648315314339897E-2</v>
      </c>
      <c r="AN265" s="1">
        <f t="shared" si="103"/>
        <v>7.392382551842154E-2</v>
      </c>
      <c r="AO265" s="1">
        <f t="shared" si="103"/>
        <v>7.0199335722503184E-2</v>
      </c>
    </row>
    <row r="266" spans="2:41">
      <c r="B266" s="1">
        <f t="shared" ref="B266:AO266" si="104">$X$110-B$106</f>
        <v>6.6610196245056139E-2</v>
      </c>
      <c r="C266" s="1">
        <f t="shared" si="104"/>
        <v>7.0334686040974523E-2</v>
      </c>
      <c r="D266" s="1">
        <f t="shared" si="104"/>
        <v>7.4059175836892879E-2</v>
      </c>
      <c r="E266" s="1">
        <f t="shared" si="104"/>
        <v>7.7783665632811236E-2</v>
      </c>
      <c r="F266" s="1">
        <f t="shared" si="104"/>
        <v>8.150815542872962E-2</v>
      </c>
      <c r="G266" s="1">
        <f t="shared" si="104"/>
        <v>8.5014527881717941E-2</v>
      </c>
      <c r="H266" s="1">
        <f t="shared" si="104"/>
        <v>8.6795349799526147E-2</v>
      </c>
      <c r="I266" s="1">
        <f t="shared" si="104"/>
        <v>8.8576171717334382E-2</v>
      </c>
      <c r="J266" s="1">
        <f t="shared" si="104"/>
        <v>9.0356993635142588E-2</v>
      </c>
      <c r="K266" s="1">
        <f t="shared" si="104"/>
        <v>9.2137815552950794E-2</v>
      </c>
      <c r="L266" s="1">
        <f t="shared" si="104"/>
        <v>9.3918637470759028E-2</v>
      </c>
      <c r="M266" s="1">
        <f t="shared" si="104"/>
        <v>9.5699459388567235E-2</v>
      </c>
      <c r="N266" s="1">
        <f t="shared" si="104"/>
        <v>9.7480281306375469E-2</v>
      </c>
      <c r="O266" s="1">
        <f t="shared" si="104"/>
        <v>9.8119460504788994E-2</v>
      </c>
      <c r="P266" s="1">
        <f t="shared" si="104"/>
        <v>9.8525511460202983E-2</v>
      </c>
      <c r="Q266" s="1">
        <f t="shared" si="104"/>
        <v>9.8931562415617E-2</v>
      </c>
      <c r="R266" s="1">
        <f t="shared" si="104"/>
        <v>9.9337613371031017E-2</v>
      </c>
      <c r="S266" s="1">
        <f t="shared" si="104"/>
        <v>9.9743664326445033E-2</v>
      </c>
      <c r="T266" s="1">
        <f t="shared" si="104"/>
        <v>0.10014971528185905</v>
      </c>
      <c r="U266" s="1">
        <f t="shared" si="104"/>
        <v>0.10055576623727307</v>
      </c>
      <c r="V266" s="1">
        <f t="shared" si="104"/>
        <v>0.10096181719268708</v>
      </c>
      <c r="W266" s="1">
        <f t="shared" si="104"/>
        <v>0.10055576623727307</v>
      </c>
      <c r="X266" s="1">
        <f t="shared" si="104"/>
        <v>0.10014971528185905</v>
      </c>
      <c r="Y266" s="1">
        <f t="shared" si="104"/>
        <v>9.9743664326445033E-2</v>
      </c>
      <c r="Z266" s="1">
        <f t="shared" si="104"/>
        <v>9.9337613371031017E-2</v>
      </c>
      <c r="AA266" s="1">
        <f t="shared" si="104"/>
        <v>9.8931562415617E-2</v>
      </c>
      <c r="AB266" s="1">
        <f t="shared" si="104"/>
        <v>9.8525511460202983E-2</v>
      </c>
      <c r="AC266" s="1">
        <f t="shared" si="104"/>
        <v>9.8119460504788994E-2</v>
      </c>
      <c r="AD266" s="1">
        <f t="shared" si="104"/>
        <v>9.7480281306375469E-2</v>
      </c>
      <c r="AE266" s="1">
        <f t="shared" si="104"/>
        <v>9.5699459388567235E-2</v>
      </c>
      <c r="AF266" s="1">
        <f t="shared" si="104"/>
        <v>9.3918637470759028E-2</v>
      </c>
      <c r="AG266" s="1">
        <f t="shared" si="104"/>
        <v>9.2137815552950794E-2</v>
      </c>
      <c r="AH266" s="1">
        <f t="shared" si="104"/>
        <v>9.0356993635142588E-2</v>
      </c>
      <c r="AI266" s="1">
        <f t="shared" si="104"/>
        <v>8.8576171717334382E-2</v>
      </c>
      <c r="AJ266" s="1">
        <f t="shared" si="104"/>
        <v>8.6795349799526147E-2</v>
      </c>
      <c r="AK266" s="1">
        <f t="shared" si="104"/>
        <v>8.5014527881717941E-2</v>
      </c>
      <c r="AL266" s="1">
        <f t="shared" si="104"/>
        <v>8.150815542872962E-2</v>
      </c>
      <c r="AM266" s="1">
        <f t="shared" si="104"/>
        <v>7.7783665632811236E-2</v>
      </c>
      <c r="AN266" s="1">
        <f t="shared" si="104"/>
        <v>7.4059175836892879E-2</v>
      </c>
      <c r="AO266" s="1">
        <f t="shared" si="104"/>
        <v>7.0334686040974523E-2</v>
      </c>
    </row>
    <row r="267" spans="2:41">
      <c r="B267" s="1">
        <f t="shared" ref="B267:AO267" si="105">$Y$110-B$106</f>
        <v>6.6745546563527464E-2</v>
      </c>
      <c r="C267" s="1">
        <f t="shared" si="105"/>
        <v>7.0470036359445848E-2</v>
      </c>
      <c r="D267" s="1">
        <f t="shared" si="105"/>
        <v>7.4194526155364204E-2</v>
      </c>
      <c r="E267" s="1">
        <f t="shared" si="105"/>
        <v>7.7919015951282561E-2</v>
      </c>
      <c r="F267" s="1">
        <f t="shared" si="105"/>
        <v>8.1643505747200945E-2</v>
      </c>
      <c r="G267" s="1">
        <f t="shared" si="105"/>
        <v>8.5149878200189266E-2</v>
      </c>
      <c r="H267" s="1">
        <f t="shared" si="105"/>
        <v>8.6930700117997473E-2</v>
      </c>
      <c r="I267" s="1">
        <f t="shared" si="105"/>
        <v>8.8711522035805707E-2</v>
      </c>
      <c r="J267" s="1">
        <f t="shared" si="105"/>
        <v>9.0492343953613913E-2</v>
      </c>
      <c r="K267" s="1">
        <f t="shared" si="105"/>
        <v>9.2273165871422119E-2</v>
      </c>
      <c r="L267" s="1">
        <f t="shared" si="105"/>
        <v>9.4053987789230353E-2</v>
      </c>
      <c r="M267" s="1">
        <f t="shared" si="105"/>
        <v>9.583480970703856E-2</v>
      </c>
      <c r="N267" s="1">
        <f t="shared" si="105"/>
        <v>9.7615631624846794E-2</v>
      </c>
      <c r="O267" s="1">
        <f t="shared" si="105"/>
        <v>9.8254810823260319E-2</v>
      </c>
      <c r="P267" s="1">
        <f t="shared" si="105"/>
        <v>9.8660861778674308E-2</v>
      </c>
      <c r="Q267" s="1">
        <f t="shared" si="105"/>
        <v>9.9066912734088325E-2</v>
      </c>
      <c r="R267" s="1">
        <f t="shared" si="105"/>
        <v>9.9472963689502342E-2</v>
      </c>
      <c r="S267" s="1">
        <f t="shared" si="105"/>
        <v>9.9879014644916359E-2</v>
      </c>
      <c r="T267" s="1">
        <f t="shared" si="105"/>
        <v>0.10028506560033038</v>
      </c>
      <c r="U267" s="1">
        <f t="shared" si="105"/>
        <v>0.10069111655574439</v>
      </c>
      <c r="V267" s="1">
        <f t="shared" si="105"/>
        <v>0.10109716751115841</v>
      </c>
      <c r="W267" s="1">
        <f t="shared" si="105"/>
        <v>0.10069111655574439</v>
      </c>
      <c r="X267" s="1">
        <f t="shared" si="105"/>
        <v>0.10028506560033038</v>
      </c>
      <c r="Y267" s="1">
        <f t="shared" si="105"/>
        <v>9.9879014644916359E-2</v>
      </c>
      <c r="Z267" s="1">
        <f t="shared" si="105"/>
        <v>9.9472963689502342E-2</v>
      </c>
      <c r="AA267" s="1">
        <f t="shared" si="105"/>
        <v>9.9066912734088325E-2</v>
      </c>
      <c r="AB267" s="1">
        <f t="shared" si="105"/>
        <v>9.8660861778674308E-2</v>
      </c>
      <c r="AC267" s="1">
        <f t="shared" si="105"/>
        <v>9.8254810823260319E-2</v>
      </c>
      <c r="AD267" s="1">
        <f t="shared" si="105"/>
        <v>9.7615631624846794E-2</v>
      </c>
      <c r="AE267" s="1">
        <f t="shared" si="105"/>
        <v>9.583480970703856E-2</v>
      </c>
      <c r="AF267" s="1">
        <f t="shared" si="105"/>
        <v>9.4053987789230353E-2</v>
      </c>
      <c r="AG267" s="1">
        <f t="shared" si="105"/>
        <v>9.2273165871422119E-2</v>
      </c>
      <c r="AH267" s="1">
        <f t="shared" si="105"/>
        <v>9.0492343953613913E-2</v>
      </c>
      <c r="AI267" s="1">
        <f t="shared" si="105"/>
        <v>8.8711522035805707E-2</v>
      </c>
      <c r="AJ267" s="1">
        <f t="shared" si="105"/>
        <v>8.6930700117997473E-2</v>
      </c>
      <c r="AK267" s="1">
        <f t="shared" si="105"/>
        <v>8.5149878200189266E-2</v>
      </c>
      <c r="AL267" s="1">
        <f t="shared" si="105"/>
        <v>8.1643505747200945E-2</v>
      </c>
      <c r="AM267" s="1">
        <f t="shared" si="105"/>
        <v>7.7919015951282561E-2</v>
      </c>
      <c r="AN267" s="1">
        <f t="shared" si="105"/>
        <v>7.4194526155364204E-2</v>
      </c>
      <c r="AO267" s="1">
        <f t="shared" si="105"/>
        <v>7.0470036359445848E-2</v>
      </c>
    </row>
    <row r="268" spans="2:41">
      <c r="B268" s="1">
        <f t="shared" ref="B268:AO268" si="106">$Z$110-B$106</f>
        <v>6.6880896881998803E-2</v>
      </c>
      <c r="C268" s="1">
        <f t="shared" si="106"/>
        <v>7.0605386677917187E-2</v>
      </c>
      <c r="D268" s="1">
        <f t="shared" si="106"/>
        <v>7.4329876473835543E-2</v>
      </c>
      <c r="E268" s="1">
        <f t="shared" si="106"/>
        <v>7.80543662697539E-2</v>
      </c>
      <c r="F268" s="1">
        <f t="shared" si="106"/>
        <v>8.1778856065672284E-2</v>
      </c>
      <c r="G268" s="1">
        <f t="shared" si="106"/>
        <v>8.5285228518660605E-2</v>
      </c>
      <c r="H268" s="1">
        <f t="shared" si="106"/>
        <v>8.7066050436468811E-2</v>
      </c>
      <c r="I268" s="1">
        <f t="shared" si="106"/>
        <v>8.8846872354277046E-2</v>
      </c>
      <c r="J268" s="1">
        <f t="shared" si="106"/>
        <v>9.0627694272085252E-2</v>
      </c>
      <c r="K268" s="1">
        <f t="shared" si="106"/>
        <v>9.2408516189893458E-2</v>
      </c>
      <c r="L268" s="1">
        <f t="shared" si="106"/>
        <v>9.4189338107701692E-2</v>
      </c>
      <c r="M268" s="1">
        <f t="shared" si="106"/>
        <v>9.5970160025509899E-2</v>
      </c>
      <c r="N268" s="1">
        <f t="shared" si="106"/>
        <v>9.7750981943318133E-2</v>
      </c>
      <c r="O268" s="1">
        <f t="shared" si="106"/>
        <v>9.8390161141731658E-2</v>
      </c>
      <c r="P268" s="1">
        <f t="shared" si="106"/>
        <v>9.8796212097145647E-2</v>
      </c>
      <c r="Q268" s="1">
        <f t="shared" si="106"/>
        <v>9.9202263052559664E-2</v>
      </c>
      <c r="R268" s="1">
        <f t="shared" si="106"/>
        <v>9.9608314007973681E-2</v>
      </c>
      <c r="S268" s="1">
        <f t="shared" si="106"/>
        <v>0.1000143649633877</v>
      </c>
      <c r="T268" s="1">
        <f t="shared" si="106"/>
        <v>0.10042041591880171</v>
      </c>
      <c r="U268" s="1">
        <f t="shared" si="106"/>
        <v>0.10082646687421573</v>
      </c>
      <c r="V268" s="1">
        <f t="shared" si="106"/>
        <v>0.10123251782962975</v>
      </c>
      <c r="W268" s="1">
        <f t="shared" si="106"/>
        <v>0.10082646687421573</v>
      </c>
      <c r="X268" s="1">
        <f t="shared" si="106"/>
        <v>0.10042041591880171</v>
      </c>
      <c r="Y268" s="1">
        <f t="shared" si="106"/>
        <v>0.1000143649633877</v>
      </c>
      <c r="Z268" s="1">
        <f t="shared" si="106"/>
        <v>9.9608314007973681E-2</v>
      </c>
      <c r="AA268" s="1">
        <f t="shared" si="106"/>
        <v>9.9202263052559664E-2</v>
      </c>
      <c r="AB268" s="1">
        <f t="shared" si="106"/>
        <v>9.8796212097145647E-2</v>
      </c>
      <c r="AC268" s="1">
        <f t="shared" si="106"/>
        <v>9.8390161141731658E-2</v>
      </c>
      <c r="AD268" s="1">
        <f t="shared" si="106"/>
        <v>9.7750981943318133E-2</v>
      </c>
      <c r="AE268" s="1">
        <f t="shared" si="106"/>
        <v>9.5970160025509899E-2</v>
      </c>
      <c r="AF268" s="1">
        <f t="shared" si="106"/>
        <v>9.4189338107701692E-2</v>
      </c>
      <c r="AG268" s="1">
        <f t="shared" si="106"/>
        <v>9.2408516189893458E-2</v>
      </c>
      <c r="AH268" s="1">
        <f t="shared" si="106"/>
        <v>9.0627694272085252E-2</v>
      </c>
      <c r="AI268" s="1">
        <f t="shared" si="106"/>
        <v>8.8846872354277046E-2</v>
      </c>
      <c r="AJ268" s="1">
        <f t="shared" si="106"/>
        <v>8.7066050436468811E-2</v>
      </c>
      <c r="AK268" s="1">
        <f t="shared" si="106"/>
        <v>8.5285228518660605E-2</v>
      </c>
      <c r="AL268" s="1">
        <f t="shared" si="106"/>
        <v>8.1778856065672284E-2</v>
      </c>
      <c r="AM268" s="1">
        <f t="shared" si="106"/>
        <v>7.80543662697539E-2</v>
      </c>
      <c r="AN268" s="1">
        <f t="shared" si="106"/>
        <v>7.4329876473835543E-2</v>
      </c>
      <c r="AO268" s="1">
        <f t="shared" si="106"/>
        <v>7.0605386677917187E-2</v>
      </c>
    </row>
    <row r="269" spans="2:41">
      <c r="B269" s="1">
        <f t="shared" ref="B269:AO269" si="107">$AA$110-B$106</f>
        <v>6.7016247200470141E-2</v>
      </c>
      <c r="C269" s="1">
        <f t="shared" si="107"/>
        <v>7.0740736996388526E-2</v>
      </c>
      <c r="D269" s="1">
        <f t="shared" si="107"/>
        <v>7.4465226792306882E-2</v>
      </c>
      <c r="E269" s="1">
        <f t="shared" si="107"/>
        <v>7.8189716588225239E-2</v>
      </c>
      <c r="F269" s="1">
        <f t="shared" si="107"/>
        <v>8.1914206384143623E-2</v>
      </c>
      <c r="G269" s="1">
        <f t="shared" si="107"/>
        <v>8.5420578837131944E-2</v>
      </c>
      <c r="H269" s="1">
        <f t="shared" si="107"/>
        <v>8.720140075494015E-2</v>
      </c>
      <c r="I269" s="1">
        <f t="shared" si="107"/>
        <v>8.8982222672748384E-2</v>
      </c>
      <c r="J269" s="1">
        <f t="shared" si="107"/>
        <v>9.0763044590556591E-2</v>
      </c>
      <c r="K269" s="1">
        <f t="shared" si="107"/>
        <v>9.2543866508364797E-2</v>
      </c>
      <c r="L269" s="1">
        <f t="shared" si="107"/>
        <v>9.4324688426173031E-2</v>
      </c>
      <c r="M269" s="1">
        <f t="shared" si="107"/>
        <v>9.6105510343981237E-2</v>
      </c>
      <c r="N269" s="1">
        <f t="shared" si="107"/>
        <v>9.7886332261789472E-2</v>
      </c>
      <c r="O269" s="1">
        <f t="shared" si="107"/>
        <v>9.8525511460202997E-2</v>
      </c>
      <c r="P269" s="1">
        <f t="shared" si="107"/>
        <v>9.8931562415616986E-2</v>
      </c>
      <c r="Q269" s="1">
        <f t="shared" si="107"/>
        <v>9.9337613371031003E-2</v>
      </c>
      <c r="R269" s="1">
        <f t="shared" si="107"/>
        <v>9.974366432644502E-2</v>
      </c>
      <c r="S269" s="1">
        <f t="shared" si="107"/>
        <v>0.10014971528185904</v>
      </c>
      <c r="T269" s="1">
        <f t="shared" si="107"/>
        <v>0.10055576623727305</v>
      </c>
      <c r="U269" s="1">
        <f t="shared" si="107"/>
        <v>0.10096181719268707</v>
      </c>
      <c r="V269" s="1">
        <f t="shared" si="107"/>
        <v>0.10136786814810109</v>
      </c>
      <c r="W269" s="1">
        <f t="shared" si="107"/>
        <v>0.10096181719268707</v>
      </c>
      <c r="X269" s="1">
        <f t="shared" si="107"/>
        <v>0.10055576623727305</v>
      </c>
      <c r="Y269" s="1">
        <f t="shared" si="107"/>
        <v>0.10014971528185904</v>
      </c>
      <c r="Z269" s="1">
        <f t="shared" si="107"/>
        <v>9.974366432644502E-2</v>
      </c>
      <c r="AA269" s="1">
        <f t="shared" si="107"/>
        <v>9.9337613371031003E-2</v>
      </c>
      <c r="AB269" s="1">
        <f t="shared" si="107"/>
        <v>9.8931562415616986E-2</v>
      </c>
      <c r="AC269" s="1">
        <f t="shared" si="107"/>
        <v>9.8525511460202997E-2</v>
      </c>
      <c r="AD269" s="1">
        <f t="shared" si="107"/>
        <v>9.7886332261789472E-2</v>
      </c>
      <c r="AE269" s="1">
        <f t="shared" si="107"/>
        <v>9.6105510343981237E-2</v>
      </c>
      <c r="AF269" s="1">
        <f t="shared" si="107"/>
        <v>9.4324688426173031E-2</v>
      </c>
      <c r="AG269" s="1">
        <f t="shared" si="107"/>
        <v>9.2543866508364797E-2</v>
      </c>
      <c r="AH269" s="1">
        <f t="shared" si="107"/>
        <v>9.0763044590556591E-2</v>
      </c>
      <c r="AI269" s="1">
        <f t="shared" si="107"/>
        <v>8.8982222672748384E-2</v>
      </c>
      <c r="AJ269" s="1">
        <f t="shared" si="107"/>
        <v>8.720140075494015E-2</v>
      </c>
      <c r="AK269" s="1">
        <f t="shared" si="107"/>
        <v>8.5420578837131944E-2</v>
      </c>
      <c r="AL269" s="1">
        <f t="shared" si="107"/>
        <v>8.1914206384143623E-2</v>
      </c>
      <c r="AM269" s="1">
        <f t="shared" si="107"/>
        <v>7.8189716588225239E-2</v>
      </c>
      <c r="AN269" s="1">
        <f t="shared" si="107"/>
        <v>7.4465226792306882E-2</v>
      </c>
      <c r="AO269" s="1">
        <f t="shared" si="107"/>
        <v>7.0740736996388526E-2</v>
      </c>
    </row>
    <row r="270" spans="2:41">
      <c r="B270" s="1">
        <f t="shared" ref="B270:AO270" si="108">$AB$110-B$106</f>
        <v>6.715159751894148E-2</v>
      </c>
      <c r="C270" s="1">
        <f t="shared" si="108"/>
        <v>7.0876087314859865E-2</v>
      </c>
      <c r="D270" s="1">
        <f t="shared" si="108"/>
        <v>7.4600577110778221E-2</v>
      </c>
      <c r="E270" s="1">
        <f t="shared" si="108"/>
        <v>7.8325066906696578E-2</v>
      </c>
      <c r="F270" s="1">
        <f t="shared" si="108"/>
        <v>8.2049556702614962E-2</v>
      </c>
      <c r="G270" s="1">
        <f t="shared" si="108"/>
        <v>8.5555929155603283E-2</v>
      </c>
      <c r="H270" s="1">
        <f t="shared" si="108"/>
        <v>8.7336751073411489E-2</v>
      </c>
      <c r="I270" s="1">
        <f t="shared" si="108"/>
        <v>8.9117572991219723E-2</v>
      </c>
      <c r="J270" s="1">
        <f t="shared" si="108"/>
        <v>9.089839490902793E-2</v>
      </c>
      <c r="K270" s="1">
        <f t="shared" si="108"/>
        <v>9.2679216826836136E-2</v>
      </c>
      <c r="L270" s="1">
        <f t="shared" si="108"/>
        <v>9.446003874464437E-2</v>
      </c>
      <c r="M270" s="1">
        <f t="shared" si="108"/>
        <v>9.6240860662452576E-2</v>
      </c>
      <c r="N270" s="1">
        <f t="shared" si="108"/>
        <v>9.802168258026081E-2</v>
      </c>
      <c r="O270" s="1">
        <f t="shared" si="108"/>
        <v>9.8660861778674336E-2</v>
      </c>
      <c r="P270" s="1">
        <f t="shared" si="108"/>
        <v>9.9066912734088325E-2</v>
      </c>
      <c r="Q270" s="1">
        <f t="shared" si="108"/>
        <v>9.9472963689502342E-2</v>
      </c>
      <c r="R270" s="1">
        <f t="shared" si="108"/>
        <v>9.9879014644916359E-2</v>
      </c>
      <c r="S270" s="1">
        <f t="shared" si="108"/>
        <v>0.10028506560033038</v>
      </c>
      <c r="T270" s="1">
        <f t="shared" si="108"/>
        <v>0.10069111655574439</v>
      </c>
      <c r="U270" s="1">
        <f t="shared" si="108"/>
        <v>0.10109716751115841</v>
      </c>
      <c r="V270" s="1">
        <f t="shared" si="108"/>
        <v>0.10150321846657243</v>
      </c>
      <c r="W270" s="1">
        <f t="shared" si="108"/>
        <v>0.10109716751115841</v>
      </c>
      <c r="X270" s="1">
        <f t="shared" si="108"/>
        <v>0.10069111655574439</v>
      </c>
      <c r="Y270" s="1">
        <f t="shared" si="108"/>
        <v>0.10028506560033038</v>
      </c>
      <c r="Z270" s="1">
        <f t="shared" si="108"/>
        <v>9.9879014644916359E-2</v>
      </c>
      <c r="AA270" s="1">
        <f t="shared" si="108"/>
        <v>9.9472963689502342E-2</v>
      </c>
      <c r="AB270" s="1">
        <f t="shared" si="108"/>
        <v>9.9066912734088325E-2</v>
      </c>
      <c r="AC270" s="1">
        <f t="shared" si="108"/>
        <v>9.8660861778674336E-2</v>
      </c>
      <c r="AD270" s="1">
        <f t="shared" si="108"/>
        <v>9.802168258026081E-2</v>
      </c>
      <c r="AE270" s="1">
        <f t="shared" si="108"/>
        <v>9.6240860662452576E-2</v>
      </c>
      <c r="AF270" s="1">
        <f t="shared" si="108"/>
        <v>9.446003874464437E-2</v>
      </c>
      <c r="AG270" s="1">
        <f t="shared" si="108"/>
        <v>9.2679216826836136E-2</v>
      </c>
      <c r="AH270" s="1">
        <f t="shared" si="108"/>
        <v>9.089839490902793E-2</v>
      </c>
      <c r="AI270" s="1">
        <f t="shared" si="108"/>
        <v>8.9117572991219723E-2</v>
      </c>
      <c r="AJ270" s="1">
        <f t="shared" si="108"/>
        <v>8.7336751073411489E-2</v>
      </c>
      <c r="AK270" s="1">
        <f t="shared" si="108"/>
        <v>8.5555929155603283E-2</v>
      </c>
      <c r="AL270" s="1">
        <f t="shared" si="108"/>
        <v>8.2049556702614962E-2</v>
      </c>
      <c r="AM270" s="1">
        <f t="shared" si="108"/>
        <v>7.8325066906696578E-2</v>
      </c>
      <c r="AN270" s="1">
        <f t="shared" si="108"/>
        <v>7.4600577110778221E-2</v>
      </c>
      <c r="AO270" s="1">
        <f t="shared" si="108"/>
        <v>7.0876087314859865E-2</v>
      </c>
    </row>
    <row r="271" spans="2:41">
      <c r="B271" s="1">
        <f t="shared" ref="B271:AO271" si="109">$AC$110-B$106</f>
        <v>6.7420656733308493E-2</v>
      </c>
      <c r="C271" s="1">
        <f t="shared" si="109"/>
        <v>7.1145146529226877E-2</v>
      </c>
      <c r="D271" s="1">
        <f t="shared" si="109"/>
        <v>7.4869636325145233E-2</v>
      </c>
      <c r="E271" s="1">
        <f t="shared" si="109"/>
        <v>7.859412612106359E-2</v>
      </c>
      <c r="F271" s="1">
        <f t="shared" si="109"/>
        <v>8.2318615916981974E-2</v>
      </c>
      <c r="G271" s="1">
        <f t="shared" si="109"/>
        <v>8.5824988369970295E-2</v>
      </c>
      <c r="H271" s="1">
        <f t="shared" si="109"/>
        <v>8.7605810287778502E-2</v>
      </c>
      <c r="I271" s="1">
        <f t="shared" si="109"/>
        <v>8.9386632205586736E-2</v>
      </c>
      <c r="J271" s="1">
        <f t="shared" si="109"/>
        <v>9.1167454123394942E-2</v>
      </c>
      <c r="K271" s="1">
        <f t="shared" si="109"/>
        <v>9.2948276041203148E-2</v>
      </c>
      <c r="L271" s="1">
        <f t="shared" si="109"/>
        <v>9.4729097959011382E-2</v>
      </c>
      <c r="M271" s="1">
        <f t="shared" si="109"/>
        <v>9.6509919876819589E-2</v>
      </c>
      <c r="N271" s="1">
        <f t="shared" si="109"/>
        <v>9.8290741794627823E-2</v>
      </c>
      <c r="O271" s="1">
        <f t="shared" si="109"/>
        <v>9.8929920993041348E-2</v>
      </c>
      <c r="P271" s="1">
        <f t="shared" si="109"/>
        <v>9.9335971948455337E-2</v>
      </c>
      <c r="Q271" s="1">
        <f t="shared" si="109"/>
        <v>9.9742022903869354E-2</v>
      </c>
      <c r="R271" s="1">
        <f t="shared" si="109"/>
        <v>0.10014807385928337</v>
      </c>
      <c r="S271" s="1">
        <f t="shared" si="109"/>
        <v>0.10055412481469739</v>
      </c>
      <c r="T271" s="1">
        <f t="shared" si="109"/>
        <v>0.1009601757701114</v>
      </c>
      <c r="U271" s="1">
        <f t="shared" si="109"/>
        <v>0.10136622672552542</v>
      </c>
      <c r="V271" s="1">
        <f t="shared" si="109"/>
        <v>0.10177227768093944</v>
      </c>
      <c r="W271" s="1">
        <f t="shared" si="109"/>
        <v>0.10136622672552542</v>
      </c>
      <c r="X271" s="1">
        <f t="shared" si="109"/>
        <v>0.1009601757701114</v>
      </c>
      <c r="Y271" s="1">
        <f t="shared" si="109"/>
        <v>0.10055412481469739</v>
      </c>
      <c r="Z271" s="1">
        <f t="shared" si="109"/>
        <v>0.10014807385928337</v>
      </c>
      <c r="AA271" s="1">
        <f t="shared" si="109"/>
        <v>9.9742022903869354E-2</v>
      </c>
      <c r="AB271" s="1">
        <f t="shared" si="109"/>
        <v>9.9335971948455337E-2</v>
      </c>
      <c r="AC271" s="1">
        <f t="shared" si="109"/>
        <v>9.8929920993041348E-2</v>
      </c>
      <c r="AD271" s="1">
        <f t="shared" si="109"/>
        <v>9.8290741794627823E-2</v>
      </c>
      <c r="AE271" s="1">
        <f t="shared" si="109"/>
        <v>9.6509919876819589E-2</v>
      </c>
      <c r="AF271" s="1">
        <f t="shared" si="109"/>
        <v>9.4729097959011382E-2</v>
      </c>
      <c r="AG271" s="1">
        <f t="shared" si="109"/>
        <v>9.2948276041203148E-2</v>
      </c>
      <c r="AH271" s="1">
        <f t="shared" si="109"/>
        <v>9.1167454123394942E-2</v>
      </c>
      <c r="AI271" s="1">
        <f t="shared" si="109"/>
        <v>8.9386632205586736E-2</v>
      </c>
      <c r="AJ271" s="1">
        <f t="shared" si="109"/>
        <v>8.7605810287778502E-2</v>
      </c>
      <c r="AK271" s="1">
        <f t="shared" si="109"/>
        <v>8.5824988369970295E-2</v>
      </c>
      <c r="AL271" s="1">
        <f t="shared" si="109"/>
        <v>8.2318615916981974E-2</v>
      </c>
      <c r="AM271" s="1">
        <f t="shared" si="109"/>
        <v>7.859412612106359E-2</v>
      </c>
      <c r="AN271" s="1">
        <f t="shared" si="109"/>
        <v>7.4869636325145233E-2</v>
      </c>
      <c r="AO271" s="1">
        <f t="shared" si="109"/>
        <v>7.1145146529226877E-2</v>
      </c>
    </row>
    <row r="272" spans="2:41">
      <c r="B272" s="1">
        <f t="shared" ref="B272:AO272" si="110">$AD$110-B$106</f>
        <v>6.6230997847846113E-2</v>
      </c>
      <c r="C272" s="1">
        <f t="shared" si="110"/>
        <v>6.9955487643764497E-2</v>
      </c>
      <c r="D272" s="1">
        <f t="shared" si="110"/>
        <v>7.3679977439682853E-2</v>
      </c>
      <c r="E272" s="1">
        <f t="shared" si="110"/>
        <v>7.740446723560121E-2</v>
      </c>
      <c r="F272" s="1">
        <f t="shared" si="110"/>
        <v>8.1128957031519594E-2</v>
      </c>
      <c r="G272" s="1">
        <f t="shared" si="110"/>
        <v>8.4635329484507915E-2</v>
      </c>
      <c r="H272" s="1">
        <f t="shared" si="110"/>
        <v>8.6416151402316121E-2</v>
      </c>
      <c r="I272" s="1">
        <f t="shared" si="110"/>
        <v>8.8196973320124356E-2</v>
      </c>
      <c r="J272" s="1">
        <f t="shared" si="110"/>
        <v>8.9977795237932562E-2</v>
      </c>
      <c r="K272" s="1">
        <f t="shared" si="110"/>
        <v>9.1758617155740768E-2</v>
      </c>
      <c r="L272" s="1">
        <f t="shared" si="110"/>
        <v>9.3539439073549002E-2</v>
      </c>
      <c r="M272" s="1">
        <f t="shared" si="110"/>
        <v>9.5320260991357209E-2</v>
      </c>
      <c r="N272" s="1">
        <f t="shared" si="110"/>
        <v>9.7101082909165443E-2</v>
      </c>
      <c r="O272" s="1">
        <f t="shared" si="110"/>
        <v>9.7740262107578968E-2</v>
      </c>
      <c r="P272" s="1">
        <f t="shared" si="110"/>
        <v>9.8146313062992957E-2</v>
      </c>
      <c r="Q272" s="1">
        <f t="shared" si="110"/>
        <v>9.8552364018406974E-2</v>
      </c>
      <c r="R272" s="1">
        <f t="shared" si="110"/>
        <v>9.8958414973820991E-2</v>
      </c>
      <c r="S272" s="1">
        <f t="shared" si="110"/>
        <v>9.9364465929235007E-2</v>
      </c>
      <c r="T272" s="1">
        <f t="shared" si="110"/>
        <v>9.9770516884649024E-2</v>
      </c>
      <c r="U272" s="1">
        <f t="shared" si="110"/>
        <v>0.10017656784006304</v>
      </c>
      <c r="V272" s="1">
        <f t="shared" si="110"/>
        <v>0.10058261879547706</v>
      </c>
      <c r="W272" s="1">
        <f t="shared" si="110"/>
        <v>0.10017656784006304</v>
      </c>
      <c r="X272" s="1">
        <f t="shared" si="110"/>
        <v>9.9770516884649024E-2</v>
      </c>
      <c r="Y272" s="1">
        <f t="shared" si="110"/>
        <v>9.9364465929235007E-2</v>
      </c>
      <c r="Z272" s="1">
        <f t="shared" si="110"/>
        <v>9.8958414973820991E-2</v>
      </c>
      <c r="AA272" s="1">
        <f t="shared" si="110"/>
        <v>9.8552364018406974E-2</v>
      </c>
      <c r="AB272" s="1">
        <f t="shared" si="110"/>
        <v>9.8146313062992957E-2</v>
      </c>
      <c r="AC272" s="1">
        <f t="shared" si="110"/>
        <v>9.7740262107578968E-2</v>
      </c>
      <c r="AD272" s="1">
        <f t="shared" si="110"/>
        <v>9.7101082909165443E-2</v>
      </c>
      <c r="AE272" s="1">
        <f t="shared" si="110"/>
        <v>9.5320260991357209E-2</v>
      </c>
      <c r="AF272" s="1">
        <f t="shared" si="110"/>
        <v>9.3539439073549002E-2</v>
      </c>
      <c r="AG272" s="1">
        <f t="shared" si="110"/>
        <v>9.1758617155740768E-2</v>
      </c>
      <c r="AH272" s="1">
        <f t="shared" si="110"/>
        <v>8.9977795237932562E-2</v>
      </c>
      <c r="AI272" s="1">
        <f t="shared" si="110"/>
        <v>8.8196973320124356E-2</v>
      </c>
      <c r="AJ272" s="1">
        <f t="shared" si="110"/>
        <v>8.6416151402316121E-2</v>
      </c>
      <c r="AK272" s="1">
        <f t="shared" si="110"/>
        <v>8.4635329484507915E-2</v>
      </c>
      <c r="AL272" s="1">
        <f t="shared" si="110"/>
        <v>8.1128957031519594E-2</v>
      </c>
      <c r="AM272" s="1">
        <f t="shared" si="110"/>
        <v>7.740446723560121E-2</v>
      </c>
      <c r="AN272" s="1">
        <f t="shared" si="110"/>
        <v>7.3679977439682853E-2</v>
      </c>
      <c r="AO272" s="1">
        <f t="shared" si="110"/>
        <v>6.9955487643764497E-2</v>
      </c>
    </row>
    <row r="273" spans="2:41">
      <c r="B273" s="1">
        <f t="shared" ref="B273:AO273" si="111">$AE$110-B$106</f>
        <v>6.4587162231407771E-2</v>
      </c>
      <c r="C273" s="1">
        <f t="shared" si="111"/>
        <v>6.8311652027326156E-2</v>
      </c>
      <c r="D273" s="1">
        <f t="shared" si="111"/>
        <v>7.2036141823244512E-2</v>
      </c>
      <c r="E273" s="1">
        <f t="shared" si="111"/>
        <v>7.5760631619162869E-2</v>
      </c>
      <c r="F273" s="1">
        <f t="shared" si="111"/>
        <v>7.9485121415081253E-2</v>
      </c>
      <c r="G273" s="1">
        <f t="shared" si="111"/>
        <v>8.2991493868069574E-2</v>
      </c>
      <c r="H273" s="1">
        <f t="shared" si="111"/>
        <v>8.477231578587778E-2</v>
      </c>
      <c r="I273" s="1">
        <f t="shared" si="111"/>
        <v>8.6553137703686014E-2</v>
      </c>
      <c r="J273" s="1">
        <f t="shared" si="111"/>
        <v>8.8333959621494221E-2</v>
      </c>
      <c r="K273" s="1">
        <f t="shared" si="111"/>
        <v>9.0114781539302427E-2</v>
      </c>
      <c r="L273" s="1">
        <f t="shared" si="111"/>
        <v>9.1895603457110661E-2</v>
      </c>
      <c r="M273" s="1">
        <f t="shared" si="111"/>
        <v>9.3676425374918867E-2</v>
      </c>
      <c r="N273" s="1">
        <f t="shared" si="111"/>
        <v>9.5457247292727102E-2</v>
      </c>
      <c r="O273" s="1">
        <f t="shared" si="111"/>
        <v>9.6096426491140627E-2</v>
      </c>
      <c r="P273" s="1">
        <f t="shared" si="111"/>
        <v>9.6502477446554616E-2</v>
      </c>
      <c r="Q273" s="1">
        <f t="shared" si="111"/>
        <v>9.6908528401968633E-2</v>
      </c>
      <c r="R273" s="1">
        <f t="shared" si="111"/>
        <v>9.731457935738265E-2</v>
      </c>
      <c r="S273" s="1">
        <f t="shared" si="111"/>
        <v>9.7720630312796666E-2</v>
      </c>
      <c r="T273" s="1">
        <f t="shared" si="111"/>
        <v>9.8126681268210683E-2</v>
      </c>
      <c r="U273" s="1">
        <f t="shared" si="111"/>
        <v>9.85327322236247E-2</v>
      </c>
      <c r="V273" s="1">
        <f t="shared" si="111"/>
        <v>9.8938783179038717E-2</v>
      </c>
      <c r="W273" s="1">
        <f t="shared" si="111"/>
        <v>9.85327322236247E-2</v>
      </c>
      <c r="X273" s="1">
        <f t="shared" si="111"/>
        <v>9.8126681268210683E-2</v>
      </c>
      <c r="Y273" s="1">
        <f t="shared" si="111"/>
        <v>9.7720630312796666E-2</v>
      </c>
      <c r="Z273" s="1">
        <f t="shared" si="111"/>
        <v>9.731457935738265E-2</v>
      </c>
      <c r="AA273" s="1">
        <f t="shared" si="111"/>
        <v>9.6908528401968633E-2</v>
      </c>
      <c r="AB273" s="1">
        <f t="shared" si="111"/>
        <v>9.6502477446554616E-2</v>
      </c>
      <c r="AC273" s="1">
        <f t="shared" si="111"/>
        <v>9.6096426491140627E-2</v>
      </c>
      <c r="AD273" s="1">
        <f t="shared" si="111"/>
        <v>9.5457247292727102E-2</v>
      </c>
      <c r="AE273" s="1">
        <f t="shared" si="111"/>
        <v>9.3676425374918867E-2</v>
      </c>
      <c r="AF273" s="1">
        <f t="shared" si="111"/>
        <v>9.1895603457110661E-2</v>
      </c>
      <c r="AG273" s="1">
        <f t="shared" si="111"/>
        <v>9.0114781539302427E-2</v>
      </c>
      <c r="AH273" s="1">
        <f t="shared" si="111"/>
        <v>8.8333959621494221E-2</v>
      </c>
      <c r="AI273" s="1">
        <f t="shared" si="111"/>
        <v>8.6553137703686014E-2</v>
      </c>
      <c r="AJ273" s="1">
        <f t="shared" si="111"/>
        <v>8.477231578587778E-2</v>
      </c>
      <c r="AK273" s="1">
        <f t="shared" si="111"/>
        <v>8.2991493868069574E-2</v>
      </c>
      <c r="AL273" s="1">
        <f t="shared" si="111"/>
        <v>7.9485121415081253E-2</v>
      </c>
      <c r="AM273" s="1">
        <f t="shared" si="111"/>
        <v>7.5760631619162869E-2</v>
      </c>
      <c r="AN273" s="1">
        <f t="shared" si="111"/>
        <v>7.2036141823244512E-2</v>
      </c>
      <c r="AO273" s="1">
        <f t="shared" si="111"/>
        <v>6.8311652027326156E-2</v>
      </c>
    </row>
    <row r="274" spans="2:41">
      <c r="B274" s="1">
        <f t="shared" ref="B274:AO274" si="112">$AF$110-B$106</f>
        <v>6.2943326614969403E-2</v>
      </c>
      <c r="C274" s="1">
        <f t="shared" si="112"/>
        <v>6.6667816410887787E-2</v>
      </c>
      <c r="D274" s="1">
        <f t="shared" si="112"/>
        <v>7.0392306206806143E-2</v>
      </c>
      <c r="E274" s="1">
        <f t="shared" si="112"/>
        <v>7.41167960027245E-2</v>
      </c>
      <c r="F274" s="1">
        <f t="shared" si="112"/>
        <v>7.7841285798642884E-2</v>
      </c>
      <c r="G274" s="1">
        <f t="shared" si="112"/>
        <v>8.1347658251631205E-2</v>
      </c>
      <c r="H274" s="1">
        <f t="shared" si="112"/>
        <v>8.3128480169439412E-2</v>
      </c>
      <c r="I274" s="1">
        <f t="shared" si="112"/>
        <v>8.4909302087247646E-2</v>
      </c>
      <c r="J274" s="1">
        <f t="shared" si="112"/>
        <v>8.6690124005055852E-2</v>
      </c>
      <c r="K274" s="1">
        <f t="shared" si="112"/>
        <v>8.8470945922864058E-2</v>
      </c>
      <c r="L274" s="1">
        <f t="shared" si="112"/>
        <v>9.0251767840672292E-2</v>
      </c>
      <c r="M274" s="1">
        <f t="shared" si="112"/>
        <v>9.2032589758480499E-2</v>
      </c>
      <c r="N274" s="1">
        <f t="shared" si="112"/>
        <v>9.3813411676288733E-2</v>
      </c>
      <c r="O274" s="1">
        <f t="shared" si="112"/>
        <v>9.4452590874702258E-2</v>
      </c>
      <c r="P274" s="1">
        <f t="shared" si="112"/>
        <v>9.4858641830116247E-2</v>
      </c>
      <c r="Q274" s="1">
        <f t="shared" si="112"/>
        <v>9.5264692785530264E-2</v>
      </c>
      <c r="R274" s="1">
        <f t="shared" si="112"/>
        <v>9.5670743740944281E-2</v>
      </c>
      <c r="S274" s="1">
        <f t="shared" si="112"/>
        <v>9.6076794696358297E-2</v>
      </c>
      <c r="T274" s="1">
        <f t="shared" si="112"/>
        <v>9.6482845651772314E-2</v>
      </c>
      <c r="U274" s="1">
        <f t="shared" si="112"/>
        <v>9.6888896607186331E-2</v>
      </c>
      <c r="V274" s="1">
        <f t="shared" si="112"/>
        <v>9.7294947562600348E-2</v>
      </c>
      <c r="W274" s="1">
        <f t="shared" si="112"/>
        <v>9.6888896607186331E-2</v>
      </c>
      <c r="X274" s="1">
        <f t="shared" si="112"/>
        <v>9.6482845651772314E-2</v>
      </c>
      <c r="Y274" s="1">
        <f t="shared" si="112"/>
        <v>9.6076794696358297E-2</v>
      </c>
      <c r="Z274" s="1">
        <f t="shared" si="112"/>
        <v>9.5670743740944281E-2</v>
      </c>
      <c r="AA274" s="1">
        <f t="shared" si="112"/>
        <v>9.5264692785530264E-2</v>
      </c>
      <c r="AB274" s="1">
        <f t="shared" si="112"/>
        <v>9.4858641830116247E-2</v>
      </c>
      <c r="AC274" s="1">
        <f t="shared" si="112"/>
        <v>9.4452590874702258E-2</v>
      </c>
      <c r="AD274" s="1">
        <f t="shared" si="112"/>
        <v>9.3813411676288733E-2</v>
      </c>
      <c r="AE274" s="1">
        <f t="shared" si="112"/>
        <v>9.2032589758480499E-2</v>
      </c>
      <c r="AF274" s="1">
        <f t="shared" si="112"/>
        <v>9.0251767840672292E-2</v>
      </c>
      <c r="AG274" s="1">
        <f t="shared" si="112"/>
        <v>8.8470945922864058E-2</v>
      </c>
      <c r="AH274" s="1">
        <f t="shared" si="112"/>
        <v>8.6690124005055852E-2</v>
      </c>
      <c r="AI274" s="1">
        <f t="shared" si="112"/>
        <v>8.4909302087247646E-2</v>
      </c>
      <c r="AJ274" s="1">
        <f t="shared" si="112"/>
        <v>8.3128480169439412E-2</v>
      </c>
      <c r="AK274" s="1">
        <f t="shared" si="112"/>
        <v>8.1347658251631205E-2</v>
      </c>
      <c r="AL274" s="1">
        <f t="shared" si="112"/>
        <v>7.7841285798642884E-2</v>
      </c>
      <c r="AM274" s="1">
        <f t="shared" si="112"/>
        <v>7.41167960027245E-2</v>
      </c>
      <c r="AN274" s="1">
        <f t="shared" si="112"/>
        <v>7.0392306206806143E-2</v>
      </c>
      <c r="AO274" s="1">
        <f t="shared" si="112"/>
        <v>6.6667816410887787E-2</v>
      </c>
    </row>
    <row r="275" spans="2:41">
      <c r="B275" s="1">
        <f t="shared" ref="B275:AO275" si="113">$AG$110-B$106</f>
        <v>6.1299490998531055E-2</v>
      </c>
      <c r="C275" s="1">
        <f t="shared" si="113"/>
        <v>6.5023980794449432E-2</v>
      </c>
      <c r="D275" s="1">
        <f t="shared" si="113"/>
        <v>6.8748470590367788E-2</v>
      </c>
      <c r="E275" s="1">
        <f t="shared" si="113"/>
        <v>7.2472960386286145E-2</v>
      </c>
      <c r="F275" s="1">
        <f t="shared" si="113"/>
        <v>7.6197450182204529E-2</v>
      </c>
      <c r="G275" s="1">
        <f t="shared" si="113"/>
        <v>7.970382263519285E-2</v>
      </c>
      <c r="H275" s="1">
        <f t="shared" si="113"/>
        <v>8.1484644553001057E-2</v>
      </c>
      <c r="I275" s="1">
        <f t="shared" si="113"/>
        <v>8.3265466470809291E-2</v>
      </c>
      <c r="J275" s="1">
        <f t="shared" si="113"/>
        <v>8.5046288388617497E-2</v>
      </c>
      <c r="K275" s="1">
        <f t="shared" si="113"/>
        <v>8.6827110306425703E-2</v>
      </c>
      <c r="L275" s="1">
        <f t="shared" si="113"/>
        <v>8.8607932224233937E-2</v>
      </c>
      <c r="M275" s="1">
        <f t="shared" si="113"/>
        <v>9.0388754142042144E-2</v>
      </c>
      <c r="N275" s="1">
        <f t="shared" si="113"/>
        <v>9.2169576059850378E-2</v>
      </c>
      <c r="O275" s="1">
        <f t="shared" si="113"/>
        <v>9.2808755258263903E-2</v>
      </c>
      <c r="P275" s="1">
        <f t="shared" si="113"/>
        <v>9.3214806213677892E-2</v>
      </c>
      <c r="Q275" s="1">
        <f t="shared" si="113"/>
        <v>9.3620857169091909E-2</v>
      </c>
      <c r="R275" s="1">
        <f t="shared" si="113"/>
        <v>9.4026908124505926E-2</v>
      </c>
      <c r="S275" s="1">
        <f t="shared" si="113"/>
        <v>9.4432959079919943E-2</v>
      </c>
      <c r="T275" s="1">
        <f t="shared" si="113"/>
        <v>9.4839010035333959E-2</v>
      </c>
      <c r="U275" s="1">
        <f t="shared" si="113"/>
        <v>9.5245060990747976E-2</v>
      </c>
      <c r="V275" s="1">
        <f t="shared" si="113"/>
        <v>9.5651111946161993E-2</v>
      </c>
      <c r="W275" s="1">
        <f t="shared" si="113"/>
        <v>9.5245060990747976E-2</v>
      </c>
      <c r="X275" s="1">
        <f t="shared" si="113"/>
        <v>9.4839010035333959E-2</v>
      </c>
      <c r="Y275" s="1">
        <f t="shared" si="113"/>
        <v>9.4432959079919943E-2</v>
      </c>
      <c r="Z275" s="1">
        <f t="shared" si="113"/>
        <v>9.4026908124505926E-2</v>
      </c>
      <c r="AA275" s="1">
        <f t="shared" si="113"/>
        <v>9.3620857169091909E-2</v>
      </c>
      <c r="AB275" s="1">
        <f t="shared" si="113"/>
        <v>9.3214806213677892E-2</v>
      </c>
      <c r="AC275" s="1">
        <f t="shared" si="113"/>
        <v>9.2808755258263903E-2</v>
      </c>
      <c r="AD275" s="1">
        <f t="shared" si="113"/>
        <v>9.2169576059850378E-2</v>
      </c>
      <c r="AE275" s="1">
        <f t="shared" si="113"/>
        <v>9.0388754142042144E-2</v>
      </c>
      <c r="AF275" s="1">
        <f t="shared" si="113"/>
        <v>8.8607932224233937E-2</v>
      </c>
      <c r="AG275" s="1">
        <f t="shared" si="113"/>
        <v>8.6827110306425703E-2</v>
      </c>
      <c r="AH275" s="1">
        <f t="shared" si="113"/>
        <v>8.5046288388617497E-2</v>
      </c>
      <c r="AI275" s="1">
        <f t="shared" si="113"/>
        <v>8.3265466470809291E-2</v>
      </c>
      <c r="AJ275" s="1">
        <f t="shared" si="113"/>
        <v>8.1484644553001057E-2</v>
      </c>
      <c r="AK275" s="1">
        <f t="shared" si="113"/>
        <v>7.970382263519285E-2</v>
      </c>
      <c r="AL275" s="1">
        <f t="shared" si="113"/>
        <v>7.6197450182204529E-2</v>
      </c>
      <c r="AM275" s="1">
        <f t="shared" si="113"/>
        <v>7.2472960386286145E-2</v>
      </c>
      <c r="AN275" s="1">
        <f t="shared" si="113"/>
        <v>6.8748470590367788E-2</v>
      </c>
      <c r="AO275" s="1">
        <f t="shared" si="113"/>
        <v>6.5023980794449432E-2</v>
      </c>
    </row>
    <row r="276" spans="2:41">
      <c r="B276" s="1">
        <f t="shared" ref="B276:AO276" si="114">$AH$110-B$106</f>
        <v>5.9655655382092693E-2</v>
      </c>
      <c r="C276" s="1">
        <f t="shared" si="114"/>
        <v>6.3380145178011077E-2</v>
      </c>
      <c r="D276" s="1">
        <f t="shared" si="114"/>
        <v>6.7104634973929433E-2</v>
      </c>
      <c r="E276" s="1">
        <f t="shared" si="114"/>
        <v>7.082912476984779E-2</v>
      </c>
      <c r="F276" s="1">
        <f t="shared" si="114"/>
        <v>7.4553614565766174E-2</v>
      </c>
      <c r="G276" s="1">
        <f t="shared" si="114"/>
        <v>7.8059987018754495E-2</v>
      </c>
      <c r="H276" s="1">
        <f t="shared" si="114"/>
        <v>7.9840808936562702E-2</v>
      </c>
      <c r="I276" s="1">
        <f t="shared" si="114"/>
        <v>8.1621630854370936E-2</v>
      </c>
      <c r="J276" s="1">
        <f t="shared" si="114"/>
        <v>8.3402452772179142E-2</v>
      </c>
      <c r="K276" s="1">
        <f t="shared" si="114"/>
        <v>8.5183274689987348E-2</v>
      </c>
      <c r="L276" s="1">
        <f t="shared" si="114"/>
        <v>8.6964096607795582E-2</v>
      </c>
      <c r="M276" s="1">
        <f t="shared" si="114"/>
        <v>8.8744918525603789E-2</v>
      </c>
      <c r="N276" s="1">
        <f t="shared" si="114"/>
        <v>9.0525740443412023E-2</v>
      </c>
      <c r="O276" s="1">
        <f t="shared" si="114"/>
        <v>9.1164919641825548E-2</v>
      </c>
      <c r="P276" s="1">
        <f t="shared" si="114"/>
        <v>9.1570970597239537E-2</v>
      </c>
      <c r="Q276" s="1">
        <f t="shared" si="114"/>
        <v>9.1977021552653554E-2</v>
      </c>
      <c r="R276" s="1">
        <f t="shared" si="114"/>
        <v>9.2383072508067571E-2</v>
      </c>
      <c r="S276" s="1">
        <f t="shared" si="114"/>
        <v>9.2789123463481588E-2</v>
      </c>
      <c r="T276" s="1">
        <f t="shared" si="114"/>
        <v>9.3195174418895604E-2</v>
      </c>
      <c r="U276" s="1">
        <f t="shared" si="114"/>
        <v>9.3601225374309621E-2</v>
      </c>
      <c r="V276" s="1">
        <f t="shared" si="114"/>
        <v>9.4007276329723638E-2</v>
      </c>
      <c r="W276" s="1">
        <f t="shared" si="114"/>
        <v>9.3601225374309621E-2</v>
      </c>
      <c r="X276" s="1">
        <f t="shared" si="114"/>
        <v>9.3195174418895604E-2</v>
      </c>
      <c r="Y276" s="1">
        <f t="shared" si="114"/>
        <v>9.2789123463481588E-2</v>
      </c>
      <c r="Z276" s="1">
        <f t="shared" si="114"/>
        <v>9.2383072508067571E-2</v>
      </c>
      <c r="AA276" s="1">
        <f t="shared" si="114"/>
        <v>9.1977021552653554E-2</v>
      </c>
      <c r="AB276" s="1">
        <f t="shared" si="114"/>
        <v>9.1570970597239537E-2</v>
      </c>
      <c r="AC276" s="1">
        <f t="shared" si="114"/>
        <v>9.1164919641825548E-2</v>
      </c>
      <c r="AD276" s="1">
        <f t="shared" si="114"/>
        <v>9.0525740443412023E-2</v>
      </c>
      <c r="AE276" s="1">
        <f t="shared" si="114"/>
        <v>8.8744918525603789E-2</v>
      </c>
      <c r="AF276" s="1">
        <f t="shared" si="114"/>
        <v>8.6964096607795582E-2</v>
      </c>
      <c r="AG276" s="1">
        <f t="shared" si="114"/>
        <v>8.5183274689987348E-2</v>
      </c>
      <c r="AH276" s="1">
        <f t="shared" si="114"/>
        <v>8.3402452772179142E-2</v>
      </c>
      <c r="AI276" s="1">
        <f t="shared" si="114"/>
        <v>8.1621630854370936E-2</v>
      </c>
      <c r="AJ276" s="1">
        <f t="shared" si="114"/>
        <v>7.9840808936562702E-2</v>
      </c>
      <c r="AK276" s="1">
        <f t="shared" si="114"/>
        <v>7.8059987018754495E-2</v>
      </c>
      <c r="AL276" s="1">
        <f t="shared" si="114"/>
        <v>7.4553614565766174E-2</v>
      </c>
      <c r="AM276" s="1">
        <f t="shared" si="114"/>
        <v>7.082912476984779E-2</v>
      </c>
      <c r="AN276" s="1">
        <f t="shared" si="114"/>
        <v>6.7104634973929433E-2</v>
      </c>
      <c r="AO276" s="1">
        <f t="shared" si="114"/>
        <v>6.3380145178011077E-2</v>
      </c>
    </row>
    <row r="277" spans="2:41">
      <c r="B277" s="1">
        <f t="shared" ref="B277:AO277" si="115">$AI$110-B$106</f>
        <v>5.8011819765654338E-2</v>
      </c>
      <c r="C277" s="1">
        <f t="shared" si="115"/>
        <v>6.1736309561572722E-2</v>
      </c>
      <c r="D277" s="1">
        <f t="shared" si="115"/>
        <v>6.5460799357491078E-2</v>
      </c>
      <c r="E277" s="1">
        <f t="shared" si="115"/>
        <v>6.9185289153409435E-2</v>
      </c>
      <c r="F277" s="1">
        <f t="shared" si="115"/>
        <v>7.2909778949327819E-2</v>
      </c>
      <c r="G277" s="1">
        <f t="shared" si="115"/>
        <v>7.641615140231614E-2</v>
      </c>
      <c r="H277" s="1">
        <f t="shared" si="115"/>
        <v>7.8196973320124347E-2</v>
      </c>
      <c r="I277" s="1">
        <f t="shared" si="115"/>
        <v>7.9977795237932581E-2</v>
      </c>
      <c r="J277" s="1">
        <f t="shared" si="115"/>
        <v>8.1758617155740787E-2</v>
      </c>
      <c r="K277" s="1">
        <f t="shared" si="115"/>
        <v>8.3539439073548993E-2</v>
      </c>
      <c r="L277" s="1">
        <f t="shared" si="115"/>
        <v>8.5320260991357227E-2</v>
      </c>
      <c r="M277" s="1">
        <f t="shared" si="115"/>
        <v>8.7101082909165434E-2</v>
      </c>
      <c r="N277" s="1">
        <f t="shared" si="115"/>
        <v>8.8881904826973668E-2</v>
      </c>
      <c r="O277" s="1">
        <f t="shared" si="115"/>
        <v>8.9521084025387193E-2</v>
      </c>
      <c r="P277" s="1">
        <f t="shared" si="115"/>
        <v>8.9927134980801182E-2</v>
      </c>
      <c r="Q277" s="1">
        <f t="shared" si="115"/>
        <v>9.0333185936215199E-2</v>
      </c>
      <c r="R277" s="1">
        <f t="shared" si="115"/>
        <v>9.0739236891629216E-2</v>
      </c>
      <c r="S277" s="1">
        <f t="shared" si="115"/>
        <v>9.1145287847043233E-2</v>
      </c>
      <c r="T277" s="1">
        <f t="shared" si="115"/>
        <v>9.1551338802457249E-2</v>
      </c>
      <c r="U277" s="1">
        <f t="shared" si="115"/>
        <v>9.1957389757871266E-2</v>
      </c>
      <c r="V277" s="1">
        <f t="shared" si="115"/>
        <v>9.2363440713285283E-2</v>
      </c>
      <c r="W277" s="1">
        <f t="shared" si="115"/>
        <v>9.1957389757871266E-2</v>
      </c>
      <c r="X277" s="1">
        <f t="shared" si="115"/>
        <v>9.1551338802457249E-2</v>
      </c>
      <c r="Y277" s="1">
        <f t="shared" si="115"/>
        <v>9.1145287847043233E-2</v>
      </c>
      <c r="Z277" s="1">
        <f t="shared" si="115"/>
        <v>9.0739236891629216E-2</v>
      </c>
      <c r="AA277" s="1">
        <f t="shared" si="115"/>
        <v>9.0333185936215199E-2</v>
      </c>
      <c r="AB277" s="1">
        <f t="shared" si="115"/>
        <v>8.9927134980801182E-2</v>
      </c>
      <c r="AC277" s="1">
        <f t="shared" si="115"/>
        <v>8.9521084025387193E-2</v>
      </c>
      <c r="AD277" s="1">
        <f t="shared" si="115"/>
        <v>8.8881904826973668E-2</v>
      </c>
      <c r="AE277" s="1">
        <f t="shared" si="115"/>
        <v>8.7101082909165434E-2</v>
      </c>
      <c r="AF277" s="1">
        <f t="shared" si="115"/>
        <v>8.5320260991357227E-2</v>
      </c>
      <c r="AG277" s="1">
        <f t="shared" si="115"/>
        <v>8.3539439073548993E-2</v>
      </c>
      <c r="AH277" s="1">
        <f t="shared" si="115"/>
        <v>8.1758617155740787E-2</v>
      </c>
      <c r="AI277" s="1">
        <f t="shared" si="115"/>
        <v>7.9977795237932581E-2</v>
      </c>
      <c r="AJ277" s="1">
        <f t="shared" si="115"/>
        <v>7.8196973320124347E-2</v>
      </c>
      <c r="AK277" s="1">
        <f t="shared" si="115"/>
        <v>7.641615140231614E-2</v>
      </c>
      <c r="AL277" s="1">
        <f t="shared" si="115"/>
        <v>7.2909778949327819E-2</v>
      </c>
      <c r="AM277" s="1">
        <f t="shared" si="115"/>
        <v>6.9185289153409435E-2</v>
      </c>
      <c r="AN277" s="1">
        <f t="shared" si="115"/>
        <v>6.5460799357491078E-2</v>
      </c>
      <c r="AO277" s="1">
        <f t="shared" si="115"/>
        <v>6.1736309561572722E-2</v>
      </c>
    </row>
    <row r="278" spans="2:41">
      <c r="B278" s="1">
        <f t="shared" ref="B278:AO278" si="116">$AJ$110-B$106</f>
        <v>5.6367984149215976E-2</v>
      </c>
      <c r="C278" s="1">
        <f t="shared" si="116"/>
        <v>6.009247394513436E-2</v>
      </c>
      <c r="D278" s="1">
        <f t="shared" si="116"/>
        <v>6.3816963741052724E-2</v>
      </c>
      <c r="E278" s="1">
        <f t="shared" si="116"/>
        <v>6.754145353697108E-2</v>
      </c>
      <c r="F278" s="1">
        <f t="shared" si="116"/>
        <v>7.1265943332889464E-2</v>
      </c>
      <c r="G278" s="1">
        <f t="shared" si="116"/>
        <v>7.4772315785877785E-2</v>
      </c>
      <c r="H278" s="1">
        <f t="shared" si="116"/>
        <v>7.6553137703685992E-2</v>
      </c>
      <c r="I278" s="1">
        <f t="shared" si="116"/>
        <v>7.8333959621494226E-2</v>
      </c>
      <c r="J278" s="1">
        <f t="shared" si="116"/>
        <v>8.0114781539302432E-2</v>
      </c>
      <c r="K278" s="1">
        <f t="shared" si="116"/>
        <v>8.1895603457110638E-2</v>
      </c>
      <c r="L278" s="1">
        <f t="shared" si="116"/>
        <v>8.3676425374918872E-2</v>
      </c>
      <c r="M278" s="1">
        <f t="shared" si="116"/>
        <v>8.5457247292727079E-2</v>
      </c>
      <c r="N278" s="1">
        <f t="shared" si="116"/>
        <v>8.7238069210535313E-2</v>
      </c>
      <c r="O278" s="1">
        <f t="shared" si="116"/>
        <v>8.7877248408948838E-2</v>
      </c>
      <c r="P278" s="1">
        <f t="shared" si="116"/>
        <v>8.8283299364362827E-2</v>
      </c>
      <c r="Q278" s="1">
        <f t="shared" si="116"/>
        <v>8.8689350319776844E-2</v>
      </c>
      <c r="R278" s="1">
        <f t="shared" si="116"/>
        <v>8.9095401275190861E-2</v>
      </c>
      <c r="S278" s="1">
        <f t="shared" si="116"/>
        <v>8.9501452230604878E-2</v>
      </c>
      <c r="T278" s="1">
        <f t="shared" si="116"/>
        <v>8.9907503186018894E-2</v>
      </c>
      <c r="U278" s="1">
        <f t="shared" si="116"/>
        <v>9.0313554141432911E-2</v>
      </c>
      <c r="V278" s="1">
        <f t="shared" si="116"/>
        <v>9.0719605096846928E-2</v>
      </c>
      <c r="W278" s="1">
        <f t="shared" si="116"/>
        <v>9.0313554141432911E-2</v>
      </c>
      <c r="X278" s="1">
        <f t="shared" si="116"/>
        <v>8.9907503186018894E-2</v>
      </c>
      <c r="Y278" s="1">
        <f t="shared" si="116"/>
        <v>8.9501452230604878E-2</v>
      </c>
      <c r="Z278" s="1">
        <f t="shared" si="116"/>
        <v>8.9095401275190861E-2</v>
      </c>
      <c r="AA278" s="1">
        <f t="shared" si="116"/>
        <v>8.8689350319776844E-2</v>
      </c>
      <c r="AB278" s="1">
        <f t="shared" si="116"/>
        <v>8.8283299364362827E-2</v>
      </c>
      <c r="AC278" s="1">
        <f t="shared" si="116"/>
        <v>8.7877248408948838E-2</v>
      </c>
      <c r="AD278" s="1">
        <f t="shared" si="116"/>
        <v>8.7238069210535313E-2</v>
      </c>
      <c r="AE278" s="1">
        <f t="shared" si="116"/>
        <v>8.5457247292727079E-2</v>
      </c>
      <c r="AF278" s="1">
        <f t="shared" si="116"/>
        <v>8.3676425374918872E-2</v>
      </c>
      <c r="AG278" s="1">
        <f t="shared" si="116"/>
        <v>8.1895603457110638E-2</v>
      </c>
      <c r="AH278" s="1">
        <f t="shared" si="116"/>
        <v>8.0114781539302432E-2</v>
      </c>
      <c r="AI278" s="1">
        <f t="shared" si="116"/>
        <v>7.8333959621494226E-2</v>
      </c>
      <c r="AJ278" s="1">
        <f t="shared" si="116"/>
        <v>7.6553137703685992E-2</v>
      </c>
      <c r="AK278" s="1">
        <f t="shared" si="116"/>
        <v>7.4772315785877785E-2</v>
      </c>
      <c r="AL278" s="1">
        <f t="shared" si="116"/>
        <v>7.1265943332889464E-2</v>
      </c>
      <c r="AM278" s="1">
        <f t="shared" si="116"/>
        <v>6.754145353697108E-2</v>
      </c>
      <c r="AN278" s="1">
        <f t="shared" si="116"/>
        <v>6.3816963741052724E-2</v>
      </c>
      <c r="AO278" s="1">
        <f t="shared" si="116"/>
        <v>6.009247394513436E-2</v>
      </c>
    </row>
    <row r="279" spans="2:41">
      <c r="B279" s="1">
        <f t="shared" ref="B279:AO279" si="117">$AK$110-B$106</f>
        <v>5.4690933764275335E-2</v>
      </c>
      <c r="C279" s="1">
        <f t="shared" si="117"/>
        <v>5.8415423560193719E-2</v>
      </c>
      <c r="D279" s="1">
        <f t="shared" si="117"/>
        <v>6.2139913356112075E-2</v>
      </c>
      <c r="E279" s="1">
        <f t="shared" si="117"/>
        <v>6.5864403152030432E-2</v>
      </c>
      <c r="F279" s="1">
        <f t="shared" si="117"/>
        <v>6.9588892947948816E-2</v>
      </c>
      <c r="G279" s="1">
        <f t="shared" si="117"/>
        <v>7.3095265400937137E-2</v>
      </c>
      <c r="H279" s="1">
        <f t="shared" si="117"/>
        <v>7.4876087318745344E-2</v>
      </c>
      <c r="I279" s="1">
        <f t="shared" si="117"/>
        <v>7.6656909236553578E-2</v>
      </c>
      <c r="J279" s="1">
        <f t="shared" si="117"/>
        <v>7.8437731154361784E-2</v>
      </c>
      <c r="K279" s="1">
        <f t="shared" si="117"/>
        <v>8.021855307216999E-2</v>
      </c>
      <c r="L279" s="1">
        <f t="shared" si="117"/>
        <v>8.1999374989978224E-2</v>
      </c>
      <c r="M279" s="1">
        <f t="shared" si="117"/>
        <v>8.3780196907786431E-2</v>
      </c>
      <c r="N279" s="1">
        <f t="shared" si="117"/>
        <v>8.5561018825594665E-2</v>
      </c>
      <c r="O279" s="1">
        <f t="shared" si="117"/>
        <v>8.620019802400819E-2</v>
      </c>
      <c r="P279" s="1">
        <f t="shared" si="117"/>
        <v>8.6606248979422179E-2</v>
      </c>
      <c r="Q279" s="1">
        <f t="shared" si="117"/>
        <v>8.7012299934836196E-2</v>
      </c>
      <c r="R279" s="1">
        <f t="shared" si="117"/>
        <v>8.7418350890250213E-2</v>
      </c>
      <c r="S279" s="1">
        <f t="shared" si="117"/>
        <v>8.7824401845664229E-2</v>
      </c>
      <c r="T279" s="1">
        <f t="shared" si="117"/>
        <v>8.8230452801078246E-2</v>
      </c>
      <c r="U279" s="1">
        <f t="shared" si="117"/>
        <v>8.8636503756492263E-2</v>
      </c>
      <c r="V279" s="1">
        <f t="shared" si="117"/>
        <v>8.904255471190628E-2</v>
      </c>
      <c r="W279" s="1">
        <f t="shared" si="117"/>
        <v>8.8636503756492263E-2</v>
      </c>
      <c r="X279" s="1">
        <f t="shared" si="117"/>
        <v>8.8230452801078246E-2</v>
      </c>
      <c r="Y279" s="1">
        <f t="shared" si="117"/>
        <v>8.7824401845664229E-2</v>
      </c>
      <c r="Z279" s="1">
        <f t="shared" si="117"/>
        <v>8.7418350890250213E-2</v>
      </c>
      <c r="AA279" s="1">
        <f t="shared" si="117"/>
        <v>8.7012299934836196E-2</v>
      </c>
      <c r="AB279" s="1">
        <f t="shared" si="117"/>
        <v>8.6606248979422179E-2</v>
      </c>
      <c r="AC279" s="1">
        <f t="shared" si="117"/>
        <v>8.620019802400819E-2</v>
      </c>
      <c r="AD279" s="1">
        <f t="shared" si="117"/>
        <v>8.5561018825594665E-2</v>
      </c>
      <c r="AE279" s="1">
        <f t="shared" si="117"/>
        <v>8.3780196907786431E-2</v>
      </c>
      <c r="AF279" s="1">
        <f t="shared" si="117"/>
        <v>8.1999374989978224E-2</v>
      </c>
      <c r="AG279" s="1">
        <f t="shared" si="117"/>
        <v>8.021855307216999E-2</v>
      </c>
      <c r="AH279" s="1">
        <f t="shared" si="117"/>
        <v>7.8437731154361784E-2</v>
      </c>
      <c r="AI279" s="1">
        <f t="shared" si="117"/>
        <v>7.6656909236553578E-2</v>
      </c>
      <c r="AJ279" s="1">
        <f t="shared" si="117"/>
        <v>7.4876087318745344E-2</v>
      </c>
      <c r="AK279" s="1">
        <f t="shared" si="117"/>
        <v>7.3095265400937137E-2</v>
      </c>
      <c r="AL279" s="1">
        <f t="shared" si="117"/>
        <v>6.9588892947948816E-2</v>
      </c>
      <c r="AM279" s="1">
        <f t="shared" si="117"/>
        <v>6.5864403152030432E-2</v>
      </c>
      <c r="AN279" s="1">
        <f t="shared" si="117"/>
        <v>6.2139913356112075E-2</v>
      </c>
      <c r="AO279" s="1">
        <f t="shared" si="117"/>
        <v>5.8415423560193719E-2</v>
      </c>
    </row>
    <row r="280" spans="2:41">
      <c r="B280" s="1">
        <f t="shared" ref="B280:AO280" si="118">$AL$110-B$106</f>
        <v>5.2741806198788738E-2</v>
      </c>
      <c r="C280" s="1">
        <f t="shared" si="118"/>
        <v>5.6466295994707122E-2</v>
      </c>
      <c r="D280" s="1">
        <f t="shared" si="118"/>
        <v>6.0190785790625478E-2</v>
      </c>
      <c r="E280" s="1">
        <f t="shared" si="118"/>
        <v>6.3915275586543835E-2</v>
      </c>
      <c r="F280" s="1">
        <f t="shared" si="118"/>
        <v>6.7639765382462219E-2</v>
      </c>
      <c r="G280" s="1">
        <f t="shared" si="118"/>
        <v>7.114613783545054E-2</v>
      </c>
      <c r="H280" s="1">
        <f t="shared" si="118"/>
        <v>7.2926959753258747E-2</v>
      </c>
      <c r="I280" s="1">
        <f t="shared" si="118"/>
        <v>7.4707781671066981E-2</v>
      </c>
      <c r="J280" s="1">
        <f t="shared" si="118"/>
        <v>7.6488603588875187E-2</v>
      </c>
      <c r="K280" s="1">
        <f t="shared" si="118"/>
        <v>7.8269425506683393E-2</v>
      </c>
      <c r="L280" s="1">
        <f t="shared" si="118"/>
        <v>8.0050247424491627E-2</v>
      </c>
      <c r="M280" s="1">
        <f t="shared" si="118"/>
        <v>8.1831069342299834E-2</v>
      </c>
      <c r="N280" s="1">
        <f t="shared" si="118"/>
        <v>8.3611891260108068E-2</v>
      </c>
      <c r="O280" s="1">
        <f t="shared" si="118"/>
        <v>8.4251070458521593E-2</v>
      </c>
      <c r="P280" s="1">
        <f t="shared" si="118"/>
        <v>8.4657121413935582E-2</v>
      </c>
      <c r="Q280" s="1">
        <f t="shared" si="118"/>
        <v>8.5063172369349599E-2</v>
      </c>
      <c r="R280" s="1">
        <f t="shared" si="118"/>
        <v>8.5469223324763616E-2</v>
      </c>
      <c r="S280" s="1">
        <f t="shared" si="118"/>
        <v>8.5875274280177633E-2</v>
      </c>
      <c r="T280" s="1">
        <f t="shared" si="118"/>
        <v>8.6281325235591649E-2</v>
      </c>
      <c r="U280" s="1">
        <f t="shared" si="118"/>
        <v>8.6687376191005666E-2</v>
      </c>
      <c r="V280" s="1">
        <f t="shared" si="118"/>
        <v>8.7093427146419683E-2</v>
      </c>
      <c r="W280" s="1">
        <f t="shared" si="118"/>
        <v>8.6687376191005666E-2</v>
      </c>
      <c r="X280" s="1">
        <f t="shared" si="118"/>
        <v>8.6281325235591649E-2</v>
      </c>
      <c r="Y280" s="1">
        <f t="shared" si="118"/>
        <v>8.5875274280177633E-2</v>
      </c>
      <c r="Z280" s="1">
        <f t="shared" si="118"/>
        <v>8.5469223324763616E-2</v>
      </c>
      <c r="AA280" s="1">
        <f t="shared" si="118"/>
        <v>8.5063172369349599E-2</v>
      </c>
      <c r="AB280" s="1">
        <f t="shared" si="118"/>
        <v>8.4657121413935582E-2</v>
      </c>
      <c r="AC280" s="1">
        <f t="shared" si="118"/>
        <v>8.4251070458521593E-2</v>
      </c>
      <c r="AD280" s="1">
        <f t="shared" si="118"/>
        <v>8.3611891260108068E-2</v>
      </c>
      <c r="AE280" s="1">
        <f t="shared" si="118"/>
        <v>8.1831069342299834E-2</v>
      </c>
      <c r="AF280" s="1">
        <f t="shared" si="118"/>
        <v>8.0050247424491627E-2</v>
      </c>
      <c r="AG280" s="1">
        <f t="shared" si="118"/>
        <v>7.8269425506683393E-2</v>
      </c>
      <c r="AH280" s="1">
        <f t="shared" si="118"/>
        <v>7.6488603588875187E-2</v>
      </c>
      <c r="AI280" s="1">
        <f t="shared" si="118"/>
        <v>7.4707781671066981E-2</v>
      </c>
      <c r="AJ280" s="1">
        <f t="shared" si="118"/>
        <v>7.2926959753258747E-2</v>
      </c>
      <c r="AK280" s="1">
        <f t="shared" si="118"/>
        <v>7.114613783545054E-2</v>
      </c>
      <c r="AL280" s="1">
        <f t="shared" si="118"/>
        <v>6.7639765382462219E-2</v>
      </c>
      <c r="AM280" s="1">
        <f t="shared" si="118"/>
        <v>6.3915275586543835E-2</v>
      </c>
      <c r="AN280" s="1">
        <f t="shared" si="118"/>
        <v>6.0190785790625478E-2</v>
      </c>
      <c r="AO280" s="1">
        <f t="shared" si="118"/>
        <v>5.6466295994707122E-2</v>
      </c>
    </row>
    <row r="281" spans="2:41">
      <c r="B281" s="1">
        <f t="shared" ref="B281:AO281" si="119">$AM$110-B$106</f>
        <v>5.0854051096747899E-2</v>
      </c>
      <c r="C281" s="1">
        <f t="shared" si="119"/>
        <v>5.4578540892666283E-2</v>
      </c>
      <c r="D281" s="1">
        <f t="shared" si="119"/>
        <v>5.8303030688584639E-2</v>
      </c>
      <c r="E281" s="1">
        <f t="shared" si="119"/>
        <v>6.2027520484502996E-2</v>
      </c>
      <c r="F281" s="1">
        <f t="shared" si="119"/>
        <v>6.575201028042138E-2</v>
      </c>
      <c r="G281" s="1">
        <f t="shared" si="119"/>
        <v>6.9258382733409701E-2</v>
      </c>
      <c r="H281" s="1">
        <f t="shared" si="119"/>
        <v>7.1039204651217908E-2</v>
      </c>
      <c r="I281" s="1">
        <f t="shared" si="119"/>
        <v>7.2820026569026142E-2</v>
      </c>
      <c r="J281" s="1">
        <f t="shared" si="119"/>
        <v>7.4600848486834348E-2</v>
      </c>
      <c r="K281" s="1">
        <f t="shared" si="119"/>
        <v>7.6381670404642554E-2</v>
      </c>
      <c r="L281" s="1">
        <f t="shared" si="119"/>
        <v>7.8162492322450788E-2</v>
      </c>
      <c r="M281" s="1">
        <f t="shared" si="119"/>
        <v>7.9943314240258995E-2</v>
      </c>
      <c r="N281" s="1">
        <f t="shared" si="119"/>
        <v>8.1724136158067229E-2</v>
      </c>
      <c r="O281" s="1">
        <f t="shared" si="119"/>
        <v>8.2363315356480754E-2</v>
      </c>
      <c r="P281" s="1">
        <f t="shared" si="119"/>
        <v>8.2769366311894743E-2</v>
      </c>
      <c r="Q281" s="1">
        <f t="shared" si="119"/>
        <v>8.317541726730876E-2</v>
      </c>
      <c r="R281" s="1">
        <f t="shared" si="119"/>
        <v>8.3581468222722777E-2</v>
      </c>
      <c r="S281" s="1">
        <f t="shared" si="119"/>
        <v>8.3987519178136794E-2</v>
      </c>
      <c r="T281" s="1">
        <f t="shared" si="119"/>
        <v>8.439357013355081E-2</v>
      </c>
      <c r="U281" s="1">
        <f t="shared" si="119"/>
        <v>8.4799621088964827E-2</v>
      </c>
      <c r="V281" s="1">
        <f t="shared" si="119"/>
        <v>8.5205672044378844E-2</v>
      </c>
      <c r="W281" s="1">
        <f t="shared" si="119"/>
        <v>8.4799621088964827E-2</v>
      </c>
      <c r="X281" s="1">
        <f t="shared" si="119"/>
        <v>8.439357013355081E-2</v>
      </c>
      <c r="Y281" s="1">
        <f t="shared" si="119"/>
        <v>8.3987519178136794E-2</v>
      </c>
      <c r="Z281" s="1">
        <f t="shared" si="119"/>
        <v>8.3581468222722777E-2</v>
      </c>
      <c r="AA281" s="1">
        <f t="shared" si="119"/>
        <v>8.317541726730876E-2</v>
      </c>
      <c r="AB281" s="1">
        <f t="shared" si="119"/>
        <v>8.2769366311894743E-2</v>
      </c>
      <c r="AC281" s="1">
        <f t="shared" si="119"/>
        <v>8.2363315356480754E-2</v>
      </c>
      <c r="AD281" s="1">
        <f t="shared" si="119"/>
        <v>8.1724136158067229E-2</v>
      </c>
      <c r="AE281" s="1">
        <f t="shared" si="119"/>
        <v>7.9943314240258995E-2</v>
      </c>
      <c r="AF281" s="1">
        <f t="shared" si="119"/>
        <v>7.8162492322450788E-2</v>
      </c>
      <c r="AG281" s="1">
        <f t="shared" si="119"/>
        <v>7.6381670404642554E-2</v>
      </c>
      <c r="AH281" s="1">
        <f t="shared" si="119"/>
        <v>7.4600848486834348E-2</v>
      </c>
      <c r="AI281" s="1">
        <f t="shared" si="119"/>
        <v>7.2820026569026142E-2</v>
      </c>
      <c r="AJ281" s="1">
        <f t="shared" si="119"/>
        <v>7.1039204651217908E-2</v>
      </c>
      <c r="AK281" s="1">
        <f t="shared" si="119"/>
        <v>6.9258382733409701E-2</v>
      </c>
      <c r="AL281" s="1">
        <f t="shared" si="119"/>
        <v>6.575201028042138E-2</v>
      </c>
      <c r="AM281" s="1">
        <f t="shared" si="119"/>
        <v>6.2027520484502996E-2</v>
      </c>
      <c r="AN281" s="1">
        <f t="shared" si="119"/>
        <v>5.8303030688584639E-2</v>
      </c>
      <c r="AO281" s="1">
        <f t="shared" si="119"/>
        <v>5.4578540892666283E-2</v>
      </c>
    </row>
    <row r="282" spans="2:41">
      <c r="B282" s="1">
        <f t="shared" ref="B282:AO282" si="120">$AN$110-B$106</f>
        <v>4.8966295994707087E-2</v>
      </c>
      <c r="C282" s="1">
        <f t="shared" si="120"/>
        <v>5.2690785790625472E-2</v>
      </c>
      <c r="D282" s="1">
        <f t="shared" si="120"/>
        <v>5.6415275586543828E-2</v>
      </c>
      <c r="E282" s="1">
        <f t="shared" si="120"/>
        <v>6.0139765382462185E-2</v>
      </c>
      <c r="F282" s="1">
        <f t="shared" si="120"/>
        <v>6.3864255178380569E-2</v>
      </c>
      <c r="G282" s="1">
        <f t="shared" si="120"/>
        <v>6.737062763136889E-2</v>
      </c>
      <c r="H282" s="1">
        <f t="shared" si="120"/>
        <v>6.9151449549177096E-2</v>
      </c>
      <c r="I282" s="1">
        <f t="shared" si="120"/>
        <v>7.093227146698533E-2</v>
      </c>
      <c r="J282" s="1">
        <f t="shared" si="120"/>
        <v>7.2713093384793537E-2</v>
      </c>
      <c r="K282" s="1">
        <f t="shared" si="120"/>
        <v>7.4493915302601743E-2</v>
      </c>
      <c r="L282" s="1">
        <f t="shared" si="120"/>
        <v>7.6274737220409977E-2</v>
      </c>
      <c r="M282" s="1">
        <f t="shared" si="120"/>
        <v>7.8055559138218183E-2</v>
      </c>
      <c r="N282" s="1">
        <f t="shared" si="120"/>
        <v>7.9836381056026418E-2</v>
      </c>
      <c r="O282" s="1">
        <f t="shared" si="120"/>
        <v>8.0475560254439943E-2</v>
      </c>
      <c r="P282" s="1">
        <f t="shared" si="120"/>
        <v>8.0881611209853932E-2</v>
      </c>
      <c r="Q282" s="1">
        <f t="shared" si="120"/>
        <v>8.1287662165267949E-2</v>
      </c>
      <c r="R282" s="1">
        <f t="shared" si="120"/>
        <v>8.1693713120681966E-2</v>
      </c>
      <c r="S282" s="1">
        <f t="shared" si="120"/>
        <v>8.2099764076095982E-2</v>
      </c>
      <c r="T282" s="1">
        <f t="shared" si="120"/>
        <v>8.2505815031509999E-2</v>
      </c>
      <c r="U282" s="1">
        <f t="shared" si="120"/>
        <v>8.2911865986924016E-2</v>
      </c>
      <c r="V282" s="1">
        <f t="shared" si="120"/>
        <v>8.3317916942338033E-2</v>
      </c>
      <c r="W282" s="1">
        <f t="shared" si="120"/>
        <v>8.2911865986924016E-2</v>
      </c>
      <c r="X282" s="1">
        <f t="shared" si="120"/>
        <v>8.2505815031509999E-2</v>
      </c>
      <c r="Y282" s="1">
        <f t="shared" si="120"/>
        <v>8.2099764076095982E-2</v>
      </c>
      <c r="Z282" s="1">
        <f t="shared" si="120"/>
        <v>8.1693713120681966E-2</v>
      </c>
      <c r="AA282" s="1">
        <f t="shared" si="120"/>
        <v>8.1287662165267949E-2</v>
      </c>
      <c r="AB282" s="1">
        <f t="shared" si="120"/>
        <v>8.0881611209853932E-2</v>
      </c>
      <c r="AC282" s="1">
        <f t="shared" si="120"/>
        <v>8.0475560254439943E-2</v>
      </c>
      <c r="AD282" s="1">
        <f t="shared" si="120"/>
        <v>7.9836381056026418E-2</v>
      </c>
      <c r="AE282" s="1">
        <f t="shared" si="120"/>
        <v>7.8055559138218183E-2</v>
      </c>
      <c r="AF282" s="1">
        <f t="shared" si="120"/>
        <v>7.6274737220409977E-2</v>
      </c>
      <c r="AG282" s="1">
        <f t="shared" si="120"/>
        <v>7.4493915302601743E-2</v>
      </c>
      <c r="AH282" s="1">
        <f t="shared" si="120"/>
        <v>7.2713093384793537E-2</v>
      </c>
      <c r="AI282" s="1">
        <f t="shared" si="120"/>
        <v>7.093227146698533E-2</v>
      </c>
      <c r="AJ282" s="1">
        <f t="shared" si="120"/>
        <v>6.9151449549177096E-2</v>
      </c>
      <c r="AK282" s="1">
        <f t="shared" si="120"/>
        <v>6.737062763136889E-2</v>
      </c>
      <c r="AL282" s="1">
        <f t="shared" si="120"/>
        <v>6.3864255178380569E-2</v>
      </c>
      <c r="AM282" s="1">
        <f t="shared" si="120"/>
        <v>6.0139765382462185E-2</v>
      </c>
      <c r="AN282" s="1">
        <f t="shared" si="120"/>
        <v>5.6415275586543828E-2</v>
      </c>
      <c r="AO282" s="1">
        <f t="shared" si="120"/>
        <v>5.2690785790625472E-2</v>
      </c>
    </row>
    <row r="283" spans="2:41">
      <c r="B283" s="1">
        <f t="shared" ref="B283:AO283" si="121">$AO$110-B$106</f>
        <v>4.7078540892666276E-2</v>
      </c>
      <c r="C283" s="1">
        <f t="shared" si="121"/>
        <v>5.0803030688584661E-2</v>
      </c>
      <c r="D283" s="1">
        <f t="shared" si="121"/>
        <v>5.4527520484503017E-2</v>
      </c>
      <c r="E283" s="1">
        <f t="shared" si="121"/>
        <v>5.8252010280421374E-2</v>
      </c>
      <c r="F283" s="1">
        <f t="shared" si="121"/>
        <v>6.1976500076339758E-2</v>
      </c>
      <c r="G283" s="1">
        <f t="shared" si="121"/>
        <v>6.5482872529328079E-2</v>
      </c>
      <c r="H283" s="1">
        <f t="shared" si="121"/>
        <v>6.7263694447136285E-2</v>
      </c>
      <c r="I283" s="1">
        <f t="shared" si="121"/>
        <v>6.9044516364944519E-2</v>
      </c>
      <c r="J283" s="1">
        <f t="shared" si="121"/>
        <v>7.0825338282752726E-2</v>
      </c>
      <c r="K283" s="1">
        <f t="shared" si="121"/>
        <v>7.2606160200560932E-2</v>
      </c>
      <c r="L283" s="1">
        <f t="shared" si="121"/>
        <v>7.4386982118369166E-2</v>
      </c>
      <c r="M283" s="1">
        <f t="shared" si="121"/>
        <v>7.6167804036177372E-2</v>
      </c>
      <c r="N283" s="1">
        <f t="shared" si="121"/>
        <v>7.7948625953985606E-2</v>
      </c>
      <c r="O283" s="1">
        <f t="shared" si="121"/>
        <v>7.8587805152399132E-2</v>
      </c>
      <c r="P283" s="1">
        <f t="shared" si="121"/>
        <v>7.8993856107813121E-2</v>
      </c>
      <c r="Q283" s="1">
        <f t="shared" si="121"/>
        <v>7.9399907063227138E-2</v>
      </c>
      <c r="R283" s="1">
        <f t="shared" si="121"/>
        <v>7.9805958018641154E-2</v>
      </c>
      <c r="S283" s="1">
        <f t="shared" si="121"/>
        <v>8.0212008974055171E-2</v>
      </c>
      <c r="T283" s="1">
        <f t="shared" si="121"/>
        <v>8.0618059929469188E-2</v>
      </c>
      <c r="U283" s="1">
        <f t="shared" si="121"/>
        <v>8.1024110884883205E-2</v>
      </c>
      <c r="V283" s="1">
        <f t="shared" si="121"/>
        <v>8.1430161840297222E-2</v>
      </c>
      <c r="W283" s="1">
        <f t="shared" si="121"/>
        <v>8.1024110884883205E-2</v>
      </c>
      <c r="X283" s="1">
        <f t="shared" si="121"/>
        <v>8.0618059929469188E-2</v>
      </c>
      <c r="Y283" s="1">
        <f t="shared" si="121"/>
        <v>8.0212008974055171E-2</v>
      </c>
      <c r="Z283" s="1">
        <f t="shared" si="121"/>
        <v>7.9805958018641154E-2</v>
      </c>
      <c r="AA283" s="1">
        <f t="shared" si="121"/>
        <v>7.9399907063227138E-2</v>
      </c>
      <c r="AB283" s="1">
        <f t="shared" si="121"/>
        <v>7.8993856107813121E-2</v>
      </c>
      <c r="AC283" s="1">
        <f t="shared" si="121"/>
        <v>7.8587805152399132E-2</v>
      </c>
      <c r="AD283" s="1">
        <f t="shared" si="121"/>
        <v>7.7948625953985606E-2</v>
      </c>
      <c r="AE283" s="1">
        <f t="shared" si="121"/>
        <v>7.6167804036177372E-2</v>
      </c>
      <c r="AF283" s="1">
        <f t="shared" si="121"/>
        <v>7.4386982118369166E-2</v>
      </c>
      <c r="AG283" s="1">
        <f t="shared" si="121"/>
        <v>7.2606160200560932E-2</v>
      </c>
      <c r="AH283" s="1">
        <f t="shared" si="121"/>
        <v>7.0825338282752726E-2</v>
      </c>
      <c r="AI283" s="1">
        <f t="shared" si="121"/>
        <v>6.9044516364944519E-2</v>
      </c>
      <c r="AJ283" s="1">
        <f t="shared" si="121"/>
        <v>6.7263694447136285E-2</v>
      </c>
      <c r="AK283" s="1">
        <f t="shared" si="121"/>
        <v>6.5482872529328079E-2</v>
      </c>
      <c r="AL283" s="1">
        <f t="shared" si="121"/>
        <v>6.1976500076339758E-2</v>
      </c>
      <c r="AM283" s="1">
        <f t="shared" si="121"/>
        <v>5.8252010280421374E-2</v>
      </c>
      <c r="AN283" s="1">
        <f t="shared" si="121"/>
        <v>5.4527520484503017E-2</v>
      </c>
      <c r="AO283" s="1">
        <f t="shared" si="121"/>
        <v>5.0803030688584661E-2</v>
      </c>
    </row>
    <row r="292" spans="1:41">
      <c r="A292" s="1" t="s">
        <v>123</v>
      </c>
    </row>
    <row r="293" spans="1:41">
      <c r="B293" s="1">
        <f t="shared" ref="B293:AO293" si="122">$B$111-B$107</f>
        <v>2.5000000000000022E-2</v>
      </c>
      <c r="C293" s="1">
        <f t="shared" si="122"/>
        <v>-2.5000000000000022E-2</v>
      </c>
      <c r="D293" s="1">
        <f t="shared" si="122"/>
        <v>-7.4999999999999956E-2</v>
      </c>
      <c r="E293" s="1">
        <f t="shared" si="122"/>
        <v>-0.125</v>
      </c>
      <c r="F293" s="1">
        <f t="shared" si="122"/>
        <v>-0.17499999999999993</v>
      </c>
      <c r="G293" s="1">
        <f t="shared" si="122"/>
        <v>-0.22499999999999998</v>
      </c>
      <c r="H293" s="1">
        <f t="shared" si="122"/>
        <v>-0.27500000000000002</v>
      </c>
      <c r="I293" s="1">
        <f t="shared" si="122"/>
        <v>-0.32499999999999996</v>
      </c>
      <c r="J293" s="1">
        <f t="shared" si="122"/>
        <v>-0.375</v>
      </c>
      <c r="K293" s="1">
        <f t="shared" si="122"/>
        <v>-0.42499999999999993</v>
      </c>
      <c r="L293" s="1">
        <f t="shared" si="122"/>
        <v>-0.47499999999999998</v>
      </c>
      <c r="M293" s="1">
        <f t="shared" si="122"/>
        <v>-0.52499999999999991</v>
      </c>
      <c r="N293" s="1">
        <f t="shared" si="122"/>
        <v>-0.57499999999999996</v>
      </c>
      <c r="O293" s="1">
        <f t="shared" si="122"/>
        <v>-0.625</v>
      </c>
      <c r="P293" s="1">
        <f t="shared" si="122"/>
        <v>-0.67500000000000004</v>
      </c>
      <c r="Q293" s="1">
        <f t="shared" si="122"/>
        <v>-0.72499999999999998</v>
      </c>
      <c r="R293" s="1">
        <f t="shared" si="122"/>
        <v>-0.77499999999999991</v>
      </c>
      <c r="S293" s="1">
        <f t="shared" si="122"/>
        <v>-0.82499999999999996</v>
      </c>
      <c r="T293" s="1">
        <f t="shared" si="122"/>
        <v>-0.875</v>
      </c>
      <c r="U293" s="1">
        <f t="shared" si="122"/>
        <v>-0.92499999999999993</v>
      </c>
      <c r="V293" s="1">
        <f t="shared" si="122"/>
        <v>-0.97499999999999976</v>
      </c>
      <c r="W293" s="1">
        <f t="shared" si="122"/>
        <v>-1.0249999999999999</v>
      </c>
      <c r="X293" s="1">
        <f t="shared" si="122"/>
        <v>-1.0749999999999997</v>
      </c>
      <c r="Y293" s="1">
        <f t="shared" si="122"/>
        <v>-1.125</v>
      </c>
      <c r="Z293" s="1">
        <f t="shared" si="122"/>
        <v>-1.175</v>
      </c>
      <c r="AA293" s="1">
        <f t="shared" si="122"/>
        <v>-1.2250000000000001</v>
      </c>
      <c r="AB293" s="1">
        <f t="shared" si="122"/>
        <v>-1.2749999999999999</v>
      </c>
      <c r="AC293" s="1">
        <f t="shared" si="122"/>
        <v>-1.325</v>
      </c>
      <c r="AD293" s="1">
        <f t="shared" si="122"/>
        <v>-1.375</v>
      </c>
      <c r="AE293" s="1">
        <f t="shared" si="122"/>
        <v>-1.425</v>
      </c>
      <c r="AF293" s="1">
        <f t="shared" si="122"/>
        <v>-1.4750000000000001</v>
      </c>
      <c r="AG293" s="1">
        <f t="shared" si="122"/>
        <v>-1.5249999999999999</v>
      </c>
      <c r="AH293" s="1">
        <f t="shared" si="122"/>
        <v>-1.575</v>
      </c>
      <c r="AI293" s="1">
        <f t="shared" si="122"/>
        <v>-1.625</v>
      </c>
      <c r="AJ293" s="1">
        <f t="shared" si="122"/>
        <v>-1.6749999999999998</v>
      </c>
      <c r="AK293" s="1">
        <f t="shared" si="122"/>
        <v>-1.7250000000000001</v>
      </c>
      <c r="AL293" s="1">
        <f t="shared" si="122"/>
        <v>-1.7749999999999999</v>
      </c>
      <c r="AM293" s="1">
        <f t="shared" si="122"/>
        <v>-1.825</v>
      </c>
      <c r="AN293" s="1">
        <f t="shared" si="122"/>
        <v>-1.8749999999999996</v>
      </c>
      <c r="AO293" s="1">
        <f t="shared" si="122"/>
        <v>-1.9249999999999998</v>
      </c>
    </row>
    <row r="294" spans="1:41">
      <c r="B294" s="1">
        <f t="shared" ref="B294:AO294" si="123">$C$111-B$107</f>
        <v>7.4999999999999956E-2</v>
      </c>
      <c r="C294" s="1">
        <f t="shared" si="123"/>
        <v>2.4999999999999911E-2</v>
      </c>
      <c r="D294" s="1">
        <f t="shared" si="123"/>
        <v>-2.5000000000000022E-2</v>
      </c>
      <c r="E294" s="1">
        <f t="shared" si="123"/>
        <v>-7.5000000000000067E-2</v>
      </c>
      <c r="F294" s="1">
        <f t="shared" si="123"/>
        <v>-0.125</v>
      </c>
      <c r="G294" s="1">
        <f t="shared" si="123"/>
        <v>-0.17500000000000004</v>
      </c>
      <c r="H294" s="1">
        <f t="shared" si="123"/>
        <v>-0.22500000000000009</v>
      </c>
      <c r="I294" s="1">
        <f t="shared" si="123"/>
        <v>-0.27500000000000002</v>
      </c>
      <c r="J294" s="1">
        <f t="shared" si="123"/>
        <v>-0.32500000000000007</v>
      </c>
      <c r="K294" s="1">
        <f t="shared" si="123"/>
        <v>-0.375</v>
      </c>
      <c r="L294" s="1">
        <f t="shared" si="123"/>
        <v>-0.42500000000000004</v>
      </c>
      <c r="M294" s="1">
        <f t="shared" si="123"/>
        <v>-0.47500000000000003</v>
      </c>
      <c r="N294" s="1">
        <f t="shared" si="123"/>
        <v>-0.52500000000000002</v>
      </c>
      <c r="O294" s="1">
        <f t="shared" si="123"/>
        <v>-0.57500000000000007</v>
      </c>
      <c r="P294" s="1">
        <f t="shared" si="123"/>
        <v>-0.625</v>
      </c>
      <c r="Q294" s="1">
        <f t="shared" si="123"/>
        <v>-0.67500000000000004</v>
      </c>
      <c r="R294" s="1">
        <f t="shared" si="123"/>
        <v>-0.72500000000000009</v>
      </c>
      <c r="S294" s="1">
        <f t="shared" si="123"/>
        <v>-0.77500000000000002</v>
      </c>
      <c r="T294" s="1">
        <f t="shared" si="123"/>
        <v>-0.82500000000000007</v>
      </c>
      <c r="U294" s="1">
        <f t="shared" si="123"/>
        <v>-0.875</v>
      </c>
      <c r="V294" s="1">
        <f t="shared" si="123"/>
        <v>-0.92499999999999982</v>
      </c>
      <c r="W294" s="1">
        <f t="shared" si="123"/>
        <v>-0.97500000000000009</v>
      </c>
      <c r="X294" s="1">
        <f t="shared" si="123"/>
        <v>-1.0249999999999997</v>
      </c>
      <c r="Y294" s="1">
        <f t="shared" si="123"/>
        <v>-1.075</v>
      </c>
      <c r="Z294" s="1">
        <f t="shared" si="123"/>
        <v>-1.125</v>
      </c>
      <c r="AA294" s="1">
        <f t="shared" si="123"/>
        <v>-1.175</v>
      </c>
      <c r="AB294" s="1">
        <f t="shared" si="123"/>
        <v>-1.2250000000000001</v>
      </c>
      <c r="AC294" s="1">
        <f t="shared" si="123"/>
        <v>-1.2749999999999999</v>
      </c>
      <c r="AD294" s="1">
        <f t="shared" si="123"/>
        <v>-1.3250000000000002</v>
      </c>
      <c r="AE294" s="1">
        <f t="shared" si="123"/>
        <v>-1.375</v>
      </c>
      <c r="AF294" s="1">
        <f t="shared" si="123"/>
        <v>-1.425</v>
      </c>
      <c r="AG294" s="1">
        <f t="shared" si="123"/>
        <v>-1.4750000000000001</v>
      </c>
      <c r="AH294" s="1">
        <f t="shared" si="123"/>
        <v>-1.5249999999999999</v>
      </c>
      <c r="AI294" s="1">
        <f t="shared" si="123"/>
        <v>-1.5750000000000002</v>
      </c>
      <c r="AJ294" s="1">
        <f t="shared" si="123"/>
        <v>-1.625</v>
      </c>
      <c r="AK294" s="1">
        <f t="shared" si="123"/>
        <v>-1.675</v>
      </c>
      <c r="AL294" s="1">
        <f t="shared" si="123"/>
        <v>-1.7250000000000001</v>
      </c>
      <c r="AM294" s="1">
        <f t="shared" si="123"/>
        <v>-1.7749999999999999</v>
      </c>
      <c r="AN294" s="1">
        <f t="shared" si="123"/>
        <v>-1.8249999999999995</v>
      </c>
      <c r="AO294" s="1">
        <f t="shared" si="123"/>
        <v>-1.875</v>
      </c>
    </row>
    <row r="295" spans="1:41">
      <c r="B295" s="1">
        <f t="shared" ref="B295:AO295" si="124">$D$111-B$107</f>
        <v>0.125</v>
      </c>
      <c r="C295" s="1">
        <f t="shared" si="124"/>
        <v>7.4999999999999956E-2</v>
      </c>
      <c r="D295" s="1">
        <f t="shared" si="124"/>
        <v>2.5000000000000022E-2</v>
      </c>
      <c r="E295" s="1">
        <f t="shared" si="124"/>
        <v>-2.5000000000000022E-2</v>
      </c>
      <c r="F295" s="1">
        <f t="shared" si="124"/>
        <v>-7.4999999999999956E-2</v>
      </c>
      <c r="G295" s="1">
        <f t="shared" si="124"/>
        <v>-0.125</v>
      </c>
      <c r="H295" s="1">
        <f t="shared" si="124"/>
        <v>-0.17500000000000004</v>
      </c>
      <c r="I295" s="1">
        <f t="shared" si="124"/>
        <v>-0.22499999999999998</v>
      </c>
      <c r="J295" s="1">
        <f t="shared" si="124"/>
        <v>-0.27500000000000002</v>
      </c>
      <c r="K295" s="1">
        <f t="shared" si="124"/>
        <v>-0.32499999999999996</v>
      </c>
      <c r="L295" s="1">
        <f t="shared" si="124"/>
        <v>-0.375</v>
      </c>
      <c r="M295" s="1">
        <f t="shared" si="124"/>
        <v>-0.42499999999999999</v>
      </c>
      <c r="N295" s="1">
        <f t="shared" si="124"/>
        <v>-0.47499999999999998</v>
      </c>
      <c r="O295" s="1">
        <f t="shared" si="124"/>
        <v>-0.52500000000000002</v>
      </c>
      <c r="P295" s="1">
        <f t="shared" si="124"/>
        <v>-0.57499999999999996</v>
      </c>
      <c r="Q295" s="1">
        <f t="shared" si="124"/>
        <v>-0.625</v>
      </c>
      <c r="R295" s="1">
        <f t="shared" si="124"/>
        <v>-0.67500000000000004</v>
      </c>
      <c r="S295" s="1">
        <f t="shared" si="124"/>
        <v>-0.72499999999999998</v>
      </c>
      <c r="T295" s="1">
        <f t="shared" si="124"/>
        <v>-0.77500000000000002</v>
      </c>
      <c r="U295" s="1">
        <f t="shared" si="124"/>
        <v>-0.82499999999999996</v>
      </c>
      <c r="V295" s="1">
        <f t="shared" si="124"/>
        <v>-0.87499999999999978</v>
      </c>
      <c r="W295" s="1">
        <f t="shared" si="124"/>
        <v>-0.92500000000000004</v>
      </c>
      <c r="X295" s="1">
        <f t="shared" si="124"/>
        <v>-0.97499999999999964</v>
      </c>
      <c r="Y295" s="1">
        <f t="shared" si="124"/>
        <v>-1.0249999999999999</v>
      </c>
      <c r="Z295" s="1">
        <f t="shared" si="124"/>
        <v>-1.075</v>
      </c>
      <c r="AA295" s="1">
        <f t="shared" si="124"/>
        <v>-1.125</v>
      </c>
      <c r="AB295" s="1">
        <f t="shared" si="124"/>
        <v>-1.175</v>
      </c>
      <c r="AC295" s="1">
        <f t="shared" si="124"/>
        <v>-1.2250000000000001</v>
      </c>
      <c r="AD295" s="1">
        <f t="shared" si="124"/>
        <v>-1.2749999999999999</v>
      </c>
      <c r="AE295" s="1">
        <f t="shared" si="124"/>
        <v>-1.325</v>
      </c>
      <c r="AF295" s="1">
        <f t="shared" si="124"/>
        <v>-1.375</v>
      </c>
      <c r="AG295" s="1">
        <f t="shared" si="124"/>
        <v>-1.425</v>
      </c>
      <c r="AH295" s="1">
        <f t="shared" si="124"/>
        <v>-1.4750000000000001</v>
      </c>
      <c r="AI295" s="1">
        <f t="shared" si="124"/>
        <v>-1.5249999999999999</v>
      </c>
      <c r="AJ295" s="1">
        <f t="shared" si="124"/>
        <v>-1.575</v>
      </c>
      <c r="AK295" s="1">
        <f t="shared" si="124"/>
        <v>-1.625</v>
      </c>
      <c r="AL295" s="1">
        <f t="shared" si="124"/>
        <v>-1.675</v>
      </c>
      <c r="AM295" s="1">
        <f t="shared" si="124"/>
        <v>-1.7250000000000001</v>
      </c>
      <c r="AN295" s="1">
        <f t="shared" si="124"/>
        <v>-1.7749999999999995</v>
      </c>
      <c r="AO295" s="1">
        <f t="shared" si="124"/>
        <v>-1.825</v>
      </c>
    </row>
    <row r="296" spans="1:41">
      <c r="B296" s="1">
        <f t="shared" ref="B296:AO296" si="125">$E$111-B$107</f>
        <v>0.17500000000000004</v>
      </c>
      <c r="C296" s="1">
        <f t="shared" si="125"/>
        <v>0.125</v>
      </c>
      <c r="D296" s="1">
        <f t="shared" si="125"/>
        <v>7.5000000000000067E-2</v>
      </c>
      <c r="E296" s="1">
        <f t="shared" si="125"/>
        <v>2.5000000000000022E-2</v>
      </c>
      <c r="F296" s="1">
        <f t="shared" si="125"/>
        <v>-2.4999999999999911E-2</v>
      </c>
      <c r="G296" s="1">
        <f t="shared" si="125"/>
        <v>-7.4999999999999956E-2</v>
      </c>
      <c r="H296" s="1">
        <f t="shared" si="125"/>
        <v>-0.125</v>
      </c>
      <c r="I296" s="1">
        <f t="shared" si="125"/>
        <v>-0.17499999999999993</v>
      </c>
      <c r="J296" s="1">
        <f t="shared" si="125"/>
        <v>-0.22499999999999998</v>
      </c>
      <c r="K296" s="1">
        <f t="shared" si="125"/>
        <v>-0.27499999999999991</v>
      </c>
      <c r="L296" s="1">
        <f t="shared" si="125"/>
        <v>-0.32499999999999996</v>
      </c>
      <c r="M296" s="1">
        <f t="shared" si="125"/>
        <v>-0.37499999999999994</v>
      </c>
      <c r="N296" s="1">
        <f t="shared" si="125"/>
        <v>-0.42499999999999993</v>
      </c>
      <c r="O296" s="1">
        <f t="shared" si="125"/>
        <v>-0.47499999999999998</v>
      </c>
      <c r="P296" s="1">
        <f t="shared" si="125"/>
        <v>-0.52499999999999991</v>
      </c>
      <c r="Q296" s="1">
        <f t="shared" si="125"/>
        <v>-0.57499999999999996</v>
      </c>
      <c r="R296" s="1">
        <f t="shared" si="125"/>
        <v>-0.625</v>
      </c>
      <c r="S296" s="1">
        <f t="shared" si="125"/>
        <v>-0.67499999999999993</v>
      </c>
      <c r="T296" s="1">
        <f t="shared" si="125"/>
        <v>-0.72499999999999998</v>
      </c>
      <c r="U296" s="1">
        <f t="shared" si="125"/>
        <v>-0.77499999999999991</v>
      </c>
      <c r="V296" s="1">
        <f t="shared" si="125"/>
        <v>-0.82499999999999973</v>
      </c>
      <c r="W296" s="1">
        <f t="shared" si="125"/>
        <v>-0.875</v>
      </c>
      <c r="X296" s="1">
        <f t="shared" si="125"/>
        <v>-0.9249999999999996</v>
      </c>
      <c r="Y296" s="1">
        <f t="shared" si="125"/>
        <v>-0.97499999999999998</v>
      </c>
      <c r="Z296" s="1">
        <f t="shared" si="125"/>
        <v>-1.0249999999999999</v>
      </c>
      <c r="AA296" s="1">
        <f t="shared" si="125"/>
        <v>-1.075</v>
      </c>
      <c r="AB296" s="1">
        <f t="shared" si="125"/>
        <v>-1.125</v>
      </c>
      <c r="AC296" s="1">
        <f t="shared" si="125"/>
        <v>-1.1749999999999998</v>
      </c>
      <c r="AD296" s="1">
        <f t="shared" si="125"/>
        <v>-1.2250000000000001</v>
      </c>
      <c r="AE296" s="1">
        <f t="shared" si="125"/>
        <v>-1.2749999999999999</v>
      </c>
      <c r="AF296" s="1">
        <f t="shared" si="125"/>
        <v>-1.325</v>
      </c>
      <c r="AG296" s="1">
        <f t="shared" si="125"/>
        <v>-1.375</v>
      </c>
      <c r="AH296" s="1">
        <f t="shared" si="125"/>
        <v>-1.4249999999999998</v>
      </c>
      <c r="AI296" s="1">
        <f t="shared" si="125"/>
        <v>-1.4750000000000001</v>
      </c>
      <c r="AJ296" s="1">
        <f t="shared" si="125"/>
        <v>-1.5249999999999999</v>
      </c>
      <c r="AK296" s="1">
        <f t="shared" si="125"/>
        <v>-1.575</v>
      </c>
      <c r="AL296" s="1">
        <f t="shared" si="125"/>
        <v>-1.625</v>
      </c>
      <c r="AM296" s="1">
        <f t="shared" si="125"/>
        <v>-1.6749999999999998</v>
      </c>
      <c r="AN296" s="1">
        <f t="shared" si="125"/>
        <v>-1.7249999999999994</v>
      </c>
      <c r="AO296" s="1">
        <f t="shared" si="125"/>
        <v>-1.7749999999999999</v>
      </c>
    </row>
    <row r="297" spans="1:41">
      <c r="B297" s="1">
        <f t="shared" ref="B297:AO297" si="126">$F$111-B$107</f>
        <v>0.22499999999999998</v>
      </c>
      <c r="C297" s="1">
        <f t="shared" si="126"/>
        <v>0.17499999999999993</v>
      </c>
      <c r="D297" s="1">
        <f t="shared" si="126"/>
        <v>0.125</v>
      </c>
      <c r="E297" s="1">
        <f t="shared" si="126"/>
        <v>7.4999999999999956E-2</v>
      </c>
      <c r="F297" s="1">
        <f t="shared" si="126"/>
        <v>2.5000000000000022E-2</v>
      </c>
      <c r="G297" s="1">
        <f t="shared" si="126"/>
        <v>-2.5000000000000022E-2</v>
      </c>
      <c r="H297" s="1">
        <f t="shared" si="126"/>
        <v>-7.5000000000000067E-2</v>
      </c>
      <c r="I297" s="1">
        <f t="shared" si="126"/>
        <v>-0.125</v>
      </c>
      <c r="J297" s="1">
        <f t="shared" si="126"/>
        <v>-0.17500000000000004</v>
      </c>
      <c r="K297" s="1">
        <f t="shared" si="126"/>
        <v>-0.22499999999999998</v>
      </c>
      <c r="L297" s="1">
        <f t="shared" si="126"/>
        <v>-0.27500000000000002</v>
      </c>
      <c r="M297" s="1">
        <f t="shared" si="126"/>
        <v>-0.32500000000000001</v>
      </c>
      <c r="N297" s="1">
        <f t="shared" si="126"/>
        <v>-0.375</v>
      </c>
      <c r="O297" s="1">
        <f t="shared" si="126"/>
        <v>-0.42500000000000004</v>
      </c>
      <c r="P297" s="1">
        <f t="shared" si="126"/>
        <v>-0.47500000000000003</v>
      </c>
      <c r="Q297" s="1">
        <f t="shared" si="126"/>
        <v>-0.52500000000000002</v>
      </c>
      <c r="R297" s="1">
        <f t="shared" si="126"/>
        <v>-0.57499999999999996</v>
      </c>
      <c r="S297" s="1">
        <f t="shared" si="126"/>
        <v>-0.625</v>
      </c>
      <c r="T297" s="1">
        <f t="shared" si="126"/>
        <v>-0.67500000000000004</v>
      </c>
      <c r="U297" s="1">
        <f t="shared" si="126"/>
        <v>-0.72499999999999998</v>
      </c>
      <c r="V297" s="1">
        <f t="shared" si="126"/>
        <v>-0.7749999999999998</v>
      </c>
      <c r="W297" s="1">
        <f t="shared" si="126"/>
        <v>-0.82500000000000007</v>
      </c>
      <c r="X297" s="1">
        <f t="shared" si="126"/>
        <v>-0.87499999999999967</v>
      </c>
      <c r="Y297" s="1">
        <f t="shared" si="126"/>
        <v>-0.92500000000000004</v>
      </c>
      <c r="Z297" s="1">
        <f t="shared" si="126"/>
        <v>-0.97500000000000009</v>
      </c>
      <c r="AA297" s="1">
        <f t="shared" si="126"/>
        <v>-1.0249999999999999</v>
      </c>
      <c r="AB297" s="1">
        <f t="shared" si="126"/>
        <v>-1.075</v>
      </c>
      <c r="AC297" s="1">
        <f t="shared" si="126"/>
        <v>-1.125</v>
      </c>
      <c r="AD297" s="1">
        <f t="shared" si="126"/>
        <v>-1.175</v>
      </c>
      <c r="AE297" s="1">
        <f t="shared" si="126"/>
        <v>-1.2250000000000001</v>
      </c>
      <c r="AF297" s="1">
        <f t="shared" si="126"/>
        <v>-1.2749999999999999</v>
      </c>
      <c r="AG297" s="1">
        <f t="shared" si="126"/>
        <v>-1.3250000000000002</v>
      </c>
      <c r="AH297" s="1">
        <f t="shared" si="126"/>
        <v>-1.375</v>
      </c>
      <c r="AI297" s="1">
        <f t="shared" si="126"/>
        <v>-1.425</v>
      </c>
      <c r="AJ297" s="1">
        <f t="shared" si="126"/>
        <v>-1.4750000000000001</v>
      </c>
      <c r="AK297" s="1">
        <f t="shared" si="126"/>
        <v>-1.5249999999999999</v>
      </c>
      <c r="AL297" s="1">
        <f t="shared" si="126"/>
        <v>-1.5750000000000002</v>
      </c>
      <c r="AM297" s="1">
        <f t="shared" si="126"/>
        <v>-1.625</v>
      </c>
      <c r="AN297" s="1">
        <f t="shared" si="126"/>
        <v>-1.6749999999999994</v>
      </c>
      <c r="AO297" s="1">
        <f t="shared" si="126"/>
        <v>-1.7250000000000001</v>
      </c>
    </row>
    <row r="298" spans="1:41">
      <c r="B298" s="1">
        <f t="shared" ref="B298:AO298" si="127">$G$111-B$107</f>
        <v>0.27500000000000002</v>
      </c>
      <c r="C298" s="1">
        <f t="shared" si="127"/>
        <v>0.22499999999999998</v>
      </c>
      <c r="D298" s="1">
        <f t="shared" si="127"/>
        <v>0.17500000000000004</v>
      </c>
      <c r="E298" s="1">
        <f t="shared" si="127"/>
        <v>0.125</v>
      </c>
      <c r="F298" s="1">
        <f t="shared" si="127"/>
        <v>7.5000000000000067E-2</v>
      </c>
      <c r="G298" s="1">
        <f t="shared" si="127"/>
        <v>2.5000000000000022E-2</v>
      </c>
      <c r="H298" s="1">
        <f t="shared" si="127"/>
        <v>-2.5000000000000022E-2</v>
      </c>
      <c r="I298" s="1">
        <f t="shared" si="127"/>
        <v>-7.4999999999999956E-2</v>
      </c>
      <c r="J298" s="1">
        <f t="shared" si="127"/>
        <v>-0.125</v>
      </c>
      <c r="K298" s="1">
        <f t="shared" si="127"/>
        <v>-0.17499999999999993</v>
      </c>
      <c r="L298" s="1">
        <f t="shared" si="127"/>
        <v>-0.22499999999999998</v>
      </c>
      <c r="M298" s="1">
        <f t="shared" si="127"/>
        <v>-0.27499999999999997</v>
      </c>
      <c r="N298" s="1">
        <f t="shared" si="127"/>
        <v>-0.32499999999999996</v>
      </c>
      <c r="O298" s="1">
        <f t="shared" si="127"/>
        <v>-0.375</v>
      </c>
      <c r="P298" s="1">
        <f t="shared" si="127"/>
        <v>-0.42499999999999999</v>
      </c>
      <c r="Q298" s="1">
        <f t="shared" si="127"/>
        <v>-0.47499999999999998</v>
      </c>
      <c r="R298" s="1">
        <f t="shared" si="127"/>
        <v>-0.52499999999999991</v>
      </c>
      <c r="S298" s="1">
        <f t="shared" si="127"/>
        <v>-0.57499999999999996</v>
      </c>
      <c r="T298" s="1">
        <f t="shared" si="127"/>
        <v>-0.625</v>
      </c>
      <c r="U298" s="1">
        <f t="shared" si="127"/>
        <v>-0.67499999999999993</v>
      </c>
      <c r="V298" s="1">
        <f t="shared" si="127"/>
        <v>-0.72499999999999976</v>
      </c>
      <c r="W298" s="1">
        <f t="shared" si="127"/>
        <v>-0.77500000000000002</v>
      </c>
      <c r="X298" s="1">
        <f t="shared" si="127"/>
        <v>-0.82499999999999962</v>
      </c>
      <c r="Y298" s="1">
        <f t="shared" si="127"/>
        <v>-0.875</v>
      </c>
      <c r="Z298" s="1">
        <f t="shared" si="127"/>
        <v>-0.92500000000000004</v>
      </c>
      <c r="AA298" s="1">
        <f t="shared" si="127"/>
        <v>-0.97499999999999998</v>
      </c>
      <c r="AB298" s="1">
        <f t="shared" si="127"/>
        <v>-1.0249999999999999</v>
      </c>
      <c r="AC298" s="1">
        <f t="shared" si="127"/>
        <v>-1.075</v>
      </c>
      <c r="AD298" s="1">
        <f t="shared" si="127"/>
        <v>-1.125</v>
      </c>
      <c r="AE298" s="1">
        <f t="shared" si="127"/>
        <v>-1.175</v>
      </c>
      <c r="AF298" s="1">
        <f t="shared" si="127"/>
        <v>-1.2250000000000001</v>
      </c>
      <c r="AG298" s="1">
        <f t="shared" si="127"/>
        <v>-1.2749999999999999</v>
      </c>
      <c r="AH298" s="1">
        <f t="shared" si="127"/>
        <v>-1.325</v>
      </c>
      <c r="AI298" s="1">
        <f t="shared" si="127"/>
        <v>-1.375</v>
      </c>
      <c r="AJ298" s="1">
        <f t="shared" si="127"/>
        <v>-1.4249999999999998</v>
      </c>
      <c r="AK298" s="1">
        <f t="shared" si="127"/>
        <v>-1.4750000000000001</v>
      </c>
      <c r="AL298" s="1">
        <f t="shared" si="127"/>
        <v>-1.5249999999999999</v>
      </c>
      <c r="AM298" s="1">
        <f t="shared" si="127"/>
        <v>-1.575</v>
      </c>
      <c r="AN298" s="1">
        <f t="shared" si="127"/>
        <v>-1.6249999999999996</v>
      </c>
      <c r="AO298" s="1">
        <f t="shared" si="127"/>
        <v>-1.6749999999999998</v>
      </c>
    </row>
    <row r="299" spans="1:41">
      <c r="B299" s="1">
        <f t="shared" ref="B299:AO299" si="128">$H$111-B$107</f>
        <v>0.32499999999999996</v>
      </c>
      <c r="C299" s="1">
        <f t="shared" si="128"/>
        <v>0.27499999999999991</v>
      </c>
      <c r="D299" s="1">
        <f t="shared" si="128"/>
        <v>0.22499999999999998</v>
      </c>
      <c r="E299" s="1">
        <f t="shared" si="128"/>
        <v>0.17499999999999993</v>
      </c>
      <c r="F299" s="1">
        <f t="shared" si="128"/>
        <v>0.125</v>
      </c>
      <c r="G299" s="1">
        <f t="shared" si="128"/>
        <v>7.4999999999999956E-2</v>
      </c>
      <c r="H299" s="1">
        <f t="shared" si="128"/>
        <v>2.4999999999999911E-2</v>
      </c>
      <c r="I299" s="1">
        <f t="shared" si="128"/>
        <v>-2.5000000000000022E-2</v>
      </c>
      <c r="J299" s="1">
        <f t="shared" si="128"/>
        <v>-7.5000000000000067E-2</v>
      </c>
      <c r="K299" s="1">
        <f t="shared" si="128"/>
        <v>-0.125</v>
      </c>
      <c r="L299" s="1">
        <f t="shared" si="128"/>
        <v>-0.17500000000000004</v>
      </c>
      <c r="M299" s="1">
        <f t="shared" si="128"/>
        <v>-0.22500000000000003</v>
      </c>
      <c r="N299" s="1">
        <f t="shared" si="128"/>
        <v>-0.27500000000000002</v>
      </c>
      <c r="O299" s="1">
        <f t="shared" si="128"/>
        <v>-0.32500000000000007</v>
      </c>
      <c r="P299" s="1">
        <f t="shared" si="128"/>
        <v>-0.37500000000000006</v>
      </c>
      <c r="Q299" s="1">
        <f t="shared" si="128"/>
        <v>-0.42500000000000004</v>
      </c>
      <c r="R299" s="1">
        <f t="shared" si="128"/>
        <v>-0.47500000000000003</v>
      </c>
      <c r="S299" s="1">
        <f t="shared" si="128"/>
        <v>-0.52500000000000002</v>
      </c>
      <c r="T299" s="1">
        <f t="shared" si="128"/>
        <v>-0.57500000000000007</v>
      </c>
      <c r="U299" s="1">
        <f t="shared" si="128"/>
        <v>-0.625</v>
      </c>
      <c r="V299" s="1">
        <f t="shared" si="128"/>
        <v>-0.67499999999999982</v>
      </c>
      <c r="W299" s="1">
        <f t="shared" si="128"/>
        <v>-0.72500000000000009</v>
      </c>
      <c r="X299" s="1">
        <f t="shared" si="128"/>
        <v>-0.77499999999999969</v>
      </c>
      <c r="Y299" s="1">
        <f t="shared" si="128"/>
        <v>-0.82500000000000007</v>
      </c>
      <c r="Z299" s="1">
        <f t="shared" si="128"/>
        <v>-0.875</v>
      </c>
      <c r="AA299" s="1">
        <f t="shared" si="128"/>
        <v>-0.92500000000000004</v>
      </c>
      <c r="AB299" s="1">
        <f t="shared" si="128"/>
        <v>-0.97500000000000009</v>
      </c>
      <c r="AC299" s="1">
        <f t="shared" si="128"/>
        <v>-1.0249999999999999</v>
      </c>
      <c r="AD299" s="1">
        <f t="shared" si="128"/>
        <v>-1.0750000000000002</v>
      </c>
      <c r="AE299" s="1">
        <f t="shared" si="128"/>
        <v>-1.125</v>
      </c>
      <c r="AF299" s="1">
        <f t="shared" si="128"/>
        <v>-1.175</v>
      </c>
      <c r="AG299" s="1">
        <f t="shared" si="128"/>
        <v>-1.2250000000000001</v>
      </c>
      <c r="AH299" s="1">
        <f t="shared" si="128"/>
        <v>-1.2749999999999999</v>
      </c>
      <c r="AI299" s="1">
        <f t="shared" si="128"/>
        <v>-1.3250000000000002</v>
      </c>
      <c r="AJ299" s="1">
        <f t="shared" si="128"/>
        <v>-1.375</v>
      </c>
      <c r="AK299" s="1">
        <f t="shared" si="128"/>
        <v>-1.425</v>
      </c>
      <c r="AL299" s="1">
        <f t="shared" si="128"/>
        <v>-1.4750000000000001</v>
      </c>
      <c r="AM299" s="1">
        <f t="shared" si="128"/>
        <v>-1.5249999999999999</v>
      </c>
      <c r="AN299" s="1">
        <f t="shared" si="128"/>
        <v>-1.5749999999999995</v>
      </c>
      <c r="AO299" s="1">
        <f t="shared" si="128"/>
        <v>-1.625</v>
      </c>
    </row>
    <row r="300" spans="1:41">
      <c r="B300" s="1">
        <f t="shared" ref="B300:AO300" si="129">$I$111-B$107</f>
        <v>0.375</v>
      </c>
      <c r="C300" s="1">
        <f t="shared" si="129"/>
        <v>0.32499999999999996</v>
      </c>
      <c r="D300" s="1">
        <f t="shared" si="129"/>
        <v>0.27500000000000002</v>
      </c>
      <c r="E300" s="1">
        <f t="shared" si="129"/>
        <v>0.22499999999999998</v>
      </c>
      <c r="F300" s="1">
        <f t="shared" si="129"/>
        <v>0.17500000000000004</v>
      </c>
      <c r="G300" s="1">
        <f t="shared" si="129"/>
        <v>0.125</v>
      </c>
      <c r="H300" s="1">
        <f t="shared" si="129"/>
        <v>7.4999999999999956E-2</v>
      </c>
      <c r="I300" s="1">
        <f t="shared" si="129"/>
        <v>2.5000000000000022E-2</v>
      </c>
      <c r="J300" s="1">
        <f t="shared" si="129"/>
        <v>-2.5000000000000022E-2</v>
      </c>
      <c r="K300" s="1">
        <f t="shared" si="129"/>
        <v>-7.4999999999999956E-2</v>
      </c>
      <c r="L300" s="1">
        <f t="shared" si="129"/>
        <v>-0.125</v>
      </c>
      <c r="M300" s="1">
        <f t="shared" si="129"/>
        <v>-0.17499999999999999</v>
      </c>
      <c r="N300" s="1">
        <f t="shared" si="129"/>
        <v>-0.22499999999999998</v>
      </c>
      <c r="O300" s="1">
        <f t="shared" si="129"/>
        <v>-0.27500000000000002</v>
      </c>
      <c r="P300" s="1">
        <f t="shared" si="129"/>
        <v>-0.32500000000000001</v>
      </c>
      <c r="Q300" s="1">
        <f t="shared" si="129"/>
        <v>-0.375</v>
      </c>
      <c r="R300" s="1">
        <f t="shared" si="129"/>
        <v>-0.42499999999999999</v>
      </c>
      <c r="S300" s="1">
        <f t="shared" si="129"/>
        <v>-0.47499999999999998</v>
      </c>
      <c r="T300" s="1">
        <f t="shared" si="129"/>
        <v>-0.52500000000000002</v>
      </c>
      <c r="U300" s="1">
        <f t="shared" si="129"/>
        <v>-0.57499999999999996</v>
      </c>
      <c r="V300" s="1">
        <f t="shared" si="129"/>
        <v>-0.62499999999999978</v>
      </c>
      <c r="W300" s="1">
        <f t="shared" si="129"/>
        <v>-0.67500000000000004</v>
      </c>
      <c r="X300" s="1">
        <f t="shared" si="129"/>
        <v>-0.72499999999999964</v>
      </c>
      <c r="Y300" s="1">
        <f t="shared" si="129"/>
        <v>-0.77500000000000002</v>
      </c>
      <c r="Z300" s="1">
        <f t="shared" si="129"/>
        <v>-0.82499999999999996</v>
      </c>
      <c r="AA300" s="1">
        <f t="shared" si="129"/>
        <v>-0.875</v>
      </c>
      <c r="AB300" s="1">
        <f t="shared" si="129"/>
        <v>-0.92500000000000004</v>
      </c>
      <c r="AC300" s="1">
        <f t="shared" si="129"/>
        <v>-0.97499999999999998</v>
      </c>
      <c r="AD300" s="1">
        <f t="shared" si="129"/>
        <v>-1.0249999999999999</v>
      </c>
      <c r="AE300" s="1">
        <f t="shared" si="129"/>
        <v>-1.075</v>
      </c>
      <c r="AF300" s="1">
        <f t="shared" si="129"/>
        <v>-1.125</v>
      </c>
      <c r="AG300" s="1">
        <f t="shared" si="129"/>
        <v>-1.175</v>
      </c>
      <c r="AH300" s="1">
        <f t="shared" si="129"/>
        <v>-1.2250000000000001</v>
      </c>
      <c r="AI300" s="1">
        <f t="shared" si="129"/>
        <v>-1.2749999999999999</v>
      </c>
      <c r="AJ300" s="1">
        <f t="shared" si="129"/>
        <v>-1.325</v>
      </c>
      <c r="AK300" s="1">
        <f t="shared" si="129"/>
        <v>-1.375</v>
      </c>
      <c r="AL300" s="1">
        <f t="shared" si="129"/>
        <v>-1.425</v>
      </c>
      <c r="AM300" s="1">
        <f t="shared" si="129"/>
        <v>-1.4750000000000001</v>
      </c>
      <c r="AN300" s="1">
        <f t="shared" si="129"/>
        <v>-1.5249999999999995</v>
      </c>
      <c r="AO300" s="1">
        <f t="shared" si="129"/>
        <v>-1.575</v>
      </c>
    </row>
    <row r="301" spans="1:41">
      <c r="B301" s="1">
        <f t="shared" ref="B301:AO301" si="130">$J$111-B$107</f>
        <v>0.42500000000000004</v>
      </c>
      <c r="C301" s="1">
        <f t="shared" si="130"/>
        <v>0.375</v>
      </c>
      <c r="D301" s="1">
        <f t="shared" si="130"/>
        <v>0.32500000000000007</v>
      </c>
      <c r="E301" s="1">
        <f t="shared" si="130"/>
        <v>0.27500000000000002</v>
      </c>
      <c r="F301" s="1">
        <f t="shared" si="130"/>
        <v>0.22500000000000009</v>
      </c>
      <c r="G301" s="1">
        <f t="shared" si="130"/>
        <v>0.17500000000000004</v>
      </c>
      <c r="H301" s="1">
        <f t="shared" si="130"/>
        <v>0.125</v>
      </c>
      <c r="I301" s="1">
        <f t="shared" si="130"/>
        <v>7.5000000000000067E-2</v>
      </c>
      <c r="J301" s="1">
        <f t="shared" si="130"/>
        <v>2.5000000000000022E-2</v>
      </c>
      <c r="K301" s="1">
        <f t="shared" si="130"/>
        <v>-2.4999999999999911E-2</v>
      </c>
      <c r="L301" s="1">
        <f t="shared" si="130"/>
        <v>-7.4999999999999956E-2</v>
      </c>
      <c r="M301" s="1">
        <f t="shared" si="130"/>
        <v>-0.12499999999999994</v>
      </c>
      <c r="N301" s="1">
        <f t="shared" si="130"/>
        <v>-0.17499999999999993</v>
      </c>
      <c r="O301" s="1">
        <f t="shared" si="130"/>
        <v>-0.22499999999999998</v>
      </c>
      <c r="P301" s="1">
        <f t="shared" si="130"/>
        <v>-0.27499999999999997</v>
      </c>
      <c r="Q301" s="1">
        <f t="shared" si="130"/>
        <v>-0.32499999999999996</v>
      </c>
      <c r="R301" s="1">
        <f t="shared" si="130"/>
        <v>-0.37499999999999994</v>
      </c>
      <c r="S301" s="1">
        <f t="shared" si="130"/>
        <v>-0.42499999999999993</v>
      </c>
      <c r="T301" s="1">
        <f t="shared" si="130"/>
        <v>-0.47499999999999998</v>
      </c>
      <c r="U301" s="1">
        <f t="shared" si="130"/>
        <v>-0.52499999999999991</v>
      </c>
      <c r="V301" s="1">
        <f t="shared" si="130"/>
        <v>-0.57499999999999973</v>
      </c>
      <c r="W301" s="1">
        <f t="shared" si="130"/>
        <v>-0.625</v>
      </c>
      <c r="X301" s="1">
        <f t="shared" si="130"/>
        <v>-0.6749999999999996</v>
      </c>
      <c r="Y301" s="1">
        <f t="shared" si="130"/>
        <v>-0.72499999999999998</v>
      </c>
      <c r="Z301" s="1">
        <f t="shared" si="130"/>
        <v>-0.77499999999999991</v>
      </c>
      <c r="AA301" s="1">
        <f t="shared" si="130"/>
        <v>-0.82499999999999996</v>
      </c>
      <c r="AB301" s="1">
        <f t="shared" si="130"/>
        <v>-0.875</v>
      </c>
      <c r="AC301" s="1">
        <f t="shared" si="130"/>
        <v>-0.92499999999999993</v>
      </c>
      <c r="AD301" s="1">
        <f t="shared" si="130"/>
        <v>-0.97499999999999998</v>
      </c>
      <c r="AE301" s="1">
        <f t="shared" si="130"/>
        <v>-1.0249999999999999</v>
      </c>
      <c r="AF301" s="1">
        <f t="shared" si="130"/>
        <v>-1.075</v>
      </c>
      <c r="AG301" s="1">
        <f t="shared" si="130"/>
        <v>-1.125</v>
      </c>
      <c r="AH301" s="1">
        <f t="shared" si="130"/>
        <v>-1.1749999999999998</v>
      </c>
      <c r="AI301" s="1">
        <f t="shared" si="130"/>
        <v>-1.2250000000000001</v>
      </c>
      <c r="AJ301" s="1">
        <f t="shared" si="130"/>
        <v>-1.2749999999999999</v>
      </c>
      <c r="AK301" s="1">
        <f t="shared" si="130"/>
        <v>-1.325</v>
      </c>
      <c r="AL301" s="1">
        <f t="shared" si="130"/>
        <v>-1.375</v>
      </c>
      <c r="AM301" s="1">
        <f t="shared" si="130"/>
        <v>-1.4249999999999998</v>
      </c>
      <c r="AN301" s="1">
        <f t="shared" si="130"/>
        <v>-1.4749999999999994</v>
      </c>
      <c r="AO301" s="1">
        <f t="shared" si="130"/>
        <v>-1.5249999999999999</v>
      </c>
    </row>
    <row r="302" spans="1:41">
      <c r="B302" s="1">
        <f t="shared" ref="B302:AO302" si="131">$K$111-B$107</f>
        <v>0.47499999999999998</v>
      </c>
      <c r="C302" s="1">
        <f t="shared" si="131"/>
        <v>0.42499999999999993</v>
      </c>
      <c r="D302" s="1">
        <f t="shared" si="131"/>
        <v>0.375</v>
      </c>
      <c r="E302" s="1">
        <f t="shared" si="131"/>
        <v>0.32499999999999996</v>
      </c>
      <c r="F302" s="1">
        <f t="shared" si="131"/>
        <v>0.27500000000000002</v>
      </c>
      <c r="G302" s="1">
        <f t="shared" si="131"/>
        <v>0.22499999999999998</v>
      </c>
      <c r="H302" s="1">
        <f t="shared" si="131"/>
        <v>0.17499999999999993</v>
      </c>
      <c r="I302" s="1">
        <f t="shared" si="131"/>
        <v>0.125</v>
      </c>
      <c r="J302" s="1">
        <f t="shared" si="131"/>
        <v>7.4999999999999956E-2</v>
      </c>
      <c r="K302" s="1">
        <f t="shared" si="131"/>
        <v>2.5000000000000022E-2</v>
      </c>
      <c r="L302" s="1">
        <f t="shared" si="131"/>
        <v>-2.5000000000000022E-2</v>
      </c>
      <c r="M302" s="1">
        <f t="shared" si="131"/>
        <v>-7.5000000000000011E-2</v>
      </c>
      <c r="N302" s="1">
        <f t="shared" si="131"/>
        <v>-0.125</v>
      </c>
      <c r="O302" s="1">
        <f t="shared" si="131"/>
        <v>-0.17500000000000004</v>
      </c>
      <c r="P302" s="1">
        <f t="shared" si="131"/>
        <v>-0.22500000000000003</v>
      </c>
      <c r="Q302" s="1">
        <f t="shared" si="131"/>
        <v>-0.27500000000000002</v>
      </c>
      <c r="R302" s="1">
        <f t="shared" si="131"/>
        <v>-0.32500000000000001</v>
      </c>
      <c r="S302" s="1">
        <f t="shared" si="131"/>
        <v>-0.375</v>
      </c>
      <c r="T302" s="1">
        <f t="shared" si="131"/>
        <v>-0.42500000000000004</v>
      </c>
      <c r="U302" s="1">
        <f t="shared" si="131"/>
        <v>-0.47500000000000003</v>
      </c>
      <c r="V302" s="1">
        <f t="shared" si="131"/>
        <v>-0.5249999999999998</v>
      </c>
      <c r="W302" s="1">
        <f t="shared" si="131"/>
        <v>-0.57500000000000007</v>
      </c>
      <c r="X302" s="1">
        <f t="shared" si="131"/>
        <v>-0.62499999999999967</v>
      </c>
      <c r="Y302" s="1">
        <f t="shared" si="131"/>
        <v>-0.67500000000000004</v>
      </c>
      <c r="Z302" s="1">
        <f t="shared" si="131"/>
        <v>-0.72500000000000009</v>
      </c>
      <c r="AA302" s="1">
        <f t="shared" si="131"/>
        <v>-0.77500000000000002</v>
      </c>
      <c r="AB302" s="1">
        <f t="shared" si="131"/>
        <v>-0.82499999999999996</v>
      </c>
      <c r="AC302" s="1">
        <f t="shared" si="131"/>
        <v>-0.875</v>
      </c>
      <c r="AD302" s="1">
        <f t="shared" si="131"/>
        <v>-0.92500000000000004</v>
      </c>
      <c r="AE302" s="1">
        <f t="shared" si="131"/>
        <v>-0.97500000000000009</v>
      </c>
      <c r="AF302" s="1">
        <f t="shared" si="131"/>
        <v>-1.0249999999999999</v>
      </c>
      <c r="AG302" s="1">
        <f t="shared" si="131"/>
        <v>-1.0750000000000002</v>
      </c>
      <c r="AH302" s="1">
        <f t="shared" si="131"/>
        <v>-1.125</v>
      </c>
      <c r="AI302" s="1">
        <f t="shared" si="131"/>
        <v>-1.175</v>
      </c>
      <c r="AJ302" s="1">
        <f t="shared" si="131"/>
        <v>-1.2250000000000001</v>
      </c>
      <c r="AK302" s="1">
        <f t="shared" si="131"/>
        <v>-1.2749999999999999</v>
      </c>
      <c r="AL302" s="1">
        <f t="shared" si="131"/>
        <v>-1.3250000000000002</v>
      </c>
      <c r="AM302" s="1">
        <f t="shared" si="131"/>
        <v>-1.375</v>
      </c>
      <c r="AN302" s="1">
        <f t="shared" si="131"/>
        <v>-1.4249999999999994</v>
      </c>
      <c r="AO302" s="1">
        <f t="shared" si="131"/>
        <v>-1.4750000000000001</v>
      </c>
    </row>
    <row r="303" spans="1:41">
      <c r="B303" s="1">
        <f t="shared" ref="B303:AO303" si="132">$L$111-B$107</f>
        <v>0.52500000000000002</v>
      </c>
      <c r="C303" s="1">
        <f t="shared" si="132"/>
        <v>0.47499999999999998</v>
      </c>
      <c r="D303" s="1">
        <f t="shared" si="132"/>
        <v>0.42500000000000004</v>
      </c>
      <c r="E303" s="1">
        <f t="shared" si="132"/>
        <v>0.375</v>
      </c>
      <c r="F303" s="1">
        <f t="shared" si="132"/>
        <v>0.32500000000000007</v>
      </c>
      <c r="G303" s="1">
        <f t="shared" si="132"/>
        <v>0.27500000000000002</v>
      </c>
      <c r="H303" s="1">
        <f t="shared" si="132"/>
        <v>0.22499999999999998</v>
      </c>
      <c r="I303" s="1">
        <f t="shared" si="132"/>
        <v>0.17500000000000004</v>
      </c>
      <c r="J303" s="1">
        <f t="shared" si="132"/>
        <v>0.125</v>
      </c>
      <c r="K303" s="1">
        <f t="shared" si="132"/>
        <v>7.5000000000000067E-2</v>
      </c>
      <c r="L303" s="1">
        <f t="shared" si="132"/>
        <v>2.5000000000000022E-2</v>
      </c>
      <c r="M303" s="1">
        <f t="shared" si="132"/>
        <v>-2.4999999999999967E-2</v>
      </c>
      <c r="N303" s="1">
        <f t="shared" si="132"/>
        <v>-7.4999999999999956E-2</v>
      </c>
      <c r="O303" s="1">
        <f t="shared" si="132"/>
        <v>-0.125</v>
      </c>
      <c r="P303" s="1">
        <f t="shared" si="132"/>
        <v>-0.17499999999999999</v>
      </c>
      <c r="Q303" s="1">
        <f t="shared" si="132"/>
        <v>-0.22499999999999998</v>
      </c>
      <c r="R303" s="1">
        <f t="shared" si="132"/>
        <v>-0.27499999999999997</v>
      </c>
      <c r="S303" s="1">
        <f t="shared" si="132"/>
        <v>-0.32499999999999996</v>
      </c>
      <c r="T303" s="1">
        <f t="shared" si="132"/>
        <v>-0.375</v>
      </c>
      <c r="U303" s="1">
        <f t="shared" si="132"/>
        <v>-0.42499999999999999</v>
      </c>
      <c r="V303" s="1">
        <f t="shared" si="132"/>
        <v>-0.47499999999999976</v>
      </c>
      <c r="W303" s="1">
        <f t="shared" si="132"/>
        <v>-0.52500000000000002</v>
      </c>
      <c r="X303" s="1">
        <f t="shared" si="132"/>
        <v>-0.57499999999999962</v>
      </c>
      <c r="Y303" s="1">
        <f t="shared" si="132"/>
        <v>-0.625</v>
      </c>
      <c r="Z303" s="1">
        <f t="shared" si="132"/>
        <v>-0.67500000000000004</v>
      </c>
      <c r="AA303" s="1">
        <f t="shared" si="132"/>
        <v>-0.72499999999999998</v>
      </c>
      <c r="AB303" s="1">
        <f t="shared" si="132"/>
        <v>-0.77499999999999991</v>
      </c>
      <c r="AC303" s="1">
        <f t="shared" si="132"/>
        <v>-0.82499999999999996</v>
      </c>
      <c r="AD303" s="1">
        <f t="shared" si="132"/>
        <v>-0.875</v>
      </c>
      <c r="AE303" s="1">
        <f t="shared" si="132"/>
        <v>-0.92500000000000004</v>
      </c>
      <c r="AF303" s="1">
        <f t="shared" si="132"/>
        <v>-0.97499999999999998</v>
      </c>
      <c r="AG303" s="1">
        <f t="shared" si="132"/>
        <v>-1.0249999999999999</v>
      </c>
      <c r="AH303" s="1">
        <f t="shared" si="132"/>
        <v>-1.075</v>
      </c>
      <c r="AI303" s="1">
        <f t="shared" si="132"/>
        <v>-1.125</v>
      </c>
      <c r="AJ303" s="1">
        <f t="shared" si="132"/>
        <v>-1.1749999999999998</v>
      </c>
      <c r="AK303" s="1">
        <f t="shared" si="132"/>
        <v>-1.2250000000000001</v>
      </c>
      <c r="AL303" s="1">
        <f t="shared" si="132"/>
        <v>-1.2749999999999999</v>
      </c>
      <c r="AM303" s="1">
        <f t="shared" si="132"/>
        <v>-1.325</v>
      </c>
      <c r="AN303" s="1">
        <f t="shared" si="132"/>
        <v>-1.3749999999999996</v>
      </c>
      <c r="AO303" s="1">
        <f t="shared" si="132"/>
        <v>-1.4249999999999998</v>
      </c>
    </row>
    <row r="304" spans="1:41">
      <c r="B304" s="1">
        <f t="shared" ref="B304:AO304" si="133">$M$111-B$107</f>
        <v>0.57499999999999996</v>
      </c>
      <c r="C304" s="1">
        <f t="shared" si="133"/>
        <v>0.52499999999999991</v>
      </c>
      <c r="D304" s="1">
        <f t="shared" si="133"/>
        <v>0.47499999999999998</v>
      </c>
      <c r="E304" s="1">
        <f t="shared" si="133"/>
        <v>0.42499999999999993</v>
      </c>
      <c r="F304" s="1">
        <f t="shared" si="133"/>
        <v>0.375</v>
      </c>
      <c r="G304" s="1">
        <f t="shared" si="133"/>
        <v>0.32499999999999996</v>
      </c>
      <c r="H304" s="1">
        <f t="shared" si="133"/>
        <v>0.27499999999999991</v>
      </c>
      <c r="I304" s="1">
        <f t="shared" si="133"/>
        <v>0.22499999999999998</v>
      </c>
      <c r="J304" s="1">
        <f t="shared" si="133"/>
        <v>0.17499999999999993</v>
      </c>
      <c r="K304" s="1">
        <f t="shared" si="133"/>
        <v>0.125</v>
      </c>
      <c r="L304" s="1">
        <f t="shared" si="133"/>
        <v>7.4999999999999956E-2</v>
      </c>
      <c r="M304" s="1">
        <f t="shared" si="133"/>
        <v>2.4999999999999967E-2</v>
      </c>
      <c r="N304" s="1">
        <f t="shared" si="133"/>
        <v>-2.5000000000000022E-2</v>
      </c>
      <c r="O304" s="1">
        <f t="shared" si="133"/>
        <v>-7.5000000000000067E-2</v>
      </c>
      <c r="P304" s="1">
        <f t="shared" si="133"/>
        <v>-0.12500000000000006</v>
      </c>
      <c r="Q304" s="1">
        <f t="shared" si="133"/>
        <v>-0.17500000000000004</v>
      </c>
      <c r="R304" s="1">
        <f t="shared" si="133"/>
        <v>-0.22500000000000003</v>
      </c>
      <c r="S304" s="1">
        <f t="shared" si="133"/>
        <v>-0.27500000000000002</v>
      </c>
      <c r="T304" s="1">
        <f t="shared" si="133"/>
        <v>-0.32500000000000007</v>
      </c>
      <c r="U304" s="1">
        <f t="shared" si="133"/>
        <v>-0.37500000000000006</v>
      </c>
      <c r="V304" s="1">
        <f t="shared" si="133"/>
        <v>-0.42499999999999982</v>
      </c>
      <c r="W304" s="1">
        <f t="shared" si="133"/>
        <v>-0.47500000000000003</v>
      </c>
      <c r="X304" s="1">
        <f t="shared" si="133"/>
        <v>-0.52499999999999969</v>
      </c>
      <c r="Y304" s="1">
        <f t="shared" si="133"/>
        <v>-0.57500000000000007</v>
      </c>
      <c r="Z304" s="1">
        <f t="shared" si="133"/>
        <v>-0.625</v>
      </c>
      <c r="AA304" s="1">
        <f t="shared" si="133"/>
        <v>-0.67500000000000004</v>
      </c>
      <c r="AB304" s="1">
        <f t="shared" si="133"/>
        <v>-0.72500000000000009</v>
      </c>
      <c r="AC304" s="1">
        <f t="shared" si="133"/>
        <v>-0.77500000000000002</v>
      </c>
      <c r="AD304" s="1">
        <f t="shared" si="133"/>
        <v>-0.82500000000000007</v>
      </c>
      <c r="AE304" s="1">
        <f t="shared" si="133"/>
        <v>-0.875</v>
      </c>
      <c r="AF304" s="1">
        <f t="shared" si="133"/>
        <v>-0.92500000000000004</v>
      </c>
      <c r="AG304" s="1">
        <f t="shared" si="133"/>
        <v>-0.97500000000000009</v>
      </c>
      <c r="AH304" s="1">
        <f t="shared" si="133"/>
        <v>-1.0249999999999999</v>
      </c>
      <c r="AI304" s="1">
        <f t="shared" si="133"/>
        <v>-1.0750000000000002</v>
      </c>
      <c r="AJ304" s="1">
        <f t="shared" si="133"/>
        <v>-1.125</v>
      </c>
      <c r="AK304" s="1">
        <f t="shared" si="133"/>
        <v>-1.175</v>
      </c>
      <c r="AL304" s="1">
        <f t="shared" si="133"/>
        <v>-1.2250000000000001</v>
      </c>
      <c r="AM304" s="1">
        <f t="shared" si="133"/>
        <v>-1.2749999999999999</v>
      </c>
      <c r="AN304" s="1">
        <f t="shared" si="133"/>
        <v>-1.3249999999999995</v>
      </c>
      <c r="AO304" s="1">
        <f t="shared" si="133"/>
        <v>-1.375</v>
      </c>
    </row>
    <row r="305" spans="2:41">
      <c r="B305" s="1">
        <f t="shared" ref="B305:AO305" si="134">$N$111-B$107</f>
        <v>0.625</v>
      </c>
      <c r="C305" s="1">
        <f t="shared" si="134"/>
        <v>0.57499999999999996</v>
      </c>
      <c r="D305" s="1">
        <f t="shared" si="134"/>
        <v>0.52500000000000002</v>
      </c>
      <c r="E305" s="1">
        <f t="shared" si="134"/>
        <v>0.47499999999999998</v>
      </c>
      <c r="F305" s="1">
        <f t="shared" si="134"/>
        <v>0.42500000000000004</v>
      </c>
      <c r="G305" s="1">
        <f t="shared" si="134"/>
        <v>0.375</v>
      </c>
      <c r="H305" s="1">
        <f t="shared" si="134"/>
        <v>0.32499999999999996</v>
      </c>
      <c r="I305" s="1">
        <f t="shared" si="134"/>
        <v>0.27500000000000002</v>
      </c>
      <c r="J305" s="1">
        <f t="shared" si="134"/>
        <v>0.22499999999999998</v>
      </c>
      <c r="K305" s="1">
        <f t="shared" si="134"/>
        <v>0.17500000000000004</v>
      </c>
      <c r="L305" s="1">
        <f t="shared" si="134"/>
        <v>0.125</v>
      </c>
      <c r="M305" s="1">
        <f t="shared" si="134"/>
        <v>7.5000000000000011E-2</v>
      </c>
      <c r="N305" s="1">
        <f t="shared" si="134"/>
        <v>2.5000000000000022E-2</v>
      </c>
      <c r="O305" s="1">
        <f t="shared" si="134"/>
        <v>-2.5000000000000022E-2</v>
      </c>
      <c r="P305" s="1">
        <f t="shared" si="134"/>
        <v>-7.5000000000000011E-2</v>
      </c>
      <c r="Q305" s="1">
        <f t="shared" si="134"/>
        <v>-0.125</v>
      </c>
      <c r="R305" s="1">
        <f t="shared" si="134"/>
        <v>-0.17499999999999999</v>
      </c>
      <c r="S305" s="1">
        <f t="shared" si="134"/>
        <v>-0.22500000000000001</v>
      </c>
      <c r="T305" s="1">
        <f t="shared" si="134"/>
        <v>-0.27500000000000002</v>
      </c>
      <c r="U305" s="1">
        <f t="shared" si="134"/>
        <v>-0.32500000000000001</v>
      </c>
      <c r="V305" s="1">
        <f t="shared" si="134"/>
        <v>-0.37499999999999978</v>
      </c>
      <c r="W305" s="1">
        <f t="shared" si="134"/>
        <v>-0.42499999999999999</v>
      </c>
      <c r="X305" s="1">
        <f t="shared" si="134"/>
        <v>-0.47499999999999964</v>
      </c>
      <c r="Y305" s="1">
        <f t="shared" si="134"/>
        <v>-0.52500000000000002</v>
      </c>
      <c r="Z305" s="1">
        <f t="shared" si="134"/>
        <v>-0.57499999999999996</v>
      </c>
      <c r="AA305" s="1">
        <f t="shared" si="134"/>
        <v>-0.625</v>
      </c>
      <c r="AB305" s="1">
        <f t="shared" si="134"/>
        <v>-0.67500000000000004</v>
      </c>
      <c r="AC305" s="1">
        <f t="shared" si="134"/>
        <v>-0.72499999999999998</v>
      </c>
      <c r="AD305" s="1">
        <f t="shared" si="134"/>
        <v>-0.77500000000000002</v>
      </c>
      <c r="AE305" s="1">
        <f t="shared" si="134"/>
        <v>-0.82499999999999996</v>
      </c>
      <c r="AF305" s="1">
        <f t="shared" si="134"/>
        <v>-0.875</v>
      </c>
      <c r="AG305" s="1">
        <f t="shared" si="134"/>
        <v>-0.92500000000000004</v>
      </c>
      <c r="AH305" s="1">
        <f t="shared" si="134"/>
        <v>-0.97499999999999998</v>
      </c>
      <c r="AI305" s="1">
        <f t="shared" si="134"/>
        <v>-1.0249999999999999</v>
      </c>
      <c r="AJ305" s="1">
        <f t="shared" si="134"/>
        <v>-1.075</v>
      </c>
      <c r="AK305" s="1">
        <f t="shared" si="134"/>
        <v>-1.125</v>
      </c>
      <c r="AL305" s="1">
        <f t="shared" si="134"/>
        <v>-1.175</v>
      </c>
      <c r="AM305" s="1">
        <f t="shared" si="134"/>
        <v>-1.2250000000000001</v>
      </c>
      <c r="AN305" s="1">
        <f t="shared" si="134"/>
        <v>-1.2749999999999995</v>
      </c>
      <c r="AO305" s="1">
        <f t="shared" si="134"/>
        <v>-1.325</v>
      </c>
    </row>
    <row r="306" spans="2:41">
      <c r="B306" s="1">
        <f t="shared" ref="B306:AO306" si="135">$O$111-B$107</f>
        <v>0.67500000000000004</v>
      </c>
      <c r="C306" s="1">
        <f t="shared" si="135"/>
        <v>0.625</v>
      </c>
      <c r="D306" s="1">
        <f t="shared" si="135"/>
        <v>0.57500000000000007</v>
      </c>
      <c r="E306" s="1">
        <f t="shared" si="135"/>
        <v>0.52500000000000002</v>
      </c>
      <c r="F306" s="1">
        <f t="shared" si="135"/>
        <v>0.47500000000000009</v>
      </c>
      <c r="G306" s="1">
        <f t="shared" si="135"/>
        <v>0.42500000000000004</v>
      </c>
      <c r="H306" s="1">
        <f t="shared" si="135"/>
        <v>0.375</v>
      </c>
      <c r="I306" s="1">
        <f t="shared" si="135"/>
        <v>0.32500000000000007</v>
      </c>
      <c r="J306" s="1">
        <f t="shared" si="135"/>
        <v>0.27500000000000002</v>
      </c>
      <c r="K306" s="1">
        <f t="shared" si="135"/>
        <v>0.22500000000000009</v>
      </c>
      <c r="L306" s="1">
        <f t="shared" si="135"/>
        <v>0.17500000000000004</v>
      </c>
      <c r="M306" s="1">
        <f t="shared" si="135"/>
        <v>0.12500000000000006</v>
      </c>
      <c r="N306" s="1">
        <f t="shared" si="135"/>
        <v>7.5000000000000067E-2</v>
      </c>
      <c r="O306" s="1">
        <f t="shared" si="135"/>
        <v>2.5000000000000022E-2</v>
      </c>
      <c r="P306" s="1">
        <f t="shared" si="135"/>
        <v>-2.4999999999999967E-2</v>
      </c>
      <c r="Q306" s="1">
        <f t="shared" si="135"/>
        <v>-7.4999999999999956E-2</v>
      </c>
      <c r="R306" s="1">
        <f t="shared" si="135"/>
        <v>-0.12499999999999994</v>
      </c>
      <c r="S306" s="1">
        <f t="shared" si="135"/>
        <v>-0.17499999999999996</v>
      </c>
      <c r="T306" s="1">
        <f t="shared" si="135"/>
        <v>-0.22499999999999995</v>
      </c>
      <c r="U306" s="1">
        <f t="shared" si="135"/>
        <v>-0.27499999999999997</v>
      </c>
      <c r="V306" s="1">
        <f t="shared" si="135"/>
        <v>-0.32499999999999973</v>
      </c>
      <c r="W306" s="1">
        <f t="shared" si="135"/>
        <v>-0.37499999999999994</v>
      </c>
      <c r="X306" s="1">
        <f t="shared" si="135"/>
        <v>-0.4249999999999996</v>
      </c>
      <c r="Y306" s="1">
        <f t="shared" si="135"/>
        <v>-0.47499999999999998</v>
      </c>
      <c r="Z306" s="1">
        <f t="shared" si="135"/>
        <v>-0.52499999999999991</v>
      </c>
      <c r="AA306" s="1">
        <f t="shared" si="135"/>
        <v>-0.57499999999999996</v>
      </c>
      <c r="AB306" s="1">
        <f t="shared" si="135"/>
        <v>-0.625</v>
      </c>
      <c r="AC306" s="1">
        <f t="shared" si="135"/>
        <v>-0.67499999999999993</v>
      </c>
      <c r="AD306" s="1">
        <f t="shared" si="135"/>
        <v>-0.72499999999999998</v>
      </c>
      <c r="AE306" s="1">
        <f t="shared" si="135"/>
        <v>-0.77499999999999991</v>
      </c>
      <c r="AF306" s="1">
        <f t="shared" si="135"/>
        <v>-0.82499999999999996</v>
      </c>
      <c r="AG306" s="1">
        <f t="shared" si="135"/>
        <v>-0.875</v>
      </c>
      <c r="AH306" s="1">
        <f t="shared" si="135"/>
        <v>-0.92499999999999993</v>
      </c>
      <c r="AI306" s="1">
        <f t="shared" si="135"/>
        <v>-0.97499999999999998</v>
      </c>
      <c r="AJ306" s="1">
        <f t="shared" si="135"/>
        <v>-1.0249999999999999</v>
      </c>
      <c r="AK306" s="1">
        <f t="shared" si="135"/>
        <v>-1.075</v>
      </c>
      <c r="AL306" s="1">
        <f t="shared" si="135"/>
        <v>-1.125</v>
      </c>
      <c r="AM306" s="1">
        <f t="shared" si="135"/>
        <v>-1.1749999999999998</v>
      </c>
      <c r="AN306" s="1">
        <f t="shared" si="135"/>
        <v>-1.2249999999999994</v>
      </c>
      <c r="AO306" s="1">
        <f t="shared" si="135"/>
        <v>-1.2749999999999999</v>
      </c>
    </row>
    <row r="307" spans="2:41">
      <c r="B307" s="1">
        <f t="shared" ref="B307:AO307" si="136">$P$111-B$107</f>
        <v>0.72499999999999998</v>
      </c>
      <c r="C307" s="1">
        <f t="shared" si="136"/>
        <v>0.67499999999999993</v>
      </c>
      <c r="D307" s="1">
        <f t="shared" si="136"/>
        <v>0.625</v>
      </c>
      <c r="E307" s="1">
        <f t="shared" si="136"/>
        <v>0.57499999999999996</v>
      </c>
      <c r="F307" s="1">
        <f t="shared" si="136"/>
        <v>0.52500000000000002</v>
      </c>
      <c r="G307" s="1">
        <f t="shared" si="136"/>
        <v>0.47499999999999998</v>
      </c>
      <c r="H307" s="1">
        <f t="shared" si="136"/>
        <v>0.42499999999999993</v>
      </c>
      <c r="I307" s="1">
        <f t="shared" si="136"/>
        <v>0.375</v>
      </c>
      <c r="J307" s="1">
        <f t="shared" si="136"/>
        <v>0.32499999999999996</v>
      </c>
      <c r="K307" s="1">
        <f t="shared" si="136"/>
        <v>0.27500000000000002</v>
      </c>
      <c r="L307" s="1">
        <f t="shared" si="136"/>
        <v>0.22499999999999998</v>
      </c>
      <c r="M307" s="1">
        <f t="shared" si="136"/>
        <v>0.17499999999999999</v>
      </c>
      <c r="N307" s="1">
        <f t="shared" si="136"/>
        <v>0.125</v>
      </c>
      <c r="O307" s="1">
        <f t="shared" si="136"/>
        <v>7.4999999999999956E-2</v>
      </c>
      <c r="P307" s="1">
        <f t="shared" si="136"/>
        <v>2.4999999999999967E-2</v>
      </c>
      <c r="Q307" s="1">
        <f t="shared" si="136"/>
        <v>-2.5000000000000022E-2</v>
      </c>
      <c r="R307" s="1">
        <f t="shared" si="136"/>
        <v>-7.5000000000000011E-2</v>
      </c>
      <c r="S307" s="1">
        <f t="shared" si="136"/>
        <v>-0.12500000000000003</v>
      </c>
      <c r="T307" s="1">
        <f t="shared" si="136"/>
        <v>-0.17500000000000002</v>
      </c>
      <c r="U307" s="1">
        <f t="shared" si="136"/>
        <v>-0.22500000000000003</v>
      </c>
      <c r="V307" s="1">
        <f t="shared" si="136"/>
        <v>-0.2749999999999998</v>
      </c>
      <c r="W307" s="1">
        <f t="shared" si="136"/>
        <v>-0.32500000000000001</v>
      </c>
      <c r="X307" s="1">
        <f t="shared" si="136"/>
        <v>-0.37499999999999967</v>
      </c>
      <c r="Y307" s="1">
        <f t="shared" si="136"/>
        <v>-0.42500000000000004</v>
      </c>
      <c r="Z307" s="1">
        <f t="shared" si="136"/>
        <v>-0.47500000000000003</v>
      </c>
      <c r="AA307" s="1">
        <f t="shared" si="136"/>
        <v>-0.52500000000000002</v>
      </c>
      <c r="AB307" s="1">
        <f t="shared" si="136"/>
        <v>-0.57499999999999996</v>
      </c>
      <c r="AC307" s="1">
        <f t="shared" si="136"/>
        <v>-0.625</v>
      </c>
      <c r="AD307" s="1">
        <f t="shared" si="136"/>
        <v>-0.67500000000000004</v>
      </c>
      <c r="AE307" s="1">
        <f t="shared" si="136"/>
        <v>-0.72500000000000009</v>
      </c>
      <c r="AF307" s="1">
        <f t="shared" si="136"/>
        <v>-0.77500000000000002</v>
      </c>
      <c r="AG307" s="1">
        <f t="shared" si="136"/>
        <v>-0.82500000000000007</v>
      </c>
      <c r="AH307" s="1">
        <f t="shared" si="136"/>
        <v>-0.875</v>
      </c>
      <c r="AI307" s="1">
        <f t="shared" si="136"/>
        <v>-0.92500000000000004</v>
      </c>
      <c r="AJ307" s="1">
        <f t="shared" si="136"/>
        <v>-0.97499999999999998</v>
      </c>
      <c r="AK307" s="1">
        <f t="shared" si="136"/>
        <v>-1.0249999999999999</v>
      </c>
      <c r="AL307" s="1">
        <f t="shared" si="136"/>
        <v>-1.0750000000000002</v>
      </c>
      <c r="AM307" s="1">
        <f t="shared" si="136"/>
        <v>-1.125</v>
      </c>
      <c r="AN307" s="1">
        <f t="shared" si="136"/>
        <v>-1.1749999999999994</v>
      </c>
      <c r="AO307" s="1">
        <f t="shared" si="136"/>
        <v>-1.2250000000000001</v>
      </c>
    </row>
    <row r="308" spans="2:41">
      <c r="B308" s="1">
        <f t="shared" ref="B308:AO308" si="137">$Q$111-B$107</f>
        <v>0.77500000000000002</v>
      </c>
      <c r="C308" s="1">
        <f t="shared" si="137"/>
        <v>0.72499999999999998</v>
      </c>
      <c r="D308" s="1">
        <f t="shared" si="137"/>
        <v>0.67500000000000004</v>
      </c>
      <c r="E308" s="1">
        <f t="shared" si="137"/>
        <v>0.625</v>
      </c>
      <c r="F308" s="1">
        <f t="shared" si="137"/>
        <v>0.57500000000000007</v>
      </c>
      <c r="G308" s="1">
        <f t="shared" si="137"/>
        <v>0.52500000000000002</v>
      </c>
      <c r="H308" s="1">
        <f t="shared" si="137"/>
        <v>0.47499999999999998</v>
      </c>
      <c r="I308" s="1">
        <f t="shared" si="137"/>
        <v>0.42500000000000004</v>
      </c>
      <c r="J308" s="1">
        <f t="shared" si="137"/>
        <v>0.375</v>
      </c>
      <c r="K308" s="1">
        <f t="shared" si="137"/>
        <v>0.32500000000000007</v>
      </c>
      <c r="L308" s="1">
        <f t="shared" si="137"/>
        <v>0.27500000000000002</v>
      </c>
      <c r="M308" s="1">
        <f t="shared" si="137"/>
        <v>0.22500000000000001</v>
      </c>
      <c r="N308" s="1">
        <f t="shared" si="137"/>
        <v>0.17500000000000002</v>
      </c>
      <c r="O308" s="1">
        <f t="shared" si="137"/>
        <v>0.12499999999999997</v>
      </c>
      <c r="P308" s="1">
        <f t="shared" si="137"/>
        <v>7.4999999999999983E-2</v>
      </c>
      <c r="Q308" s="1">
        <f t="shared" si="137"/>
        <v>2.4999999999999994E-2</v>
      </c>
      <c r="R308" s="1">
        <f t="shared" si="137"/>
        <v>-2.4999999999999994E-2</v>
      </c>
      <c r="S308" s="1">
        <f t="shared" si="137"/>
        <v>-7.5000000000000011E-2</v>
      </c>
      <c r="T308" s="1">
        <f t="shared" si="137"/>
        <v>-0.125</v>
      </c>
      <c r="U308" s="1">
        <f t="shared" si="137"/>
        <v>-0.17499999999999999</v>
      </c>
      <c r="V308" s="1">
        <f t="shared" si="137"/>
        <v>-0.22499999999999978</v>
      </c>
      <c r="W308" s="1">
        <f t="shared" si="137"/>
        <v>-0.27500000000000002</v>
      </c>
      <c r="X308" s="1">
        <f t="shared" si="137"/>
        <v>-0.32499999999999962</v>
      </c>
      <c r="Y308" s="1">
        <f t="shared" si="137"/>
        <v>-0.375</v>
      </c>
      <c r="Z308" s="1">
        <f t="shared" si="137"/>
        <v>-0.42500000000000004</v>
      </c>
      <c r="AA308" s="1">
        <f t="shared" si="137"/>
        <v>-0.47499999999999998</v>
      </c>
      <c r="AB308" s="1">
        <f t="shared" si="137"/>
        <v>-0.52500000000000002</v>
      </c>
      <c r="AC308" s="1">
        <f t="shared" si="137"/>
        <v>-0.57499999999999996</v>
      </c>
      <c r="AD308" s="1">
        <f t="shared" si="137"/>
        <v>-0.625</v>
      </c>
      <c r="AE308" s="1">
        <f t="shared" si="137"/>
        <v>-0.67500000000000004</v>
      </c>
      <c r="AF308" s="1">
        <f t="shared" si="137"/>
        <v>-0.72499999999999998</v>
      </c>
      <c r="AG308" s="1">
        <f t="shared" si="137"/>
        <v>-0.77500000000000002</v>
      </c>
      <c r="AH308" s="1">
        <f t="shared" si="137"/>
        <v>-0.82499999999999996</v>
      </c>
      <c r="AI308" s="1">
        <f t="shared" si="137"/>
        <v>-0.875</v>
      </c>
      <c r="AJ308" s="1">
        <f t="shared" si="137"/>
        <v>-0.92499999999999993</v>
      </c>
      <c r="AK308" s="1">
        <f t="shared" si="137"/>
        <v>-0.97499999999999998</v>
      </c>
      <c r="AL308" s="1">
        <f t="shared" si="137"/>
        <v>-1.0250000000000001</v>
      </c>
      <c r="AM308" s="1">
        <f t="shared" si="137"/>
        <v>-1.075</v>
      </c>
      <c r="AN308" s="1">
        <f t="shared" si="137"/>
        <v>-1.1249999999999996</v>
      </c>
      <c r="AO308" s="1">
        <f t="shared" si="137"/>
        <v>-1.175</v>
      </c>
    </row>
    <row r="309" spans="2:41">
      <c r="B309" s="1">
        <f t="shared" ref="B309:AO309" si="138">$R$111-B$107</f>
        <v>0.82499999999999996</v>
      </c>
      <c r="C309" s="1">
        <f t="shared" si="138"/>
        <v>0.77499999999999991</v>
      </c>
      <c r="D309" s="1">
        <f t="shared" si="138"/>
        <v>0.72500000000000009</v>
      </c>
      <c r="E309" s="1">
        <f t="shared" si="138"/>
        <v>0.67500000000000004</v>
      </c>
      <c r="F309" s="1">
        <f t="shared" si="138"/>
        <v>0.625</v>
      </c>
      <c r="G309" s="1">
        <f t="shared" si="138"/>
        <v>0.57499999999999996</v>
      </c>
      <c r="H309" s="1">
        <f t="shared" si="138"/>
        <v>0.52499999999999991</v>
      </c>
      <c r="I309" s="1">
        <f t="shared" si="138"/>
        <v>0.47500000000000003</v>
      </c>
      <c r="J309" s="1">
        <f t="shared" si="138"/>
        <v>0.42499999999999999</v>
      </c>
      <c r="K309" s="1">
        <f t="shared" si="138"/>
        <v>0.37500000000000006</v>
      </c>
      <c r="L309" s="1">
        <f t="shared" si="138"/>
        <v>0.32500000000000001</v>
      </c>
      <c r="M309" s="1">
        <f t="shared" si="138"/>
        <v>0.27500000000000002</v>
      </c>
      <c r="N309" s="1">
        <f t="shared" si="138"/>
        <v>0.22500000000000003</v>
      </c>
      <c r="O309" s="1">
        <f t="shared" si="138"/>
        <v>0.17499999999999999</v>
      </c>
      <c r="P309" s="1">
        <f t="shared" si="138"/>
        <v>0.125</v>
      </c>
      <c r="Q309" s="1">
        <f t="shared" si="138"/>
        <v>7.5000000000000011E-2</v>
      </c>
      <c r="R309" s="1">
        <f t="shared" si="138"/>
        <v>2.5000000000000022E-2</v>
      </c>
      <c r="S309" s="1">
        <f t="shared" si="138"/>
        <v>-2.4999999999999994E-2</v>
      </c>
      <c r="T309" s="1">
        <f t="shared" si="138"/>
        <v>-7.4999999999999983E-2</v>
      </c>
      <c r="U309" s="1">
        <f t="shared" si="138"/>
        <v>-0.12499999999999999</v>
      </c>
      <c r="V309" s="1">
        <f t="shared" si="138"/>
        <v>-0.17499999999999977</v>
      </c>
      <c r="W309" s="1">
        <f t="shared" si="138"/>
        <v>-0.22499999999999998</v>
      </c>
      <c r="X309" s="1">
        <f t="shared" si="138"/>
        <v>-0.27499999999999963</v>
      </c>
      <c r="Y309" s="1">
        <f t="shared" si="138"/>
        <v>-0.32499999999999996</v>
      </c>
      <c r="Z309" s="1">
        <f t="shared" si="138"/>
        <v>-0.375</v>
      </c>
      <c r="AA309" s="1">
        <f t="shared" si="138"/>
        <v>-0.42499999999999999</v>
      </c>
      <c r="AB309" s="1">
        <f t="shared" si="138"/>
        <v>-0.47499999999999998</v>
      </c>
      <c r="AC309" s="1">
        <f t="shared" si="138"/>
        <v>-0.52499999999999991</v>
      </c>
      <c r="AD309" s="1">
        <f t="shared" si="138"/>
        <v>-0.57499999999999996</v>
      </c>
      <c r="AE309" s="1">
        <f t="shared" si="138"/>
        <v>-0.625</v>
      </c>
      <c r="AF309" s="1">
        <f t="shared" si="138"/>
        <v>-0.67500000000000004</v>
      </c>
      <c r="AG309" s="1">
        <f t="shared" si="138"/>
        <v>-0.72500000000000009</v>
      </c>
      <c r="AH309" s="1">
        <f t="shared" si="138"/>
        <v>-0.77499999999999991</v>
      </c>
      <c r="AI309" s="1">
        <f t="shared" si="138"/>
        <v>-0.82499999999999996</v>
      </c>
      <c r="AJ309" s="1">
        <f t="shared" si="138"/>
        <v>-0.875</v>
      </c>
      <c r="AK309" s="1">
        <f t="shared" si="138"/>
        <v>-0.92500000000000004</v>
      </c>
      <c r="AL309" s="1">
        <f t="shared" si="138"/>
        <v>-0.97500000000000009</v>
      </c>
      <c r="AM309" s="1">
        <f t="shared" si="138"/>
        <v>-1.0249999999999999</v>
      </c>
      <c r="AN309" s="1">
        <f t="shared" si="138"/>
        <v>-1.0749999999999995</v>
      </c>
      <c r="AO309" s="1">
        <f t="shared" si="138"/>
        <v>-1.125</v>
      </c>
    </row>
    <row r="310" spans="2:41">
      <c r="B310" s="1">
        <f t="shared" ref="B310:AO310" si="139">$S$111-B$107</f>
        <v>0.875</v>
      </c>
      <c r="C310" s="1">
        <f t="shared" si="139"/>
        <v>0.82499999999999996</v>
      </c>
      <c r="D310" s="1">
        <f t="shared" si="139"/>
        <v>0.77500000000000002</v>
      </c>
      <c r="E310" s="1">
        <f t="shared" si="139"/>
        <v>0.72499999999999998</v>
      </c>
      <c r="F310" s="1">
        <f t="shared" si="139"/>
        <v>0.67500000000000004</v>
      </c>
      <c r="G310" s="1">
        <f t="shared" si="139"/>
        <v>0.625</v>
      </c>
      <c r="H310" s="1">
        <f t="shared" si="139"/>
        <v>0.57499999999999996</v>
      </c>
      <c r="I310" s="1">
        <f t="shared" si="139"/>
        <v>0.52500000000000002</v>
      </c>
      <c r="J310" s="1">
        <f t="shared" si="139"/>
        <v>0.47499999999999998</v>
      </c>
      <c r="K310" s="1">
        <f t="shared" si="139"/>
        <v>0.42500000000000004</v>
      </c>
      <c r="L310" s="1">
        <f t="shared" si="139"/>
        <v>0.375</v>
      </c>
      <c r="M310" s="1">
        <f t="shared" si="139"/>
        <v>0.32500000000000001</v>
      </c>
      <c r="N310" s="1">
        <f t="shared" si="139"/>
        <v>0.27500000000000002</v>
      </c>
      <c r="O310" s="1">
        <f t="shared" si="139"/>
        <v>0.22499999999999998</v>
      </c>
      <c r="P310" s="1">
        <f t="shared" si="139"/>
        <v>0.17499999999999999</v>
      </c>
      <c r="Q310" s="1">
        <f t="shared" si="139"/>
        <v>0.125</v>
      </c>
      <c r="R310" s="1">
        <f t="shared" si="139"/>
        <v>7.5000000000000011E-2</v>
      </c>
      <c r="S310" s="1">
        <f t="shared" si="139"/>
        <v>2.4999999999999994E-2</v>
      </c>
      <c r="T310" s="1">
        <f t="shared" si="139"/>
        <v>-2.4999999999999994E-2</v>
      </c>
      <c r="U310" s="1">
        <f t="shared" si="139"/>
        <v>-7.4999999999999997E-2</v>
      </c>
      <c r="V310" s="1">
        <f t="shared" si="139"/>
        <v>-0.12499999999999978</v>
      </c>
      <c r="W310" s="1">
        <f t="shared" si="139"/>
        <v>-0.17499999999999999</v>
      </c>
      <c r="X310" s="1">
        <f t="shared" si="139"/>
        <v>-0.22499999999999964</v>
      </c>
      <c r="Y310" s="1">
        <f t="shared" si="139"/>
        <v>-0.27500000000000002</v>
      </c>
      <c r="Z310" s="1">
        <f t="shared" si="139"/>
        <v>-0.32500000000000001</v>
      </c>
      <c r="AA310" s="1">
        <f t="shared" si="139"/>
        <v>-0.375</v>
      </c>
      <c r="AB310" s="1">
        <f t="shared" si="139"/>
        <v>-0.42499999999999999</v>
      </c>
      <c r="AC310" s="1">
        <f t="shared" si="139"/>
        <v>-0.47499999999999998</v>
      </c>
      <c r="AD310" s="1">
        <f t="shared" si="139"/>
        <v>-0.52500000000000002</v>
      </c>
      <c r="AE310" s="1">
        <f t="shared" si="139"/>
        <v>-0.57499999999999996</v>
      </c>
      <c r="AF310" s="1">
        <f t="shared" si="139"/>
        <v>-0.625</v>
      </c>
      <c r="AG310" s="1">
        <f t="shared" si="139"/>
        <v>-0.67500000000000004</v>
      </c>
      <c r="AH310" s="1">
        <f t="shared" si="139"/>
        <v>-0.72499999999999998</v>
      </c>
      <c r="AI310" s="1">
        <f t="shared" si="139"/>
        <v>-0.77500000000000002</v>
      </c>
      <c r="AJ310" s="1">
        <f t="shared" si="139"/>
        <v>-0.82499999999999996</v>
      </c>
      <c r="AK310" s="1">
        <f t="shared" si="139"/>
        <v>-0.875</v>
      </c>
      <c r="AL310" s="1">
        <f t="shared" si="139"/>
        <v>-0.92500000000000004</v>
      </c>
      <c r="AM310" s="1">
        <f t="shared" si="139"/>
        <v>-0.97499999999999998</v>
      </c>
      <c r="AN310" s="1">
        <f t="shared" si="139"/>
        <v>-1.0249999999999995</v>
      </c>
      <c r="AO310" s="1">
        <f t="shared" si="139"/>
        <v>-1.075</v>
      </c>
    </row>
    <row r="311" spans="2:41">
      <c r="B311" s="1">
        <f t="shared" ref="B311:AO311" si="140">$T$111-B$107</f>
        <v>0.92500000000000004</v>
      </c>
      <c r="C311" s="1">
        <f t="shared" si="140"/>
        <v>0.875</v>
      </c>
      <c r="D311" s="1">
        <f t="shared" si="140"/>
        <v>0.82499999999999996</v>
      </c>
      <c r="E311" s="1">
        <f t="shared" si="140"/>
        <v>0.77499999999999991</v>
      </c>
      <c r="F311" s="1">
        <f t="shared" si="140"/>
        <v>0.72500000000000009</v>
      </c>
      <c r="G311" s="1">
        <f t="shared" si="140"/>
        <v>0.67500000000000004</v>
      </c>
      <c r="H311" s="1">
        <f t="shared" si="140"/>
        <v>0.625</v>
      </c>
      <c r="I311" s="1">
        <f t="shared" si="140"/>
        <v>0.57499999999999996</v>
      </c>
      <c r="J311" s="1">
        <f t="shared" si="140"/>
        <v>0.52499999999999991</v>
      </c>
      <c r="K311" s="1">
        <f t="shared" si="140"/>
        <v>0.47500000000000003</v>
      </c>
      <c r="L311" s="1">
        <f t="shared" si="140"/>
        <v>0.42499999999999999</v>
      </c>
      <c r="M311" s="1">
        <f t="shared" si="140"/>
        <v>0.375</v>
      </c>
      <c r="N311" s="1">
        <f t="shared" si="140"/>
        <v>0.32500000000000001</v>
      </c>
      <c r="O311" s="1">
        <f t="shared" si="140"/>
        <v>0.27499999999999997</v>
      </c>
      <c r="P311" s="1">
        <f t="shared" si="140"/>
        <v>0.22499999999999998</v>
      </c>
      <c r="Q311" s="1">
        <f t="shared" si="140"/>
        <v>0.17499999999999999</v>
      </c>
      <c r="R311" s="1">
        <f t="shared" si="140"/>
        <v>0.125</v>
      </c>
      <c r="S311" s="1">
        <f t="shared" si="140"/>
        <v>7.4999999999999983E-2</v>
      </c>
      <c r="T311" s="1">
        <f t="shared" si="140"/>
        <v>2.4999999999999994E-2</v>
      </c>
      <c r="U311" s="1">
        <f t="shared" si="140"/>
        <v>-2.5000000000000008E-2</v>
      </c>
      <c r="V311" s="1">
        <f t="shared" si="140"/>
        <v>-7.4999999999999789E-2</v>
      </c>
      <c r="W311" s="1">
        <f t="shared" si="140"/>
        <v>-0.125</v>
      </c>
      <c r="X311" s="1">
        <f t="shared" si="140"/>
        <v>-0.17499999999999966</v>
      </c>
      <c r="Y311" s="1">
        <f t="shared" si="140"/>
        <v>-0.22500000000000001</v>
      </c>
      <c r="Z311" s="1">
        <f t="shared" si="140"/>
        <v>-0.27500000000000002</v>
      </c>
      <c r="AA311" s="1">
        <f t="shared" si="140"/>
        <v>-0.32500000000000001</v>
      </c>
      <c r="AB311" s="1">
        <f t="shared" si="140"/>
        <v>-0.375</v>
      </c>
      <c r="AC311" s="1">
        <f t="shared" si="140"/>
        <v>-0.42499999999999999</v>
      </c>
      <c r="AD311" s="1">
        <f t="shared" si="140"/>
        <v>-0.47500000000000003</v>
      </c>
      <c r="AE311" s="1">
        <f t="shared" si="140"/>
        <v>-0.52500000000000002</v>
      </c>
      <c r="AF311" s="1">
        <f t="shared" si="140"/>
        <v>-0.57499999999999996</v>
      </c>
      <c r="AG311" s="1">
        <f t="shared" si="140"/>
        <v>-0.625</v>
      </c>
      <c r="AH311" s="1">
        <f t="shared" si="140"/>
        <v>-0.67500000000000004</v>
      </c>
      <c r="AI311" s="1">
        <f t="shared" si="140"/>
        <v>-0.72500000000000009</v>
      </c>
      <c r="AJ311" s="1">
        <f t="shared" si="140"/>
        <v>-0.77499999999999991</v>
      </c>
      <c r="AK311" s="1">
        <f t="shared" si="140"/>
        <v>-0.82499999999999996</v>
      </c>
      <c r="AL311" s="1">
        <f t="shared" si="140"/>
        <v>-0.875</v>
      </c>
      <c r="AM311" s="1">
        <f t="shared" si="140"/>
        <v>-0.92500000000000004</v>
      </c>
      <c r="AN311" s="1">
        <f t="shared" si="140"/>
        <v>-0.97499999999999942</v>
      </c>
      <c r="AO311" s="1">
        <f t="shared" si="140"/>
        <v>-1.0249999999999999</v>
      </c>
    </row>
    <row r="312" spans="2:41">
      <c r="B312" s="1">
        <f t="shared" ref="B312:AO312" si="141">$U$111-B$107</f>
        <v>0.97499999999999987</v>
      </c>
      <c r="C312" s="1">
        <f t="shared" si="141"/>
        <v>0.92499999999999982</v>
      </c>
      <c r="D312" s="1">
        <f t="shared" si="141"/>
        <v>0.87499999999999989</v>
      </c>
      <c r="E312" s="1">
        <f t="shared" si="141"/>
        <v>0.82499999999999984</v>
      </c>
      <c r="F312" s="1">
        <f t="shared" si="141"/>
        <v>0.77499999999999991</v>
      </c>
      <c r="G312" s="1">
        <f t="shared" si="141"/>
        <v>0.72499999999999987</v>
      </c>
      <c r="H312" s="1">
        <f t="shared" si="141"/>
        <v>0.67499999999999982</v>
      </c>
      <c r="I312" s="1">
        <f t="shared" si="141"/>
        <v>0.62499999999999989</v>
      </c>
      <c r="J312" s="1">
        <f t="shared" si="141"/>
        <v>0.57499999999999984</v>
      </c>
      <c r="K312" s="1">
        <f t="shared" si="141"/>
        <v>0.52499999999999991</v>
      </c>
      <c r="L312" s="1">
        <f t="shared" si="141"/>
        <v>0.47499999999999987</v>
      </c>
      <c r="M312" s="1">
        <f t="shared" si="141"/>
        <v>0.42499999999999988</v>
      </c>
      <c r="N312" s="1">
        <f t="shared" si="141"/>
        <v>0.37499999999999989</v>
      </c>
      <c r="O312" s="1">
        <f t="shared" si="141"/>
        <v>0.32499999999999984</v>
      </c>
      <c r="P312" s="1">
        <f t="shared" si="141"/>
        <v>0.27499999999999986</v>
      </c>
      <c r="Q312" s="1">
        <f t="shared" si="141"/>
        <v>0.22499999999999989</v>
      </c>
      <c r="R312" s="1">
        <f t="shared" si="141"/>
        <v>0.17499999999999991</v>
      </c>
      <c r="S312" s="1">
        <f t="shared" si="141"/>
        <v>0.12499999999999989</v>
      </c>
      <c r="T312" s="1">
        <f t="shared" si="141"/>
        <v>7.49999999999999E-2</v>
      </c>
      <c r="U312" s="1">
        <f t="shared" si="141"/>
        <v>2.499999999999989E-2</v>
      </c>
      <c r="V312" s="1">
        <f t="shared" si="141"/>
        <v>-2.499999999999989E-2</v>
      </c>
      <c r="W312" s="1">
        <f t="shared" si="141"/>
        <v>-7.5000000000000122E-2</v>
      </c>
      <c r="X312" s="1">
        <f t="shared" si="141"/>
        <v>-0.12499999999999975</v>
      </c>
      <c r="Y312" s="1">
        <f t="shared" si="141"/>
        <v>-0.1750000000000001</v>
      </c>
      <c r="Z312" s="1">
        <f t="shared" si="141"/>
        <v>-0.22500000000000012</v>
      </c>
      <c r="AA312" s="1">
        <f t="shared" si="141"/>
        <v>-0.27500000000000013</v>
      </c>
      <c r="AB312" s="1">
        <f t="shared" si="141"/>
        <v>-0.32500000000000012</v>
      </c>
      <c r="AC312" s="1">
        <f t="shared" si="141"/>
        <v>-0.37500000000000011</v>
      </c>
      <c r="AD312" s="1">
        <f t="shared" si="141"/>
        <v>-0.42500000000000016</v>
      </c>
      <c r="AE312" s="1">
        <f t="shared" si="141"/>
        <v>-0.47500000000000014</v>
      </c>
      <c r="AF312" s="1">
        <f t="shared" si="141"/>
        <v>-0.52500000000000013</v>
      </c>
      <c r="AG312" s="1">
        <f t="shared" si="141"/>
        <v>-0.57500000000000018</v>
      </c>
      <c r="AH312" s="1">
        <f t="shared" si="141"/>
        <v>-0.62500000000000011</v>
      </c>
      <c r="AI312" s="1">
        <f t="shared" si="141"/>
        <v>-0.67500000000000016</v>
      </c>
      <c r="AJ312" s="1">
        <f t="shared" si="141"/>
        <v>-0.72500000000000009</v>
      </c>
      <c r="AK312" s="1">
        <f t="shared" si="141"/>
        <v>-0.77500000000000013</v>
      </c>
      <c r="AL312" s="1">
        <f t="shared" si="141"/>
        <v>-0.82500000000000018</v>
      </c>
      <c r="AM312" s="1">
        <f t="shared" si="141"/>
        <v>-0.87500000000000011</v>
      </c>
      <c r="AN312" s="1">
        <f t="shared" si="141"/>
        <v>-0.9249999999999996</v>
      </c>
      <c r="AO312" s="1">
        <f t="shared" si="141"/>
        <v>-0.97500000000000009</v>
      </c>
    </row>
    <row r="313" spans="2:41">
      <c r="B313" s="1">
        <f t="shared" ref="B313:AO313" si="142">$V$111-B$107</f>
        <v>1.0249999999999999</v>
      </c>
      <c r="C313" s="1">
        <f t="shared" si="142"/>
        <v>0.97499999999999987</v>
      </c>
      <c r="D313" s="1">
        <f t="shared" si="142"/>
        <v>0.92499999999999993</v>
      </c>
      <c r="E313" s="1">
        <f t="shared" si="142"/>
        <v>0.87499999999999989</v>
      </c>
      <c r="F313" s="1">
        <f t="shared" si="142"/>
        <v>0.82499999999999996</v>
      </c>
      <c r="G313" s="1">
        <f t="shared" si="142"/>
        <v>0.77499999999999991</v>
      </c>
      <c r="H313" s="1">
        <f t="shared" si="142"/>
        <v>0.72499999999999987</v>
      </c>
      <c r="I313" s="1">
        <f t="shared" si="142"/>
        <v>0.67499999999999993</v>
      </c>
      <c r="J313" s="1">
        <f t="shared" si="142"/>
        <v>0.62499999999999989</v>
      </c>
      <c r="K313" s="1">
        <f t="shared" si="142"/>
        <v>0.57499999999999996</v>
      </c>
      <c r="L313" s="1">
        <f t="shared" si="142"/>
        <v>0.52499999999999991</v>
      </c>
      <c r="M313" s="1">
        <f t="shared" si="142"/>
        <v>0.47499999999999992</v>
      </c>
      <c r="N313" s="1">
        <f t="shared" si="142"/>
        <v>0.42499999999999993</v>
      </c>
      <c r="O313" s="1">
        <f t="shared" si="142"/>
        <v>0.37499999999999989</v>
      </c>
      <c r="P313" s="1">
        <f t="shared" si="142"/>
        <v>0.3249999999999999</v>
      </c>
      <c r="Q313" s="1">
        <f t="shared" si="142"/>
        <v>0.27499999999999991</v>
      </c>
      <c r="R313" s="1">
        <f t="shared" si="142"/>
        <v>0.22499999999999989</v>
      </c>
      <c r="S313" s="1">
        <f t="shared" si="142"/>
        <v>0.17499999999999988</v>
      </c>
      <c r="T313" s="1">
        <f t="shared" si="142"/>
        <v>0.12499999999999989</v>
      </c>
      <c r="U313" s="1">
        <f t="shared" si="142"/>
        <v>7.49999999999999E-2</v>
      </c>
      <c r="V313" s="1">
        <f t="shared" si="142"/>
        <v>2.5000000000000112E-2</v>
      </c>
      <c r="W313" s="1">
        <f t="shared" si="142"/>
        <v>-2.5000000000000112E-2</v>
      </c>
      <c r="X313" s="1">
        <f t="shared" si="142"/>
        <v>-7.4999999999999761E-2</v>
      </c>
      <c r="Y313" s="1">
        <f t="shared" si="142"/>
        <v>-0.12500000000000011</v>
      </c>
      <c r="Z313" s="1">
        <f t="shared" si="142"/>
        <v>-0.17500000000000013</v>
      </c>
      <c r="AA313" s="1">
        <f t="shared" si="142"/>
        <v>-0.22500000000000012</v>
      </c>
      <c r="AB313" s="1">
        <f t="shared" si="142"/>
        <v>-0.27500000000000008</v>
      </c>
      <c r="AC313" s="1">
        <f t="shared" si="142"/>
        <v>-0.32500000000000007</v>
      </c>
      <c r="AD313" s="1">
        <f t="shared" si="142"/>
        <v>-0.37500000000000011</v>
      </c>
      <c r="AE313" s="1">
        <f t="shared" si="142"/>
        <v>-0.4250000000000001</v>
      </c>
      <c r="AF313" s="1">
        <f t="shared" si="142"/>
        <v>-0.47500000000000009</v>
      </c>
      <c r="AG313" s="1">
        <f t="shared" si="142"/>
        <v>-0.52500000000000013</v>
      </c>
      <c r="AH313" s="1">
        <f t="shared" si="142"/>
        <v>-0.57500000000000007</v>
      </c>
      <c r="AI313" s="1">
        <f t="shared" si="142"/>
        <v>-0.62500000000000011</v>
      </c>
      <c r="AJ313" s="1">
        <f t="shared" si="142"/>
        <v>-0.67500000000000004</v>
      </c>
      <c r="AK313" s="1">
        <f t="shared" si="142"/>
        <v>-0.72500000000000009</v>
      </c>
      <c r="AL313" s="1">
        <f t="shared" si="142"/>
        <v>-0.77500000000000013</v>
      </c>
      <c r="AM313" s="1">
        <f t="shared" si="142"/>
        <v>-0.82500000000000007</v>
      </c>
      <c r="AN313" s="1">
        <f t="shared" si="142"/>
        <v>-0.87499999999999956</v>
      </c>
      <c r="AO313" s="1">
        <f t="shared" si="142"/>
        <v>-0.92500000000000004</v>
      </c>
    </row>
    <row r="314" spans="2:41">
      <c r="B314" s="1">
        <f t="shared" ref="B314:AO314" si="143">$W$111-B$107</f>
        <v>1.0749999999999997</v>
      </c>
      <c r="C314" s="1">
        <f t="shared" si="143"/>
        <v>1.0249999999999997</v>
      </c>
      <c r="D314" s="1">
        <f t="shared" si="143"/>
        <v>0.97499999999999987</v>
      </c>
      <c r="E314" s="1">
        <f t="shared" si="143"/>
        <v>0.92499999999999982</v>
      </c>
      <c r="F314" s="1">
        <f t="shared" si="143"/>
        <v>0.87499999999999989</v>
      </c>
      <c r="G314" s="1">
        <f t="shared" si="143"/>
        <v>0.82499999999999984</v>
      </c>
      <c r="H314" s="1">
        <f t="shared" si="143"/>
        <v>0.7749999999999998</v>
      </c>
      <c r="I314" s="1">
        <f t="shared" si="143"/>
        <v>0.72499999999999987</v>
      </c>
      <c r="J314" s="1">
        <f t="shared" si="143"/>
        <v>0.67499999999999982</v>
      </c>
      <c r="K314" s="1">
        <f t="shared" si="143"/>
        <v>0.62499999999999989</v>
      </c>
      <c r="L314" s="1">
        <f t="shared" si="143"/>
        <v>0.57499999999999984</v>
      </c>
      <c r="M314" s="1">
        <f t="shared" si="143"/>
        <v>0.5249999999999998</v>
      </c>
      <c r="N314" s="1">
        <f t="shared" si="143"/>
        <v>0.47499999999999987</v>
      </c>
      <c r="O314" s="1">
        <f t="shared" si="143"/>
        <v>0.42499999999999982</v>
      </c>
      <c r="P314" s="1">
        <f t="shared" si="143"/>
        <v>0.37499999999999978</v>
      </c>
      <c r="Q314" s="1">
        <f t="shared" si="143"/>
        <v>0.32499999999999984</v>
      </c>
      <c r="R314" s="1">
        <f t="shared" si="143"/>
        <v>0.2749999999999998</v>
      </c>
      <c r="S314" s="1">
        <f t="shared" si="143"/>
        <v>0.22499999999999981</v>
      </c>
      <c r="T314" s="1">
        <f t="shared" si="143"/>
        <v>0.17499999999999982</v>
      </c>
      <c r="U314" s="1">
        <f t="shared" si="143"/>
        <v>0.12499999999999982</v>
      </c>
      <c r="V314" s="1">
        <f t="shared" si="143"/>
        <v>7.5000000000000039E-2</v>
      </c>
      <c r="W314" s="1">
        <f t="shared" si="143"/>
        <v>2.4999999999999814E-2</v>
      </c>
      <c r="X314" s="1">
        <f t="shared" si="143"/>
        <v>-2.4999999999999828E-2</v>
      </c>
      <c r="Y314" s="1">
        <f t="shared" si="143"/>
        <v>-7.5000000000000178E-2</v>
      </c>
      <c r="Z314" s="1">
        <f t="shared" si="143"/>
        <v>-0.12500000000000019</v>
      </c>
      <c r="AA314" s="1">
        <f t="shared" si="143"/>
        <v>-0.17500000000000018</v>
      </c>
      <c r="AB314" s="1">
        <f t="shared" si="143"/>
        <v>-0.22500000000000017</v>
      </c>
      <c r="AC314" s="1">
        <f t="shared" si="143"/>
        <v>-0.27500000000000013</v>
      </c>
      <c r="AD314" s="1">
        <f t="shared" si="143"/>
        <v>-0.32500000000000018</v>
      </c>
      <c r="AE314" s="1">
        <f t="shared" si="143"/>
        <v>-0.37500000000000022</v>
      </c>
      <c r="AF314" s="1">
        <f t="shared" si="143"/>
        <v>-0.42500000000000016</v>
      </c>
      <c r="AG314" s="1">
        <f t="shared" si="143"/>
        <v>-0.4750000000000002</v>
      </c>
      <c r="AH314" s="1">
        <f t="shared" si="143"/>
        <v>-0.52500000000000013</v>
      </c>
      <c r="AI314" s="1">
        <f t="shared" si="143"/>
        <v>-0.57500000000000018</v>
      </c>
      <c r="AJ314" s="1">
        <f t="shared" si="143"/>
        <v>-0.62500000000000011</v>
      </c>
      <c r="AK314" s="1">
        <f t="shared" si="143"/>
        <v>-0.67500000000000016</v>
      </c>
      <c r="AL314" s="1">
        <f t="shared" si="143"/>
        <v>-0.7250000000000002</v>
      </c>
      <c r="AM314" s="1">
        <f t="shared" si="143"/>
        <v>-0.77500000000000013</v>
      </c>
      <c r="AN314" s="1">
        <f t="shared" si="143"/>
        <v>-0.82499999999999962</v>
      </c>
      <c r="AO314" s="1">
        <f t="shared" si="143"/>
        <v>-0.87500000000000011</v>
      </c>
    </row>
    <row r="315" spans="2:41">
      <c r="B315" s="1">
        <f t="shared" ref="B315:AO315" si="144">$X$111-B$107</f>
        <v>1.1249999999999998</v>
      </c>
      <c r="C315" s="1">
        <f t="shared" si="144"/>
        <v>1.0749999999999997</v>
      </c>
      <c r="D315" s="1">
        <f t="shared" si="144"/>
        <v>1.0249999999999999</v>
      </c>
      <c r="E315" s="1">
        <f t="shared" si="144"/>
        <v>0.97499999999999976</v>
      </c>
      <c r="F315" s="1">
        <f t="shared" si="144"/>
        <v>0.92499999999999982</v>
      </c>
      <c r="G315" s="1">
        <f t="shared" si="144"/>
        <v>0.87499999999999978</v>
      </c>
      <c r="H315" s="1">
        <f t="shared" si="144"/>
        <v>0.82499999999999973</v>
      </c>
      <c r="I315" s="1">
        <f t="shared" si="144"/>
        <v>0.7749999999999998</v>
      </c>
      <c r="J315" s="1">
        <f t="shared" si="144"/>
        <v>0.72499999999999976</v>
      </c>
      <c r="K315" s="1">
        <f t="shared" si="144"/>
        <v>0.67499999999999982</v>
      </c>
      <c r="L315" s="1">
        <f t="shared" si="144"/>
        <v>0.62499999999999978</v>
      </c>
      <c r="M315" s="1">
        <f t="shared" si="144"/>
        <v>0.57499999999999984</v>
      </c>
      <c r="N315" s="1">
        <f t="shared" si="144"/>
        <v>0.5249999999999998</v>
      </c>
      <c r="O315" s="1">
        <f t="shared" si="144"/>
        <v>0.47499999999999981</v>
      </c>
      <c r="P315" s="1">
        <f t="shared" si="144"/>
        <v>0.42499999999999982</v>
      </c>
      <c r="Q315" s="1">
        <f t="shared" si="144"/>
        <v>0.37499999999999983</v>
      </c>
      <c r="R315" s="1">
        <f t="shared" si="144"/>
        <v>0.32499999999999984</v>
      </c>
      <c r="S315" s="1">
        <f t="shared" si="144"/>
        <v>0.2749999999999998</v>
      </c>
      <c r="T315" s="1">
        <f t="shared" si="144"/>
        <v>0.22499999999999981</v>
      </c>
      <c r="U315" s="1">
        <f t="shared" si="144"/>
        <v>0.17499999999999982</v>
      </c>
      <c r="V315" s="1">
        <f t="shared" si="144"/>
        <v>0.12500000000000006</v>
      </c>
      <c r="W315" s="1">
        <f t="shared" si="144"/>
        <v>7.4999999999999817E-2</v>
      </c>
      <c r="X315" s="1">
        <f t="shared" si="144"/>
        <v>2.5000000000000175E-2</v>
      </c>
      <c r="Y315" s="1">
        <f t="shared" si="144"/>
        <v>-2.5000000000000175E-2</v>
      </c>
      <c r="Z315" s="1">
        <f t="shared" si="144"/>
        <v>-7.5000000000000192E-2</v>
      </c>
      <c r="AA315" s="1">
        <f t="shared" si="144"/>
        <v>-0.12500000000000017</v>
      </c>
      <c r="AB315" s="1">
        <f t="shared" si="144"/>
        <v>-0.17500000000000016</v>
      </c>
      <c r="AC315" s="1">
        <f t="shared" si="144"/>
        <v>-0.22500000000000014</v>
      </c>
      <c r="AD315" s="1">
        <f t="shared" si="144"/>
        <v>-0.27500000000000019</v>
      </c>
      <c r="AE315" s="1">
        <f t="shared" si="144"/>
        <v>-0.32500000000000018</v>
      </c>
      <c r="AF315" s="1">
        <f t="shared" si="144"/>
        <v>-0.37500000000000017</v>
      </c>
      <c r="AG315" s="1">
        <f t="shared" si="144"/>
        <v>-0.42500000000000021</v>
      </c>
      <c r="AH315" s="1">
        <f t="shared" si="144"/>
        <v>-0.47500000000000014</v>
      </c>
      <c r="AI315" s="1">
        <f t="shared" si="144"/>
        <v>-0.52500000000000024</v>
      </c>
      <c r="AJ315" s="1">
        <f t="shared" si="144"/>
        <v>-0.57500000000000018</v>
      </c>
      <c r="AK315" s="1">
        <f t="shared" si="144"/>
        <v>-0.62500000000000022</v>
      </c>
      <c r="AL315" s="1">
        <f t="shared" si="144"/>
        <v>-0.67500000000000027</v>
      </c>
      <c r="AM315" s="1">
        <f t="shared" si="144"/>
        <v>-0.7250000000000002</v>
      </c>
      <c r="AN315" s="1">
        <f t="shared" si="144"/>
        <v>-0.77499999999999969</v>
      </c>
      <c r="AO315" s="1">
        <f t="shared" si="144"/>
        <v>-0.82500000000000018</v>
      </c>
    </row>
    <row r="316" spans="2:41">
      <c r="B316" s="1">
        <f t="shared" ref="B316:AO316" si="145">$Y$111-B$107</f>
        <v>1.175</v>
      </c>
      <c r="C316" s="1">
        <f t="shared" si="145"/>
        <v>1.125</v>
      </c>
      <c r="D316" s="1">
        <f t="shared" si="145"/>
        <v>1.075</v>
      </c>
      <c r="E316" s="1">
        <f t="shared" si="145"/>
        <v>1.0249999999999999</v>
      </c>
      <c r="F316" s="1">
        <f t="shared" si="145"/>
        <v>0.97500000000000009</v>
      </c>
      <c r="G316" s="1">
        <f t="shared" si="145"/>
        <v>0.92500000000000004</v>
      </c>
      <c r="H316" s="1">
        <f t="shared" si="145"/>
        <v>0.875</v>
      </c>
      <c r="I316" s="1">
        <f t="shared" si="145"/>
        <v>0.82499999999999996</v>
      </c>
      <c r="J316" s="1">
        <f t="shared" si="145"/>
        <v>0.77499999999999991</v>
      </c>
      <c r="K316" s="1">
        <f t="shared" si="145"/>
        <v>0.72500000000000009</v>
      </c>
      <c r="L316" s="1">
        <f t="shared" si="145"/>
        <v>0.67500000000000004</v>
      </c>
      <c r="M316" s="1">
        <f t="shared" si="145"/>
        <v>0.625</v>
      </c>
      <c r="N316" s="1">
        <f t="shared" si="145"/>
        <v>0.57499999999999996</v>
      </c>
      <c r="O316" s="1">
        <f t="shared" si="145"/>
        <v>0.52499999999999991</v>
      </c>
      <c r="P316" s="1">
        <f t="shared" si="145"/>
        <v>0.47499999999999998</v>
      </c>
      <c r="Q316" s="1">
        <f t="shared" si="145"/>
        <v>0.42499999999999999</v>
      </c>
      <c r="R316" s="1">
        <f t="shared" si="145"/>
        <v>0.375</v>
      </c>
      <c r="S316" s="1">
        <f t="shared" si="145"/>
        <v>0.32499999999999996</v>
      </c>
      <c r="T316" s="1">
        <f t="shared" si="145"/>
        <v>0.27500000000000002</v>
      </c>
      <c r="U316" s="1">
        <f t="shared" si="145"/>
        <v>0.22499999999999998</v>
      </c>
      <c r="V316" s="1">
        <f t="shared" si="145"/>
        <v>0.17500000000000021</v>
      </c>
      <c r="W316" s="1">
        <f t="shared" si="145"/>
        <v>0.12499999999999999</v>
      </c>
      <c r="X316" s="1">
        <f t="shared" si="145"/>
        <v>7.5000000000000344E-2</v>
      </c>
      <c r="Y316" s="1">
        <f t="shared" si="145"/>
        <v>2.4999999999999994E-2</v>
      </c>
      <c r="Z316" s="1">
        <f t="shared" si="145"/>
        <v>-2.5000000000000022E-2</v>
      </c>
      <c r="AA316" s="1">
        <f t="shared" si="145"/>
        <v>-7.5000000000000011E-2</v>
      </c>
      <c r="AB316" s="1">
        <f t="shared" si="145"/>
        <v>-0.125</v>
      </c>
      <c r="AC316" s="1">
        <f t="shared" si="145"/>
        <v>-0.17499999999999999</v>
      </c>
      <c r="AD316" s="1">
        <f t="shared" si="145"/>
        <v>-0.22500000000000003</v>
      </c>
      <c r="AE316" s="1">
        <f t="shared" si="145"/>
        <v>-0.27500000000000002</v>
      </c>
      <c r="AF316" s="1">
        <f t="shared" si="145"/>
        <v>-0.32500000000000001</v>
      </c>
      <c r="AG316" s="1">
        <f t="shared" si="145"/>
        <v>-0.37500000000000006</v>
      </c>
      <c r="AH316" s="1">
        <f t="shared" si="145"/>
        <v>-0.42499999999999999</v>
      </c>
      <c r="AI316" s="1">
        <f t="shared" si="145"/>
        <v>-0.47500000000000003</v>
      </c>
      <c r="AJ316" s="1">
        <f t="shared" si="145"/>
        <v>-0.52499999999999991</v>
      </c>
      <c r="AK316" s="1">
        <f t="shared" si="145"/>
        <v>-0.57499999999999996</v>
      </c>
      <c r="AL316" s="1">
        <f t="shared" si="145"/>
        <v>-0.625</v>
      </c>
      <c r="AM316" s="1">
        <f t="shared" si="145"/>
        <v>-0.67500000000000004</v>
      </c>
      <c r="AN316" s="1">
        <f t="shared" si="145"/>
        <v>-0.72499999999999942</v>
      </c>
      <c r="AO316" s="1">
        <f t="shared" si="145"/>
        <v>-0.77499999999999991</v>
      </c>
    </row>
    <row r="317" spans="2:41">
      <c r="B317" s="1">
        <f t="shared" ref="B317:AO317" si="146">$Z$111-B$107</f>
        <v>1.2250000000000001</v>
      </c>
      <c r="C317" s="1">
        <f t="shared" si="146"/>
        <v>1.175</v>
      </c>
      <c r="D317" s="1">
        <f t="shared" si="146"/>
        <v>1.125</v>
      </c>
      <c r="E317" s="1">
        <f t="shared" si="146"/>
        <v>1.075</v>
      </c>
      <c r="F317" s="1">
        <f t="shared" si="146"/>
        <v>1.0250000000000001</v>
      </c>
      <c r="G317" s="1">
        <f t="shared" si="146"/>
        <v>0.97499999999999998</v>
      </c>
      <c r="H317" s="1">
        <f t="shared" si="146"/>
        <v>0.92499999999999993</v>
      </c>
      <c r="I317" s="1">
        <f t="shared" si="146"/>
        <v>0.875</v>
      </c>
      <c r="J317" s="1">
        <f t="shared" si="146"/>
        <v>0.82499999999999996</v>
      </c>
      <c r="K317" s="1">
        <f t="shared" si="146"/>
        <v>0.77500000000000002</v>
      </c>
      <c r="L317" s="1">
        <f t="shared" si="146"/>
        <v>0.72499999999999998</v>
      </c>
      <c r="M317" s="1">
        <f t="shared" si="146"/>
        <v>0.67500000000000004</v>
      </c>
      <c r="N317" s="1">
        <f t="shared" si="146"/>
        <v>0.625</v>
      </c>
      <c r="O317" s="1">
        <f t="shared" si="146"/>
        <v>0.57499999999999996</v>
      </c>
      <c r="P317" s="1">
        <f t="shared" si="146"/>
        <v>0.52500000000000002</v>
      </c>
      <c r="Q317" s="1">
        <f t="shared" si="146"/>
        <v>0.47499999999999998</v>
      </c>
      <c r="R317" s="1">
        <f t="shared" si="146"/>
        <v>0.42500000000000004</v>
      </c>
      <c r="S317" s="1">
        <f t="shared" si="146"/>
        <v>0.375</v>
      </c>
      <c r="T317" s="1">
        <f t="shared" si="146"/>
        <v>0.32500000000000001</v>
      </c>
      <c r="U317" s="1">
        <f t="shared" si="146"/>
        <v>0.27500000000000002</v>
      </c>
      <c r="V317" s="1">
        <f t="shared" si="146"/>
        <v>0.22500000000000023</v>
      </c>
      <c r="W317" s="1">
        <f t="shared" si="146"/>
        <v>0.17499999999999999</v>
      </c>
      <c r="X317" s="1">
        <f t="shared" si="146"/>
        <v>0.12500000000000036</v>
      </c>
      <c r="Y317" s="1">
        <f t="shared" si="146"/>
        <v>7.5000000000000011E-2</v>
      </c>
      <c r="Z317" s="1">
        <f t="shared" si="146"/>
        <v>2.4999999999999994E-2</v>
      </c>
      <c r="AA317" s="1">
        <f t="shared" si="146"/>
        <v>-2.4999999999999994E-2</v>
      </c>
      <c r="AB317" s="1">
        <f t="shared" si="146"/>
        <v>-7.4999999999999983E-2</v>
      </c>
      <c r="AC317" s="1">
        <f t="shared" si="146"/>
        <v>-0.12499999999999997</v>
      </c>
      <c r="AD317" s="1">
        <f t="shared" si="146"/>
        <v>-0.17500000000000002</v>
      </c>
      <c r="AE317" s="1">
        <f t="shared" si="146"/>
        <v>-0.22500000000000001</v>
      </c>
      <c r="AF317" s="1">
        <f t="shared" si="146"/>
        <v>-0.27500000000000002</v>
      </c>
      <c r="AG317" s="1">
        <f t="shared" si="146"/>
        <v>-0.32500000000000007</v>
      </c>
      <c r="AH317" s="1">
        <f t="shared" si="146"/>
        <v>-0.375</v>
      </c>
      <c r="AI317" s="1">
        <f t="shared" si="146"/>
        <v>-0.42500000000000004</v>
      </c>
      <c r="AJ317" s="1">
        <f t="shared" si="146"/>
        <v>-0.47499999999999998</v>
      </c>
      <c r="AK317" s="1">
        <f t="shared" si="146"/>
        <v>-0.52500000000000002</v>
      </c>
      <c r="AL317" s="1">
        <f t="shared" si="146"/>
        <v>-0.57500000000000007</v>
      </c>
      <c r="AM317" s="1">
        <f t="shared" si="146"/>
        <v>-0.625</v>
      </c>
      <c r="AN317" s="1">
        <f t="shared" si="146"/>
        <v>-0.67499999999999949</v>
      </c>
      <c r="AO317" s="1">
        <f t="shared" si="146"/>
        <v>-0.72499999999999998</v>
      </c>
    </row>
    <row r="318" spans="2:41">
      <c r="B318" s="1">
        <f t="shared" ref="B318:AO318" si="147">$AA$111-B$107</f>
        <v>1.2749999999999999</v>
      </c>
      <c r="C318" s="1">
        <f t="shared" si="147"/>
        <v>1.2250000000000001</v>
      </c>
      <c r="D318" s="1">
        <f t="shared" si="147"/>
        <v>1.175</v>
      </c>
      <c r="E318" s="1">
        <f t="shared" si="147"/>
        <v>1.125</v>
      </c>
      <c r="F318" s="1">
        <f t="shared" si="147"/>
        <v>1.0750000000000002</v>
      </c>
      <c r="G318" s="1">
        <f t="shared" si="147"/>
        <v>1.0249999999999999</v>
      </c>
      <c r="H318" s="1">
        <f t="shared" si="147"/>
        <v>0.97499999999999998</v>
      </c>
      <c r="I318" s="1">
        <f t="shared" si="147"/>
        <v>0.92500000000000004</v>
      </c>
      <c r="J318" s="1">
        <f t="shared" si="147"/>
        <v>0.875</v>
      </c>
      <c r="K318" s="1">
        <f t="shared" si="147"/>
        <v>0.82500000000000007</v>
      </c>
      <c r="L318" s="1">
        <f t="shared" si="147"/>
        <v>0.77500000000000002</v>
      </c>
      <c r="M318" s="1">
        <f t="shared" si="147"/>
        <v>0.72500000000000009</v>
      </c>
      <c r="N318" s="1">
        <f t="shared" si="147"/>
        <v>0.67500000000000004</v>
      </c>
      <c r="O318" s="1">
        <f t="shared" si="147"/>
        <v>0.625</v>
      </c>
      <c r="P318" s="1">
        <f t="shared" si="147"/>
        <v>0.57499999999999996</v>
      </c>
      <c r="Q318" s="1">
        <f t="shared" si="147"/>
        <v>0.52500000000000002</v>
      </c>
      <c r="R318" s="1">
        <f t="shared" si="147"/>
        <v>0.47500000000000003</v>
      </c>
      <c r="S318" s="1">
        <f t="shared" si="147"/>
        <v>0.42500000000000004</v>
      </c>
      <c r="T318" s="1">
        <f t="shared" si="147"/>
        <v>0.375</v>
      </c>
      <c r="U318" s="1">
        <f t="shared" si="147"/>
        <v>0.32500000000000001</v>
      </c>
      <c r="V318" s="1">
        <f t="shared" si="147"/>
        <v>0.27500000000000024</v>
      </c>
      <c r="W318" s="1">
        <f t="shared" si="147"/>
        <v>0.22500000000000003</v>
      </c>
      <c r="X318" s="1">
        <f t="shared" si="147"/>
        <v>0.17500000000000038</v>
      </c>
      <c r="Y318" s="1">
        <f t="shared" si="147"/>
        <v>0.12500000000000003</v>
      </c>
      <c r="Z318" s="1">
        <f t="shared" si="147"/>
        <v>7.5000000000000011E-2</v>
      </c>
      <c r="AA318" s="1">
        <f t="shared" si="147"/>
        <v>2.5000000000000022E-2</v>
      </c>
      <c r="AB318" s="1">
        <f t="shared" si="147"/>
        <v>-2.4999999999999967E-2</v>
      </c>
      <c r="AC318" s="1">
        <f t="shared" si="147"/>
        <v>-7.4999999999999956E-2</v>
      </c>
      <c r="AD318" s="1">
        <f t="shared" si="147"/>
        <v>-0.125</v>
      </c>
      <c r="AE318" s="1">
        <f t="shared" si="147"/>
        <v>-0.17499999999999999</v>
      </c>
      <c r="AF318" s="1">
        <f t="shared" si="147"/>
        <v>-0.22499999999999998</v>
      </c>
      <c r="AG318" s="1">
        <f t="shared" si="147"/>
        <v>-0.27500000000000002</v>
      </c>
      <c r="AH318" s="1">
        <f t="shared" si="147"/>
        <v>-0.32499999999999996</v>
      </c>
      <c r="AI318" s="1">
        <f t="shared" si="147"/>
        <v>-0.375</v>
      </c>
      <c r="AJ318" s="1">
        <f t="shared" si="147"/>
        <v>-0.42499999999999993</v>
      </c>
      <c r="AK318" s="1">
        <f t="shared" si="147"/>
        <v>-0.47499999999999998</v>
      </c>
      <c r="AL318" s="1">
        <f t="shared" si="147"/>
        <v>-0.52500000000000002</v>
      </c>
      <c r="AM318" s="1">
        <f t="shared" si="147"/>
        <v>-0.57499999999999996</v>
      </c>
      <c r="AN318" s="1">
        <f t="shared" si="147"/>
        <v>-0.62499999999999944</v>
      </c>
      <c r="AO318" s="1">
        <f t="shared" si="147"/>
        <v>-0.67499999999999993</v>
      </c>
    </row>
    <row r="319" spans="2:41">
      <c r="B319" s="1">
        <f t="shared" ref="B319:AO319" si="148">$AB$111-B$107</f>
        <v>1.325</v>
      </c>
      <c r="C319" s="1">
        <f t="shared" si="148"/>
        <v>1.2749999999999999</v>
      </c>
      <c r="D319" s="1">
        <f t="shared" si="148"/>
        <v>1.2250000000000001</v>
      </c>
      <c r="E319" s="1">
        <f t="shared" si="148"/>
        <v>1.1749999999999998</v>
      </c>
      <c r="F319" s="1">
        <f t="shared" si="148"/>
        <v>1.125</v>
      </c>
      <c r="G319" s="1">
        <f t="shared" si="148"/>
        <v>1.075</v>
      </c>
      <c r="H319" s="1">
        <f t="shared" si="148"/>
        <v>1.0249999999999999</v>
      </c>
      <c r="I319" s="1">
        <f t="shared" si="148"/>
        <v>0.97499999999999998</v>
      </c>
      <c r="J319" s="1">
        <f t="shared" si="148"/>
        <v>0.92499999999999993</v>
      </c>
      <c r="K319" s="1">
        <f t="shared" si="148"/>
        <v>0.875</v>
      </c>
      <c r="L319" s="1">
        <f t="shared" si="148"/>
        <v>0.82499999999999996</v>
      </c>
      <c r="M319" s="1">
        <f t="shared" si="148"/>
        <v>0.77499999999999991</v>
      </c>
      <c r="N319" s="1">
        <f t="shared" si="148"/>
        <v>0.72499999999999998</v>
      </c>
      <c r="O319" s="1">
        <f t="shared" si="148"/>
        <v>0.67499999999999993</v>
      </c>
      <c r="P319" s="1">
        <f t="shared" si="148"/>
        <v>0.625</v>
      </c>
      <c r="Q319" s="1">
        <f t="shared" si="148"/>
        <v>0.57499999999999996</v>
      </c>
      <c r="R319" s="1">
        <f t="shared" si="148"/>
        <v>0.52499999999999991</v>
      </c>
      <c r="S319" s="1">
        <f t="shared" si="148"/>
        <v>0.47499999999999998</v>
      </c>
      <c r="T319" s="1">
        <f t="shared" si="148"/>
        <v>0.42499999999999993</v>
      </c>
      <c r="U319" s="1">
        <f t="shared" si="148"/>
        <v>0.37499999999999994</v>
      </c>
      <c r="V319" s="1">
        <f t="shared" si="148"/>
        <v>0.32500000000000018</v>
      </c>
      <c r="W319" s="1">
        <f t="shared" si="148"/>
        <v>0.27499999999999997</v>
      </c>
      <c r="X319" s="1">
        <f t="shared" si="148"/>
        <v>0.22500000000000031</v>
      </c>
      <c r="Y319" s="1">
        <f t="shared" si="148"/>
        <v>0.17499999999999996</v>
      </c>
      <c r="Z319" s="1">
        <f t="shared" si="148"/>
        <v>0.12499999999999994</v>
      </c>
      <c r="AA319" s="1">
        <f t="shared" si="148"/>
        <v>7.4999999999999956E-2</v>
      </c>
      <c r="AB319" s="1">
        <f t="shared" si="148"/>
        <v>2.4999999999999967E-2</v>
      </c>
      <c r="AC319" s="1">
        <f t="shared" si="148"/>
        <v>-2.5000000000000022E-2</v>
      </c>
      <c r="AD319" s="1">
        <f t="shared" si="148"/>
        <v>-7.5000000000000067E-2</v>
      </c>
      <c r="AE319" s="1">
        <f t="shared" si="148"/>
        <v>-0.12500000000000006</v>
      </c>
      <c r="AF319" s="1">
        <f t="shared" si="148"/>
        <v>-0.17500000000000004</v>
      </c>
      <c r="AG319" s="1">
        <f t="shared" si="148"/>
        <v>-0.22500000000000009</v>
      </c>
      <c r="AH319" s="1">
        <f t="shared" si="148"/>
        <v>-0.27500000000000002</v>
      </c>
      <c r="AI319" s="1">
        <f t="shared" si="148"/>
        <v>-0.32500000000000007</v>
      </c>
      <c r="AJ319" s="1">
        <f t="shared" si="148"/>
        <v>-0.375</v>
      </c>
      <c r="AK319" s="1">
        <f t="shared" si="148"/>
        <v>-0.42500000000000004</v>
      </c>
      <c r="AL319" s="1">
        <f t="shared" si="148"/>
        <v>-0.47500000000000009</v>
      </c>
      <c r="AM319" s="1">
        <f t="shared" si="148"/>
        <v>-0.52500000000000002</v>
      </c>
      <c r="AN319" s="1">
        <f t="shared" si="148"/>
        <v>-0.57499999999999951</v>
      </c>
      <c r="AO319" s="1">
        <f t="shared" si="148"/>
        <v>-0.625</v>
      </c>
    </row>
    <row r="320" spans="2:41">
      <c r="B320" s="1">
        <f t="shared" ref="B320:AO320" si="149">$AC$111-B$107</f>
        <v>1.375</v>
      </c>
      <c r="C320" s="1">
        <f t="shared" si="149"/>
        <v>1.325</v>
      </c>
      <c r="D320" s="1">
        <f t="shared" si="149"/>
        <v>1.2749999999999999</v>
      </c>
      <c r="E320" s="1">
        <f t="shared" si="149"/>
        <v>1.2250000000000001</v>
      </c>
      <c r="F320" s="1">
        <f t="shared" si="149"/>
        <v>1.175</v>
      </c>
      <c r="G320" s="1">
        <f t="shared" si="149"/>
        <v>1.125</v>
      </c>
      <c r="H320" s="1">
        <f t="shared" si="149"/>
        <v>1.075</v>
      </c>
      <c r="I320" s="1">
        <f t="shared" si="149"/>
        <v>1.0249999999999999</v>
      </c>
      <c r="J320" s="1">
        <f t="shared" si="149"/>
        <v>0.97499999999999998</v>
      </c>
      <c r="K320" s="1">
        <f t="shared" si="149"/>
        <v>0.92500000000000004</v>
      </c>
      <c r="L320" s="1">
        <f t="shared" si="149"/>
        <v>0.875</v>
      </c>
      <c r="M320" s="1">
        <f t="shared" si="149"/>
        <v>0.82499999999999996</v>
      </c>
      <c r="N320" s="1">
        <f t="shared" si="149"/>
        <v>0.77500000000000002</v>
      </c>
      <c r="O320" s="1">
        <f t="shared" si="149"/>
        <v>0.72499999999999998</v>
      </c>
      <c r="P320" s="1">
        <f t="shared" si="149"/>
        <v>0.67500000000000004</v>
      </c>
      <c r="Q320" s="1">
        <f t="shared" si="149"/>
        <v>0.625</v>
      </c>
      <c r="R320" s="1">
        <f t="shared" si="149"/>
        <v>0.57499999999999996</v>
      </c>
      <c r="S320" s="1">
        <f t="shared" si="149"/>
        <v>0.52500000000000002</v>
      </c>
      <c r="T320" s="1">
        <f t="shared" si="149"/>
        <v>0.47499999999999998</v>
      </c>
      <c r="U320" s="1">
        <f t="shared" si="149"/>
        <v>0.42499999999999999</v>
      </c>
      <c r="V320" s="1">
        <f t="shared" si="149"/>
        <v>0.37500000000000022</v>
      </c>
      <c r="W320" s="1">
        <f t="shared" si="149"/>
        <v>0.32500000000000001</v>
      </c>
      <c r="X320" s="1">
        <f t="shared" si="149"/>
        <v>0.27500000000000036</v>
      </c>
      <c r="Y320" s="1">
        <f t="shared" si="149"/>
        <v>0.22500000000000001</v>
      </c>
      <c r="Z320" s="1">
        <f t="shared" si="149"/>
        <v>0.17499999999999999</v>
      </c>
      <c r="AA320" s="1">
        <f t="shared" si="149"/>
        <v>0.125</v>
      </c>
      <c r="AB320" s="1">
        <f t="shared" si="149"/>
        <v>7.5000000000000011E-2</v>
      </c>
      <c r="AC320" s="1">
        <f t="shared" si="149"/>
        <v>2.5000000000000022E-2</v>
      </c>
      <c r="AD320" s="1">
        <f t="shared" si="149"/>
        <v>-2.5000000000000022E-2</v>
      </c>
      <c r="AE320" s="1">
        <f t="shared" si="149"/>
        <v>-7.5000000000000011E-2</v>
      </c>
      <c r="AF320" s="1">
        <f t="shared" si="149"/>
        <v>-0.125</v>
      </c>
      <c r="AG320" s="1">
        <f t="shared" si="149"/>
        <v>-0.17500000000000004</v>
      </c>
      <c r="AH320" s="1">
        <f t="shared" si="149"/>
        <v>-0.22499999999999998</v>
      </c>
      <c r="AI320" s="1">
        <f t="shared" si="149"/>
        <v>-0.27500000000000002</v>
      </c>
      <c r="AJ320" s="1">
        <f t="shared" si="149"/>
        <v>-0.32499999999999996</v>
      </c>
      <c r="AK320" s="1">
        <f t="shared" si="149"/>
        <v>-0.375</v>
      </c>
      <c r="AL320" s="1">
        <f t="shared" si="149"/>
        <v>-0.42500000000000004</v>
      </c>
      <c r="AM320" s="1">
        <f t="shared" si="149"/>
        <v>-0.47499999999999998</v>
      </c>
      <c r="AN320" s="1">
        <f t="shared" si="149"/>
        <v>-0.52499999999999947</v>
      </c>
      <c r="AO320" s="1">
        <f t="shared" si="149"/>
        <v>-0.57499999999999996</v>
      </c>
    </row>
    <row r="321" spans="2:41">
      <c r="B321" s="1">
        <f t="shared" ref="B321:AO321" si="150">$AD$111-B$107</f>
        <v>1.425</v>
      </c>
      <c r="C321" s="1">
        <f t="shared" si="150"/>
        <v>1.375</v>
      </c>
      <c r="D321" s="1">
        <f t="shared" si="150"/>
        <v>1.3250000000000002</v>
      </c>
      <c r="E321" s="1">
        <f t="shared" si="150"/>
        <v>1.2749999999999999</v>
      </c>
      <c r="F321" s="1">
        <f t="shared" si="150"/>
        <v>1.2250000000000001</v>
      </c>
      <c r="G321" s="1">
        <f t="shared" si="150"/>
        <v>1.175</v>
      </c>
      <c r="H321" s="1">
        <f t="shared" si="150"/>
        <v>1.125</v>
      </c>
      <c r="I321" s="1">
        <f t="shared" si="150"/>
        <v>1.0750000000000002</v>
      </c>
      <c r="J321" s="1">
        <f t="shared" si="150"/>
        <v>1.0249999999999999</v>
      </c>
      <c r="K321" s="1">
        <f t="shared" si="150"/>
        <v>0.97500000000000009</v>
      </c>
      <c r="L321" s="1">
        <f t="shared" si="150"/>
        <v>0.92500000000000004</v>
      </c>
      <c r="M321" s="1">
        <f t="shared" si="150"/>
        <v>0.875</v>
      </c>
      <c r="N321" s="1">
        <f t="shared" si="150"/>
        <v>0.82500000000000007</v>
      </c>
      <c r="O321" s="1">
        <f t="shared" si="150"/>
        <v>0.77500000000000002</v>
      </c>
      <c r="P321" s="1">
        <f t="shared" si="150"/>
        <v>0.72500000000000009</v>
      </c>
      <c r="Q321" s="1">
        <f t="shared" si="150"/>
        <v>0.67500000000000004</v>
      </c>
      <c r="R321" s="1">
        <f t="shared" si="150"/>
        <v>0.625</v>
      </c>
      <c r="S321" s="1">
        <f t="shared" si="150"/>
        <v>0.57500000000000007</v>
      </c>
      <c r="T321" s="1">
        <f t="shared" si="150"/>
        <v>0.52500000000000002</v>
      </c>
      <c r="U321" s="1">
        <f t="shared" si="150"/>
        <v>0.47500000000000003</v>
      </c>
      <c r="V321" s="1">
        <f t="shared" si="150"/>
        <v>0.42500000000000027</v>
      </c>
      <c r="W321" s="1">
        <f t="shared" si="150"/>
        <v>0.37500000000000006</v>
      </c>
      <c r="X321" s="1">
        <f t="shared" si="150"/>
        <v>0.3250000000000004</v>
      </c>
      <c r="Y321" s="1">
        <f t="shared" si="150"/>
        <v>0.27500000000000002</v>
      </c>
      <c r="Z321" s="1">
        <f t="shared" si="150"/>
        <v>0.22500000000000003</v>
      </c>
      <c r="AA321" s="1">
        <f t="shared" si="150"/>
        <v>0.17500000000000004</v>
      </c>
      <c r="AB321" s="1">
        <f t="shared" si="150"/>
        <v>0.12500000000000006</v>
      </c>
      <c r="AC321" s="1">
        <f t="shared" si="150"/>
        <v>7.5000000000000067E-2</v>
      </c>
      <c r="AD321" s="1">
        <f t="shared" si="150"/>
        <v>2.5000000000000022E-2</v>
      </c>
      <c r="AE321" s="1">
        <f t="shared" si="150"/>
        <v>-2.4999999999999967E-2</v>
      </c>
      <c r="AF321" s="1">
        <f t="shared" si="150"/>
        <v>-7.4999999999999956E-2</v>
      </c>
      <c r="AG321" s="1">
        <f t="shared" si="150"/>
        <v>-0.125</v>
      </c>
      <c r="AH321" s="1">
        <f t="shared" si="150"/>
        <v>-0.17499999999999993</v>
      </c>
      <c r="AI321" s="1">
        <f t="shared" si="150"/>
        <v>-0.22499999999999998</v>
      </c>
      <c r="AJ321" s="1">
        <f t="shared" si="150"/>
        <v>-0.27499999999999991</v>
      </c>
      <c r="AK321" s="1">
        <f t="shared" si="150"/>
        <v>-0.32499999999999996</v>
      </c>
      <c r="AL321" s="1">
        <f t="shared" si="150"/>
        <v>-0.375</v>
      </c>
      <c r="AM321" s="1">
        <f t="shared" si="150"/>
        <v>-0.42499999999999993</v>
      </c>
      <c r="AN321" s="1">
        <f t="shared" si="150"/>
        <v>-0.47499999999999942</v>
      </c>
      <c r="AO321" s="1">
        <f t="shared" si="150"/>
        <v>-0.52499999999999991</v>
      </c>
    </row>
    <row r="322" spans="2:41">
      <c r="B322" s="1">
        <f t="shared" ref="B322:AO322" si="151">$AE$111-B$107</f>
        <v>1.4750000000000001</v>
      </c>
      <c r="C322" s="1">
        <f t="shared" si="151"/>
        <v>1.4249999999999998</v>
      </c>
      <c r="D322" s="1">
        <f t="shared" si="151"/>
        <v>1.375</v>
      </c>
      <c r="E322" s="1">
        <f t="shared" si="151"/>
        <v>1.325</v>
      </c>
      <c r="F322" s="1">
        <f t="shared" si="151"/>
        <v>1.2749999999999999</v>
      </c>
      <c r="G322" s="1">
        <f t="shared" si="151"/>
        <v>1.2250000000000001</v>
      </c>
      <c r="H322" s="1">
        <f t="shared" si="151"/>
        <v>1.1749999999999998</v>
      </c>
      <c r="I322" s="1">
        <f t="shared" si="151"/>
        <v>1.125</v>
      </c>
      <c r="J322" s="1">
        <f t="shared" si="151"/>
        <v>1.075</v>
      </c>
      <c r="K322" s="1">
        <f t="shared" si="151"/>
        <v>1.0249999999999999</v>
      </c>
      <c r="L322" s="1">
        <f t="shared" si="151"/>
        <v>0.97499999999999998</v>
      </c>
      <c r="M322" s="1">
        <f t="shared" si="151"/>
        <v>0.92500000000000004</v>
      </c>
      <c r="N322" s="1">
        <f t="shared" si="151"/>
        <v>0.875</v>
      </c>
      <c r="O322" s="1">
        <f t="shared" si="151"/>
        <v>0.82499999999999996</v>
      </c>
      <c r="P322" s="1">
        <f t="shared" si="151"/>
        <v>0.77499999999999991</v>
      </c>
      <c r="Q322" s="1">
        <f t="shared" si="151"/>
        <v>0.72499999999999998</v>
      </c>
      <c r="R322" s="1">
        <f t="shared" si="151"/>
        <v>0.67500000000000004</v>
      </c>
      <c r="S322" s="1">
        <f t="shared" si="151"/>
        <v>0.625</v>
      </c>
      <c r="T322" s="1">
        <f t="shared" si="151"/>
        <v>0.57499999999999996</v>
      </c>
      <c r="U322" s="1">
        <f t="shared" si="151"/>
        <v>0.52500000000000002</v>
      </c>
      <c r="V322" s="1">
        <f t="shared" si="151"/>
        <v>0.4750000000000002</v>
      </c>
      <c r="W322" s="1">
        <f t="shared" si="151"/>
        <v>0.42499999999999999</v>
      </c>
      <c r="X322" s="1">
        <f t="shared" si="151"/>
        <v>0.37500000000000033</v>
      </c>
      <c r="Y322" s="1">
        <f t="shared" si="151"/>
        <v>0.32499999999999996</v>
      </c>
      <c r="Z322" s="1">
        <f t="shared" si="151"/>
        <v>0.27499999999999997</v>
      </c>
      <c r="AA322" s="1">
        <f t="shared" si="151"/>
        <v>0.22499999999999998</v>
      </c>
      <c r="AB322" s="1">
        <f t="shared" si="151"/>
        <v>0.17499999999999999</v>
      </c>
      <c r="AC322" s="1">
        <f t="shared" si="151"/>
        <v>0.125</v>
      </c>
      <c r="AD322" s="1">
        <f t="shared" si="151"/>
        <v>7.4999999999999956E-2</v>
      </c>
      <c r="AE322" s="1">
        <f t="shared" si="151"/>
        <v>2.4999999999999967E-2</v>
      </c>
      <c r="AF322" s="1">
        <f t="shared" si="151"/>
        <v>-2.5000000000000022E-2</v>
      </c>
      <c r="AG322" s="1">
        <f t="shared" si="151"/>
        <v>-7.5000000000000067E-2</v>
      </c>
      <c r="AH322" s="1">
        <f t="shared" si="151"/>
        <v>-0.125</v>
      </c>
      <c r="AI322" s="1">
        <f t="shared" si="151"/>
        <v>-0.17500000000000004</v>
      </c>
      <c r="AJ322" s="1">
        <f t="shared" si="151"/>
        <v>-0.22499999999999998</v>
      </c>
      <c r="AK322" s="1">
        <f t="shared" si="151"/>
        <v>-0.27500000000000002</v>
      </c>
      <c r="AL322" s="1">
        <f t="shared" si="151"/>
        <v>-0.32500000000000007</v>
      </c>
      <c r="AM322" s="1">
        <f t="shared" si="151"/>
        <v>-0.375</v>
      </c>
      <c r="AN322" s="1">
        <f t="shared" si="151"/>
        <v>-0.42499999999999949</v>
      </c>
      <c r="AO322" s="1">
        <f t="shared" si="151"/>
        <v>-0.47499999999999998</v>
      </c>
    </row>
    <row r="323" spans="2:41">
      <c r="B323" s="1">
        <f t="shared" ref="B323:AO323" si="152">$AF$111-B$107</f>
        <v>1.5249999999999999</v>
      </c>
      <c r="C323" s="1">
        <f t="shared" si="152"/>
        <v>1.4750000000000001</v>
      </c>
      <c r="D323" s="1">
        <f t="shared" si="152"/>
        <v>1.425</v>
      </c>
      <c r="E323" s="1">
        <f t="shared" si="152"/>
        <v>1.375</v>
      </c>
      <c r="F323" s="1">
        <f t="shared" si="152"/>
        <v>1.3250000000000002</v>
      </c>
      <c r="G323" s="1">
        <f t="shared" si="152"/>
        <v>1.2749999999999999</v>
      </c>
      <c r="H323" s="1">
        <f t="shared" si="152"/>
        <v>1.2250000000000001</v>
      </c>
      <c r="I323" s="1">
        <f t="shared" si="152"/>
        <v>1.175</v>
      </c>
      <c r="J323" s="1">
        <f t="shared" si="152"/>
        <v>1.125</v>
      </c>
      <c r="K323" s="1">
        <f t="shared" si="152"/>
        <v>1.0750000000000002</v>
      </c>
      <c r="L323" s="1">
        <f t="shared" si="152"/>
        <v>1.0249999999999999</v>
      </c>
      <c r="M323" s="1">
        <f t="shared" si="152"/>
        <v>0.97500000000000009</v>
      </c>
      <c r="N323" s="1">
        <f t="shared" si="152"/>
        <v>0.92500000000000004</v>
      </c>
      <c r="O323" s="1">
        <f t="shared" si="152"/>
        <v>0.875</v>
      </c>
      <c r="P323" s="1">
        <f t="shared" si="152"/>
        <v>0.82499999999999996</v>
      </c>
      <c r="Q323" s="1">
        <f t="shared" si="152"/>
        <v>0.77500000000000002</v>
      </c>
      <c r="R323" s="1">
        <f t="shared" si="152"/>
        <v>0.72500000000000009</v>
      </c>
      <c r="S323" s="1">
        <f t="shared" si="152"/>
        <v>0.67500000000000004</v>
      </c>
      <c r="T323" s="1">
        <f t="shared" si="152"/>
        <v>0.625</v>
      </c>
      <c r="U323" s="1">
        <f t="shared" si="152"/>
        <v>0.57500000000000007</v>
      </c>
      <c r="V323" s="1">
        <f t="shared" si="152"/>
        <v>0.52500000000000024</v>
      </c>
      <c r="W323" s="1">
        <f t="shared" si="152"/>
        <v>0.47500000000000003</v>
      </c>
      <c r="X323" s="1">
        <f t="shared" si="152"/>
        <v>0.42500000000000038</v>
      </c>
      <c r="Y323" s="1">
        <f t="shared" si="152"/>
        <v>0.375</v>
      </c>
      <c r="Z323" s="1">
        <f t="shared" si="152"/>
        <v>0.32500000000000001</v>
      </c>
      <c r="AA323" s="1">
        <f t="shared" si="152"/>
        <v>0.27500000000000002</v>
      </c>
      <c r="AB323" s="1">
        <f t="shared" si="152"/>
        <v>0.22500000000000003</v>
      </c>
      <c r="AC323" s="1">
        <f t="shared" si="152"/>
        <v>0.17500000000000004</v>
      </c>
      <c r="AD323" s="1">
        <f t="shared" si="152"/>
        <v>0.125</v>
      </c>
      <c r="AE323" s="1">
        <f t="shared" si="152"/>
        <v>7.5000000000000011E-2</v>
      </c>
      <c r="AF323" s="1">
        <f t="shared" si="152"/>
        <v>2.5000000000000022E-2</v>
      </c>
      <c r="AG323" s="1">
        <f t="shared" si="152"/>
        <v>-2.5000000000000022E-2</v>
      </c>
      <c r="AH323" s="1">
        <f t="shared" si="152"/>
        <v>-7.4999999999999956E-2</v>
      </c>
      <c r="AI323" s="1">
        <f t="shared" si="152"/>
        <v>-0.125</v>
      </c>
      <c r="AJ323" s="1">
        <f t="shared" si="152"/>
        <v>-0.17499999999999993</v>
      </c>
      <c r="AK323" s="1">
        <f t="shared" si="152"/>
        <v>-0.22499999999999998</v>
      </c>
      <c r="AL323" s="1">
        <f t="shared" si="152"/>
        <v>-0.27500000000000002</v>
      </c>
      <c r="AM323" s="1">
        <f t="shared" si="152"/>
        <v>-0.32499999999999996</v>
      </c>
      <c r="AN323" s="1">
        <f t="shared" si="152"/>
        <v>-0.37499999999999944</v>
      </c>
      <c r="AO323" s="1">
        <f t="shared" si="152"/>
        <v>-0.42499999999999993</v>
      </c>
    </row>
    <row r="324" spans="2:41">
      <c r="B324" s="1">
        <f t="shared" ref="B324:AO324" si="153">$AG$111-B$107</f>
        <v>1.575</v>
      </c>
      <c r="C324" s="1">
        <f t="shared" si="153"/>
        <v>1.5249999999999999</v>
      </c>
      <c r="D324" s="1">
        <f t="shared" si="153"/>
        <v>1.4750000000000001</v>
      </c>
      <c r="E324" s="1">
        <f t="shared" si="153"/>
        <v>1.4249999999999998</v>
      </c>
      <c r="F324" s="1">
        <f t="shared" si="153"/>
        <v>1.375</v>
      </c>
      <c r="G324" s="1">
        <f t="shared" si="153"/>
        <v>1.325</v>
      </c>
      <c r="H324" s="1">
        <f t="shared" si="153"/>
        <v>1.2749999999999999</v>
      </c>
      <c r="I324" s="1">
        <f t="shared" si="153"/>
        <v>1.2250000000000001</v>
      </c>
      <c r="J324" s="1">
        <f t="shared" si="153"/>
        <v>1.1749999999999998</v>
      </c>
      <c r="K324" s="1">
        <f t="shared" si="153"/>
        <v>1.125</v>
      </c>
      <c r="L324" s="1">
        <f t="shared" si="153"/>
        <v>1.075</v>
      </c>
      <c r="M324" s="1">
        <f t="shared" si="153"/>
        <v>1.0249999999999999</v>
      </c>
      <c r="N324" s="1">
        <f t="shared" si="153"/>
        <v>0.97499999999999998</v>
      </c>
      <c r="O324" s="1">
        <f t="shared" si="153"/>
        <v>0.92499999999999993</v>
      </c>
      <c r="P324" s="1">
        <f t="shared" si="153"/>
        <v>0.875</v>
      </c>
      <c r="Q324" s="1">
        <f t="shared" si="153"/>
        <v>0.82499999999999996</v>
      </c>
      <c r="R324" s="1">
        <f t="shared" si="153"/>
        <v>0.77499999999999991</v>
      </c>
      <c r="S324" s="1">
        <f t="shared" si="153"/>
        <v>0.72499999999999998</v>
      </c>
      <c r="T324" s="1">
        <f t="shared" si="153"/>
        <v>0.67499999999999993</v>
      </c>
      <c r="U324" s="1">
        <f t="shared" si="153"/>
        <v>0.625</v>
      </c>
      <c r="V324" s="1">
        <f t="shared" si="153"/>
        <v>0.57500000000000018</v>
      </c>
      <c r="W324" s="1">
        <f t="shared" si="153"/>
        <v>0.52499999999999991</v>
      </c>
      <c r="X324" s="1">
        <f t="shared" si="153"/>
        <v>0.47500000000000031</v>
      </c>
      <c r="Y324" s="1">
        <f t="shared" si="153"/>
        <v>0.42499999999999993</v>
      </c>
      <c r="Z324" s="1">
        <f t="shared" si="153"/>
        <v>0.37499999999999994</v>
      </c>
      <c r="AA324" s="1">
        <f t="shared" si="153"/>
        <v>0.32499999999999996</v>
      </c>
      <c r="AB324" s="1">
        <f t="shared" si="153"/>
        <v>0.27499999999999997</v>
      </c>
      <c r="AC324" s="1">
        <f t="shared" si="153"/>
        <v>0.22499999999999998</v>
      </c>
      <c r="AD324" s="1">
        <f t="shared" si="153"/>
        <v>0.17499999999999993</v>
      </c>
      <c r="AE324" s="1">
        <f t="shared" si="153"/>
        <v>0.12499999999999994</v>
      </c>
      <c r="AF324" s="1">
        <f t="shared" si="153"/>
        <v>7.4999999999999956E-2</v>
      </c>
      <c r="AG324" s="1">
        <f t="shared" si="153"/>
        <v>2.4999999999999911E-2</v>
      </c>
      <c r="AH324" s="1">
        <f t="shared" si="153"/>
        <v>-2.5000000000000022E-2</v>
      </c>
      <c r="AI324" s="1">
        <f t="shared" si="153"/>
        <v>-7.5000000000000067E-2</v>
      </c>
      <c r="AJ324" s="1">
        <f t="shared" si="153"/>
        <v>-0.125</v>
      </c>
      <c r="AK324" s="1">
        <f t="shared" si="153"/>
        <v>-0.17500000000000004</v>
      </c>
      <c r="AL324" s="1">
        <f t="shared" si="153"/>
        <v>-0.22500000000000009</v>
      </c>
      <c r="AM324" s="1">
        <f t="shared" si="153"/>
        <v>-0.27500000000000002</v>
      </c>
      <c r="AN324" s="1">
        <f t="shared" si="153"/>
        <v>-0.32499999999999951</v>
      </c>
      <c r="AO324" s="1">
        <f t="shared" si="153"/>
        <v>-0.375</v>
      </c>
    </row>
    <row r="325" spans="2:41">
      <c r="B325" s="1">
        <f t="shared" ref="B325:AO325" si="154">$AH$111-B$107</f>
        <v>1.625</v>
      </c>
      <c r="C325" s="1">
        <f t="shared" si="154"/>
        <v>1.575</v>
      </c>
      <c r="D325" s="1">
        <f t="shared" si="154"/>
        <v>1.5249999999999999</v>
      </c>
      <c r="E325" s="1">
        <f t="shared" si="154"/>
        <v>1.4750000000000001</v>
      </c>
      <c r="F325" s="1">
        <f t="shared" si="154"/>
        <v>1.425</v>
      </c>
      <c r="G325" s="1">
        <f t="shared" si="154"/>
        <v>1.375</v>
      </c>
      <c r="H325" s="1">
        <f t="shared" si="154"/>
        <v>1.325</v>
      </c>
      <c r="I325" s="1">
        <f t="shared" si="154"/>
        <v>1.2749999999999999</v>
      </c>
      <c r="J325" s="1">
        <f t="shared" si="154"/>
        <v>1.2250000000000001</v>
      </c>
      <c r="K325" s="1">
        <f t="shared" si="154"/>
        <v>1.175</v>
      </c>
      <c r="L325" s="1">
        <f t="shared" si="154"/>
        <v>1.125</v>
      </c>
      <c r="M325" s="1">
        <f t="shared" si="154"/>
        <v>1.075</v>
      </c>
      <c r="N325" s="1">
        <f t="shared" si="154"/>
        <v>1.0249999999999999</v>
      </c>
      <c r="O325" s="1">
        <f t="shared" si="154"/>
        <v>0.97499999999999998</v>
      </c>
      <c r="P325" s="1">
        <f t="shared" si="154"/>
        <v>0.92500000000000004</v>
      </c>
      <c r="Q325" s="1">
        <f t="shared" si="154"/>
        <v>0.875</v>
      </c>
      <c r="R325" s="1">
        <f t="shared" si="154"/>
        <v>0.82499999999999996</v>
      </c>
      <c r="S325" s="1">
        <f t="shared" si="154"/>
        <v>0.77500000000000002</v>
      </c>
      <c r="T325" s="1">
        <f t="shared" si="154"/>
        <v>0.72499999999999998</v>
      </c>
      <c r="U325" s="1">
        <f t="shared" si="154"/>
        <v>0.67500000000000004</v>
      </c>
      <c r="V325" s="1">
        <f t="shared" si="154"/>
        <v>0.62500000000000022</v>
      </c>
      <c r="W325" s="1">
        <f t="shared" si="154"/>
        <v>0.57499999999999996</v>
      </c>
      <c r="X325" s="1">
        <f t="shared" si="154"/>
        <v>0.52500000000000036</v>
      </c>
      <c r="Y325" s="1">
        <f t="shared" si="154"/>
        <v>0.47499999999999998</v>
      </c>
      <c r="Z325" s="1">
        <f t="shared" si="154"/>
        <v>0.42499999999999999</v>
      </c>
      <c r="AA325" s="1">
        <f t="shared" si="154"/>
        <v>0.375</v>
      </c>
      <c r="AB325" s="1">
        <f t="shared" si="154"/>
        <v>0.32500000000000001</v>
      </c>
      <c r="AC325" s="1">
        <f t="shared" si="154"/>
        <v>0.27500000000000002</v>
      </c>
      <c r="AD325" s="1">
        <f t="shared" si="154"/>
        <v>0.22499999999999998</v>
      </c>
      <c r="AE325" s="1">
        <f t="shared" si="154"/>
        <v>0.17499999999999999</v>
      </c>
      <c r="AF325" s="1">
        <f t="shared" si="154"/>
        <v>0.125</v>
      </c>
      <c r="AG325" s="1">
        <f t="shared" si="154"/>
        <v>7.4999999999999956E-2</v>
      </c>
      <c r="AH325" s="1">
        <f t="shared" si="154"/>
        <v>2.5000000000000022E-2</v>
      </c>
      <c r="AI325" s="1">
        <f t="shared" si="154"/>
        <v>-2.5000000000000022E-2</v>
      </c>
      <c r="AJ325" s="1">
        <f t="shared" si="154"/>
        <v>-7.4999999999999956E-2</v>
      </c>
      <c r="AK325" s="1">
        <f t="shared" si="154"/>
        <v>-0.125</v>
      </c>
      <c r="AL325" s="1">
        <f t="shared" si="154"/>
        <v>-0.17500000000000004</v>
      </c>
      <c r="AM325" s="1">
        <f t="shared" si="154"/>
        <v>-0.22499999999999998</v>
      </c>
      <c r="AN325" s="1">
        <f t="shared" si="154"/>
        <v>-0.27499999999999947</v>
      </c>
      <c r="AO325" s="1">
        <f t="shared" si="154"/>
        <v>-0.32499999999999996</v>
      </c>
    </row>
    <row r="326" spans="2:41">
      <c r="B326" s="1">
        <f t="shared" ref="B326:AO326" si="155">$AI$111-B$107</f>
        <v>1.675</v>
      </c>
      <c r="C326" s="1">
        <f t="shared" si="155"/>
        <v>1.625</v>
      </c>
      <c r="D326" s="1">
        <f t="shared" si="155"/>
        <v>1.5750000000000002</v>
      </c>
      <c r="E326" s="1">
        <f t="shared" si="155"/>
        <v>1.5249999999999999</v>
      </c>
      <c r="F326" s="1">
        <f t="shared" si="155"/>
        <v>1.4750000000000001</v>
      </c>
      <c r="G326" s="1">
        <f t="shared" si="155"/>
        <v>1.425</v>
      </c>
      <c r="H326" s="1">
        <f t="shared" si="155"/>
        <v>1.375</v>
      </c>
      <c r="I326" s="1">
        <f t="shared" si="155"/>
        <v>1.3250000000000002</v>
      </c>
      <c r="J326" s="1">
        <f t="shared" si="155"/>
        <v>1.2749999999999999</v>
      </c>
      <c r="K326" s="1">
        <f t="shared" si="155"/>
        <v>1.2250000000000001</v>
      </c>
      <c r="L326" s="1">
        <f t="shared" si="155"/>
        <v>1.175</v>
      </c>
      <c r="M326" s="1">
        <f t="shared" si="155"/>
        <v>1.125</v>
      </c>
      <c r="N326" s="1">
        <f t="shared" si="155"/>
        <v>1.0750000000000002</v>
      </c>
      <c r="O326" s="1">
        <f t="shared" si="155"/>
        <v>1.0249999999999999</v>
      </c>
      <c r="P326" s="1">
        <f t="shared" si="155"/>
        <v>0.97500000000000009</v>
      </c>
      <c r="Q326" s="1">
        <f t="shared" si="155"/>
        <v>0.92500000000000004</v>
      </c>
      <c r="R326" s="1">
        <f t="shared" si="155"/>
        <v>0.875</v>
      </c>
      <c r="S326" s="1">
        <f t="shared" si="155"/>
        <v>0.82500000000000007</v>
      </c>
      <c r="T326" s="1">
        <f t="shared" si="155"/>
        <v>0.77500000000000002</v>
      </c>
      <c r="U326" s="1">
        <f t="shared" si="155"/>
        <v>0.72500000000000009</v>
      </c>
      <c r="V326" s="1">
        <f t="shared" si="155"/>
        <v>0.67500000000000027</v>
      </c>
      <c r="W326" s="1">
        <f t="shared" si="155"/>
        <v>0.625</v>
      </c>
      <c r="X326" s="1">
        <f t="shared" si="155"/>
        <v>0.5750000000000004</v>
      </c>
      <c r="Y326" s="1">
        <f t="shared" si="155"/>
        <v>0.52500000000000002</v>
      </c>
      <c r="Z326" s="1">
        <f t="shared" si="155"/>
        <v>0.47500000000000003</v>
      </c>
      <c r="AA326" s="1">
        <f t="shared" si="155"/>
        <v>0.42500000000000004</v>
      </c>
      <c r="AB326" s="1">
        <f t="shared" si="155"/>
        <v>0.37500000000000006</v>
      </c>
      <c r="AC326" s="1">
        <f t="shared" si="155"/>
        <v>0.32500000000000007</v>
      </c>
      <c r="AD326" s="1">
        <f t="shared" si="155"/>
        <v>0.27500000000000002</v>
      </c>
      <c r="AE326" s="1">
        <f t="shared" si="155"/>
        <v>0.22500000000000003</v>
      </c>
      <c r="AF326" s="1">
        <f t="shared" si="155"/>
        <v>0.17500000000000004</v>
      </c>
      <c r="AG326" s="1">
        <f t="shared" si="155"/>
        <v>0.125</v>
      </c>
      <c r="AH326" s="1">
        <f t="shared" si="155"/>
        <v>7.5000000000000067E-2</v>
      </c>
      <c r="AI326" s="1">
        <f t="shared" si="155"/>
        <v>2.5000000000000022E-2</v>
      </c>
      <c r="AJ326" s="1">
        <f t="shared" si="155"/>
        <v>-2.4999999999999911E-2</v>
      </c>
      <c r="AK326" s="1">
        <f t="shared" si="155"/>
        <v>-7.4999999999999956E-2</v>
      </c>
      <c r="AL326" s="1">
        <f t="shared" si="155"/>
        <v>-0.125</v>
      </c>
      <c r="AM326" s="1">
        <f t="shared" si="155"/>
        <v>-0.17499999999999993</v>
      </c>
      <c r="AN326" s="1">
        <f t="shared" si="155"/>
        <v>-0.22499999999999942</v>
      </c>
      <c r="AO326" s="1">
        <f t="shared" si="155"/>
        <v>-0.27499999999999991</v>
      </c>
    </row>
    <row r="327" spans="2:41">
      <c r="B327" s="1">
        <f t="shared" ref="B327:AO327" si="156">$AJ$111-B$107</f>
        <v>1.7250000000000001</v>
      </c>
      <c r="C327" s="1">
        <f t="shared" si="156"/>
        <v>1.6749999999999998</v>
      </c>
      <c r="D327" s="1">
        <f t="shared" si="156"/>
        <v>1.625</v>
      </c>
      <c r="E327" s="1">
        <f t="shared" si="156"/>
        <v>1.575</v>
      </c>
      <c r="F327" s="1">
        <f t="shared" si="156"/>
        <v>1.5249999999999999</v>
      </c>
      <c r="G327" s="1">
        <f t="shared" si="156"/>
        <v>1.4750000000000001</v>
      </c>
      <c r="H327" s="1">
        <f t="shared" si="156"/>
        <v>1.4249999999999998</v>
      </c>
      <c r="I327" s="1">
        <f t="shared" si="156"/>
        <v>1.375</v>
      </c>
      <c r="J327" s="1">
        <f t="shared" si="156"/>
        <v>1.325</v>
      </c>
      <c r="K327" s="1">
        <f t="shared" si="156"/>
        <v>1.2749999999999999</v>
      </c>
      <c r="L327" s="1">
        <f t="shared" si="156"/>
        <v>1.2250000000000001</v>
      </c>
      <c r="M327" s="1">
        <f t="shared" si="156"/>
        <v>1.175</v>
      </c>
      <c r="N327" s="1">
        <f t="shared" si="156"/>
        <v>1.125</v>
      </c>
      <c r="O327" s="1">
        <f t="shared" si="156"/>
        <v>1.075</v>
      </c>
      <c r="P327" s="1">
        <f t="shared" si="156"/>
        <v>1.0249999999999999</v>
      </c>
      <c r="Q327" s="1">
        <f t="shared" si="156"/>
        <v>0.97499999999999998</v>
      </c>
      <c r="R327" s="1">
        <f t="shared" si="156"/>
        <v>0.92500000000000004</v>
      </c>
      <c r="S327" s="1">
        <f t="shared" si="156"/>
        <v>0.875</v>
      </c>
      <c r="T327" s="1">
        <f t="shared" si="156"/>
        <v>0.82499999999999996</v>
      </c>
      <c r="U327" s="1">
        <f t="shared" si="156"/>
        <v>0.77500000000000002</v>
      </c>
      <c r="V327" s="1">
        <f t="shared" si="156"/>
        <v>0.7250000000000002</v>
      </c>
      <c r="W327" s="1">
        <f t="shared" si="156"/>
        <v>0.67499999999999993</v>
      </c>
      <c r="X327" s="1">
        <f t="shared" si="156"/>
        <v>0.62500000000000033</v>
      </c>
      <c r="Y327" s="1">
        <f t="shared" si="156"/>
        <v>0.57499999999999996</v>
      </c>
      <c r="Z327" s="1">
        <f t="shared" si="156"/>
        <v>0.52499999999999991</v>
      </c>
      <c r="AA327" s="1">
        <f t="shared" si="156"/>
        <v>0.47499999999999998</v>
      </c>
      <c r="AB327" s="1">
        <f t="shared" si="156"/>
        <v>0.42499999999999999</v>
      </c>
      <c r="AC327" s="1">
        <f t="shared" si="156"/>
        <v>0.375</v>
      </c>
      <c r="AD327" s="1">
        <f t="shared" si="156"/>
        <v>0.32499999999999996</v>
      </c>
      <c r="AE327" s="1">
        <f t="shared" si="156"/>
        <v>0.27499999999999997</v>
      </c>
      <c r="AF327" s="1">
        <f t="shared" si="156"/>
        <v>0.22499999999999998</v>
      </c>
      <c r="AG327" s="1">
        <f t="shared" si="156"/>
        <v>0.17499999999999993</v>
      </c>
      <c r="AH327" s="1">
        <f t="shared" si="156"/>
        <v>0.125</v>
      </c>
      <c r="AI327" s="1">
        <f t="shared" si="156"/>
        <v>7.4999999999999956E-2</v>
      </c>
      <c r="AJ327" s="1">
        <f t="shared" si="156"/>
        <v>2.5000000000000022E-2</v>
      </c>
      <c r="AK327" s="1">
        <f t="shared" si="156"/>
        <v>-2.5000000000000022E-2</v>
      </c>
      <c r="AL327" s="1">
        <f t="shared" si="156"/>
        <v>-7.5000000000000067E-2</v>
      </c>
      <c r="AM327" s="1">
        <f t="shared" si="156"/>
        <v>-0.125</v>
      </c>
      <c r="AN327" s="1">
        <f t="shared" si="156"/>
        <v>-0.17499999999999949</v>
      </c>
      <c r="AO327" s="1">
        <f t="shared" si="156"/>
        <v>-0.22499999999999998</v>
      </c>
    </row>
    <row r="328" spans="2:41">
      <c r="B328" s="1">
        <f t="shared" ref="B328:AO328" si="157">$AK$111-B$107</f>
        <v>1.7749999999999999</v>
      </c>
      <c r="C328" s="1">
        <f t="shared" si="157"/>
        <v>1.7250000000000001</v>
      </c>
      <c r="D328" s="1">
        <f t="shared" si="157"/>
        <v>1.675</v>
      </c>
      <c r="E328" s="1">
        <f t="shared" si="157"/>
        <v>1.625</v>
      </c>
      <c r="F328" s="1">
        <f t="shared" si="157"/>
        <v>1.5750000000000002</v>
      </c>
      <c r="G328" s="1">
        <f t="shared" si="157"/>
        <v>1.5249999999999999</v>
      </c>
      <c r="H328" s="1">
        <f t="shared" si="157"/>
        <v>1.4750000000000001</v>
      </c>
      <c r="I328" s="1">
        <f t="shared" si="157"/>
        <v>1.425</v>
      </c>
      <c r="J328" s="1">
        <f t="shared" si="157"/>
        <v>1.375</v>
      </c>
      <c r="K328" s="1">
        <f t="shared" si="157"/>
        <v>1.3250000000000002</v>
      </c>
      <c r="L328" s="1">
        <f t="shared" si="157"/>
        <v>1.2749999999999999</v>
      </c>
      <c r="M328" s="1">
        <f t="shared" si="157"/>
        <v>1.2250000000000001</v>
      </c>
      <c r="N328" s="1">
        <f t="shared" si="157"/>
        <v>1.175</v>
      </c>
      <c r="O328" s="1">
        <f t="shared" si="157"/>
        <v>1.125</v>
      </c>
      <c r="P328" s="1">
        <f t="shared" si="157"/>
        <v>1.075</v>
      </c>
      <c r="Q328" s="1">
        <f t="shared" si="157"/>
        <v>1.0249999999999999</v>
      </c>
      <c r="R328" s="1">
        <f t="shared" si="157"/>
        <v>0.97500000000000009</v>
      </c>
      <c r="S328" s="1">
        <f t="shared" si="157"/>
        <v>0.92500000000000004</v>
      </c>
      <c r="T328" s="1">
        <f t="shared" si="157"/>
        <v>0.875</v>
      </c>
      <c r="U328" s="1">
        <f t="shared" si="157"/>
        <v>0.82500000000000007</v>
      </c>
      <c r="V328" s="1">
        <f t="shared" si="157"/>
        <v>0.77500000000000024</v>
      </c>
      <c r="W328" s="1">
        <f t="shared" si="157"/>
        <v>0.72499999999999998</v>
      </c>
      <c r="X328" s="1">
        <f t="shared" si="157"/>
        <v>0.67500000000000038</v>
      </c>
      <c r="Y328" s="1">
        <f t="shared" si="157"/>
        <v>0.625</v>
      </c>
      <c r="Z328" s="1">
        <f t="shared" si="157"/>
        <v>0.57499999999999996</v>
      </c>
      <c r="AA328" s="1">
        <f t="shared" si="157"/>
        <v>0.52500000000000002</v>
      </c>
      <c r="AB328" s="1">
        <f t="shared" si="157"/>
        <v>0.47500000000000003</v>
      </c>
      <c r="AC328" s="1">
        <f t="shared" si="157"/>
        <v>0.42500000000000004</v>
      </c>
      <c r="AD328" s="1">
        <f t="shared" si="157"/>
        <v>0.375</v>
      </c>
      <c r="AE328" s="1">
        <f t="shared" si="157"/>
        <v>0.32500000000000001</v>
      </c>
      <c r="AF328" s="1">
        <f t="shared" si="157"/>
        <v>0.27500000000000002</v>
      </c>
      <c r="AG328" s="1">
        <f t="shared" si="157"/>
        <v>0.22499999999999998</v>
      </c>
      <c r="AH328" s="1">
        <f t="shared" si="157"/>
        <v>0.17500000000000004</v>
      </c>
      <c r="AI328" s="1">
        <f t="shared" si="157"/>
        <v>0.125</v>
      </c>
      <c r="AJ328" s="1">
        <f t="shared" si="157"/>
        <v>7.5000000000000067E-2</v>
      </c>
      <c r="AK328" s="1">
        <f t="shared" si="157"/>
        <v>2.5000000000000022E-2</v>
      </c>
      <c r="AL328" s="1">
        <f t="shared" si="157"/>
        <v>-2.5000000000000022E-2</v>
      </c>
      <c r="AM328" s="1">
        <f t="shared" si="157"/>
        <v>-7.4999999999999956E-2</v>
      </c>
      <c r="AN328" s="1">
        <f t="shared" si="157"/>
        <v>-0.12499999999999944</v>
      </c>
      <c r="AO328" s="1">
        <f t="shared" si="157"/>
        <v>-0.17499999999999993</v>
      </c>
    </row>
    <row r="329" spans="2:41">
      <c r="B329" s="1">
        <f t="shared" ref="B329:AO329" si="158">$AL$111-B$107</f>
        <v>1.825</v>
      </c>
      <c r="C329" s="1">
        <f t="shared" si="158"/>
        <v>1.7749999999999999</v>
      </c>
      <c r="D329" s="1">
        <f t="shared" si="158"/>
        <v>1.7250000000000001</v>
      </c>
      <c r="E329" s="1">
        <f t="shared" si="158"/>
        <v>1.6749999999999998</v>
      </c>
      <c r="F329" s="1">
        <f t="shared" si="158"/>
        <v>1.625</v>
      </c>
      <c r="G329" s="1">
        <f t="shared" si="158"/>
        <v>1.575</v>
      </c>
      <c r="H329" s="1">
        <f t="shared" si="158"/>
        <v>1.5249999999999999</v>
      </c>
      <c r="I329" s="1">
        <f t="shared" si="158"/>
        <v>1.4750000000000001</v>
      </c>
      <c r="J329" s="1">
        <f t="shared" si="158"/>
        <v>1.4249999999999998</v>
      </c>
      <c r="K329" s="1">
        <f t="shared" si="158"/>
        <v>1.375</v>
      </c>
      <c r="L329" s="1">
        <f t="shared" si="158"/>
        <v>1.325</v>
      </c>
      <c r="M329" s="1">
        <f t="shared" si="158"/>
        <v>1.2749999999999999</v>
      </c>
      <c r="N329" s="1">
        <f t="shared" si="158"/>
        <v>1.2250000000000001</v>
      </c>
      <c r="O329" s="1">
        <f t="shared" si="158"/>
        <v>1.1749999999999998</v>
      </c>
      <c r="P329" s="1">
        <f t="shared" si="158"/>
        <v>1.125</v>
      </c>
      <c r="Q329" s="1">
        <f t="shared" si="158"/>
        <v>1.075</v>
      </c>
      <c r="R329" s="1">
        <f t="shared" si="158"/>
        <v>1.0249999999999999</v>
      </c>
      <c r="S329" s="1">
        <f t="shared" si="158"/>
        <v>0.97499999999999998</v>
      </c>
      <c r="T329" s="1">
        <f t="shared" si="158"/>
        <v>0.92499999999999993</v>
      </c>
      <c r="U329" s="1">
        <f t="shared" si="158"/>
        <v>0.875</v>
      </c>
      <c r="V329" s="1">
        <f t="shared" si="158"/>
        <v>0.82500000000000018</v>
      </c>
      <c r="W329" s="1">
        <f t="shared" si="158"/>
        <v>0.77499999999999991</v>
      </c>
      <c r="X329" s="1">
        <f t="shared" si="158"/>
        <v>0.72500000000000031</v>
      </c>
      <c r="Y329" s="1">
        <f t="shared" si="158"/>
        <v>0.67499999999999993</v>
      </c>
      <c r="Z329" s="1">
        <f t="shared" si="158"/>
        <v>0.625</v>
      </c>
      <c r="AA329" s="1">
        <f t="shared" si="158"/>
        <v>0.57499999999999996</v>
      </c>
      <c r="AB329" s="1">
        <f t="shared" si="158"/>
        <v>0.52499999999999991</v>
      </c>
      <c r="AC329" s="1">
        <f t="shared" si="158"/>
        <v>0.47499999999999998</v>
      </c>
      <c r="AD329" s="1">
        <f t="shared" si="158"/>
        <v>0.42499999999999993</v>
      </c>
      <c r="AE329" s="1">
        <f t="shared" si="158"/>
        <v>0.37499999999999994</v>
      </c>
      <c r="AF329" s="1">
        <f t="shared" si="158"/>
        <v>0.32499999999999996</v>
      </c>
      <c r="AG329" s="1">
        <f t="shared" si="158"/>
        <v>0.27499999999999991</v>
      </c>
      <c r="AH329" s="1">
        <f t="shared" si="158"/>
        <v>0.22499999999999998</v>
      </c>
      <c r="AI329" s="1">
        <f t="shared" si="158"/>
        <v>0.17499999999999993</v>
      </c>
      <c r="AJ329" s="1">
        <f t="shared" si="158"/>
        <v>0.125</v>
      </c>
      <c r="AK329" s="1">
        <f t="shared" si="158"/>
        <v>7.4999999999999956E-2</v>
      </c>
      <c r="AL329" s="1">
        <f t="shared" si="158"/>
        <v>2.4999999999999911E-2</v>
      </c>
      <c r="AM329" s="1">
        <f t="shared" si="158"/>
        <v>-2.5000000000000022E-2</v>
      </c>
      <c r="AN329" s="1">
        <f t="shared" si="158"/>
        <v>-7.4999999999999512E-2</v>
      </c>
      <c r="AO329" s="1">
        <f t="shared" si="158"/>
        <v>-0.125</v>
      </c>
    </row>
    <row r="330" spans="2:41">
      <c r="B330" s="1">
        <f t="shared" ref="B330:AO330" si="159">$AM$111-B$107</f>
        <v>1.8749999999999998</v>
      </c>
      <c r="C330" s="1">
        <f t="shared" si="159"/>
        <v>1.8249999999999997</v>
      </c>
      <c r="D330" s="1">
        <f t="shared" si="159"/>
        <v>1.7749999999999999</v>
      </c>
      <c r="E330" s="1">
        <f t="shared" si="159"/>
        <v>1.7249999999999996</v>
      </c>
      <c r="F330" s="1">
        <f t="shared" si="159"/>
        <v>1.6749999999999998</v>
      </c>
      <c r="G330" s="1">
        <f t="shared" si="159"/>
        <v>1.6249999999999998</v>
      </c>
      <c r="H330" s="1">
        <f t="shared" si="159"/>
        <v>1.5749999999999997</v>
      </c>
      <c r="I330" s="1">
        <f t="shared" si="159"/>
        <v>1.5249999999999999</v>
      </c>
      <c r="J330" s="1">
        <f t="shared" si="159"/>
        <v>1.4749999999999996</v>
      </c>
      <c r="K330" s="1">
        <f t="shared" si="159"/>
        <v>1.4249999999999998</v>
      </c>
      <c r="L330" s="1">
        <f t="shared" si="159"/>
        <v>1.3749999999999998</v>
      </c>
      <c r="M330" s="1">
        <f t="shared" si="159"/>
        <v>1.3249999999999997</v>
      </c>
      <c r="N330" s="1">
        <f t="shared" si="159"/>
        <v>1.2749999999999999</v>
      </c>
      <c r="O330" s="1">
        <f t="shared" si="159"/>
        <v>1.2249999999999996</v>
      </c>
      <c r="P330" s="1">
        <f t="shared" si="159"/>
        <v>1.1749999999999998</v>
      </c>
      <c r="Q330" s="1">
        <f t="shared" si="159"/>
        <v>1.1249999999999998</v>
      </c>
      <c r="R330" s="1">
        <f t="shared" si="159"/>
        <v>1.0749999999999997</v>
      </c>
      <c r="S330" s="1">
        <f t="shared" si="159"/>
        <v>1.0249999999999997</v>
      </c>
      <c r="T330" s="1">
        <f t="shared" si="159"/>
        <v>0.97499999999999976</v>
      </c>
      <c r="U330" s="1">
        <f t="shared" si="159"/>
        <v>0.92499999999999982</v>
      </c>
      <c r="V330" s="1">
        <f t="shared" si="159"/>
        <v>0.875</v>
      </c>
      <c r="W330" s="1">
        <f t="shared" si="159"/>
        <v>0.82499999999999973</v>
      </c>
      <c r="X330" s="1">
        <f t="shared" si="159"/>
        <v>0.77500000000000013</v>
      </c>
      <c r="Y330" s="1">
        <f t="shared" si="159"/>
        <v>0.72499999999999976</v>
      </c>
      <c r="Z330" s="1">
        <f t="shared" si="159"/>
        <v>0.67499999999999982</v>
      </c>
      <c r="AA330" s="1">
        <f t="shared" si="159"/>
        <v>0.62499999999999978</v>
      </c>
      <c r="AB330" s="1">
        <f t="shared" si="159"/>
        <v>0.57499999999999973</v>
      </c>
      <c r="AC330" s="1">
        <f t="shared" si="159"/>
        <v>0.5249999999999998</v>
      </c>
      <c r="AD330" s="1">
        <f t="shared" si="159"/>
        <v>0.47499999999999976</v>
      </c>
      <c r="AE330" s="1">
        <f t="shared" si="159"/>
        <v>0.42499999999999977</v>
      </c>
      <c r="AF330" s="1">
        <f t="shared" si="159"/>
        <v>0.37499999999999978</v>
      </c>
      <c r="AG330" s="1">
        <f t="shared" si="159"/>
        <v>0.32499999999999973</v>
      </c>
      <c r="AH330" s="1">
        <f t="shared" si="159"/>
        <v>0.2749999999999998</v>
      </c>
      <c r="AI330" s="1">
        <f t="shared" si="159"/>
        <v>0.22499999999999976</v>
      </c>
      <c r="AJ330" s="1">
        <f t="shared" si="159"/>
        <v>0.17499999999999982</v>
      </c>
      <c r="AK330" s="1">
        <f t="shared" si="159"/>
        <v>0.12499999999999978</v>
      </c>
      <c r="AL330" s="1">
        <f t="shared" si="159"/>
        <v>7.4999999999999734E-2</v>
      </c>
      <c r="AM330" s="1">
        <f t="shared" si="159"/>
        <v>2.49999999999998E-2</v>
      </c>
      <c r="AN330" s="1">
        <f t="shared" si="159"/>
        <v>-2.4999999999999689E-2</v>
      </c>
      <c r="AO330" s="1">
        <f t="shared" si="159"/>
        <v>-7.5000000000000178E-2</v>
      </c>
    </row>
    <row r="331" spans="2:41">
      <c r="B331" s="1">
        <f t="shared" ref="B331:AO331" si="160">$AN$111-B$107</f>
        <v>1.9249999999999998</v>
      </c>
      <c r="C331" s="1">
        <f t="shared" si="160"/>
        <v>1.8749999999999996</v>
      </c>
      <c r="D331" s="1">
        <f t="shared" si="160"/>
        <v>1.8249999999999997</v>
      </c>
      <c r="E331" s="1">
        <f t="shared" si="160"/>
        <v>1.7749999999999997</v>
      </c>
      <c r="F331" s="1">
        <f t="shared" si="160"/>
        <v>1.7249999999999996</v>
      </c>
      <c r="G331" s="1">
        <f t="shared" si="160"/>
        <v>1.6749999999999998</v>
      </c>
      <c r="H331" s="1">
        <f t="shared" si="160"/>
        <v>1.6249999999999996</v>
      </c>
      <c r="I331" s="1">
        <f t="shared" si="160"/>
        <v>1.5749999999999997</v>
      </c>
      <c r="J331" s="1">
        <f t="shared" si="160"/>
        <v>1.5249999999999997</v>
      </c>
      <c r="K331" s="1">
        <f t="shared" si="160"/>
        <v>1.4749999999999996</v>
      </c>
      <c r="L331" s="1">
        <f t="shared" si="160"/>
        <v>1.4249999999999998</v>
      </c>
      <c r="M331" s="1">
        <f t="shared" si="160"/>
        <v>1.3749999999999998</v>
      </c>
      <c r="N331" s="1">
        <f t="shared" si="160"/>
        <v>1.3249999999999997</v>
      </c>
      <c r="O331" s="1">
        <f t="shared" si="160"/>
        <v>1.2749999999999997</v>
      </c>
      <c r="P331" s="1">
        <f t="shared" si="160"/>
        <v>1.2249999999999996</v>
      </c>
      <c r="Q331" s="1">
        <f t="shared" si="160"/>
        <v>1.1749999999999998</v>
      </c>
      <c r="R331" s="1">
        <f t="shared" si="160"/>
        <v>1.1249999999999998</v>
      </c>
      <c r="S331" s="1">
        <f t="shared" si="160"/>
        <v>1.0749999999999997</v>
      </c>
      <c r="T331" s="1">
        <f t="shared" si="160"/>
        <v>1.0249999999999997</v>
      </c>
      <c r="U331" s="1">
        <f t="shared" si="160"/>
        <v>0.97499999999999976</v>
      </c>
      <c r="V331" s="1">
        <f t="shared" si="160"/>
        <v>0.92499999999999993</v>
      </c>
      <c r="W331" s="1">
        <f t="shared" si="160"/>
        <v>0.87499999999999967</v>
      </c>
      <c r="X331" s="1">
        <f t="shared" si="160"/>
        <v>0.82500000000000007</v>
      </c>
      <c r="Y331" s="1">
        <f t="shared" si="160"/>
        <v>0.77499999999999969</v>
      </c>
      <c r="Z331" s="1">
        <f t="shared" si="160"/>
        <v>0.72499999999999964</v>
      </c>
      <c r="AA331" s="1">
        <f t="shared" si="160"/>
        <v>0.67499999999999971</v>
      </c>
      <c r="AB331" s="1">
        <f t="shared" si="160"/>
        <v>0.62499999999999978</v>
      </c>
      <c r="AC331" s="1">
        <f t="shared" si="160"/>
        <v>0.57499999999999973</v>
      </c>
      <c r="AD331" s="1">
        <f t="shared" si="160"/>
        <v>0.52499999999999969</v>
      </c>
      <c r="AE331" s="1">
        <f t="shared" si="160"/>
        <v>0.4749999999999997</v>
      </c>
      <c r="AF331" s="1">
        <f t="shared" si="160"/>
        <v>0.42499999999999971</v>
      </c>
      <c r="AG331" s="1">
        <f t="shared" si="160"/>
        <v>0.37499999999999967</v>
      </c>
      <c r="AH331" s="1">
        <f t="shared" si="160"/>
        <v>0.32499999999999973</v>
      </c>
      <c r="AI331" s="1">
        <f t="shared" si="160"/>
        <v>0.27499999999999969</v>
      </c>
      <c r="AJ331" s="1">
        <f t="shared" si="160"/>
        <v>0.22499999999999976</v>
      </c>
      <c r="AK331" s="1">
        <f t="shared" si="160"/>
        <v>0.17499999999999971</v>
      </c>
      <c r="AL331" s="1">
        <f t="shared" si="160"/>
        <v>0.12499999999999967</v>
      </c>
      <c r="AM331" s="1">
        <f t="shared" si="160"/>
        <v>7.4999999999999734E-2</v>
      </c>
      <c r="AN331" s="1">
        <f t="shared" si="160"/>
        <v>2.5000000000000244E-2</v>
      </c>
      <c r="AO331" s="1">
        <f t="shared" si="160"/>
        <v>-2.5000000000000244E-2</v>
      </c>
    </row>
    <row r="332" spans="2:41">
      <c r="B332" s="1">
        <f t="shared" ref="B332:AO332" si="161">$AO$111-B$107</f>
        <v>1.9750000000000001</v>
      </c>
      <c r="C332" s="1">
        <f t="shared" si="161"/>
        <v>1.9249999999999998</v>
      </c>
      <c r="D332" s="1">
        <f t="shared" si="161"/>
        <v>1.875</v>
      </c>
      <c r="E332" s="1">
        <f t="shared" si="161"/>
        <v>1.825</v>
      </c>
      <c r="F332" s="1">
        <f t="shared" si="161"/>
        <v>1.7749999999999999</v>
      </c>
      <c r="G332" s="1">
        <f t="shared" si="161"/>
        <v>1.7250000000000001</v>
      </c>
      <c r="H332" s="1">
        <f t="shared" si="161"/>
        <v>1.6749999999999998</v>
      </c>
      <c r="I332" s="1">
        <f t="shared" si="161"/>
        <v>1.625</v>
      </c>
      <c r="J332" s="1">
        <f t="shared" si="161"/>
        <v>1.575</v>
      </c>
      <c r="K332" s="1">
        <f t="shared" si="161"/>
        <v>1.5249999999999999</v>
      </c>
      <c r="L332" s="1">
        <f t="shared" si="161"/>
        <v>1.4750000000000001</v>
      </c>
      <c r="M332" s="1">
        <f t="shared" si="161"/>
        <v>1.425</v>
      </c>
      <c r="N332" s="1">
        <f t="shared" si="161"/>
        <v>1.375</v>
      </c>
      <c r="O332" s="1">
        <f t="shared" si="161"/>
        <v>1.325</v>
      </c>
      <c r="P332" s="1">
        <f t="shared" si="161"/>
        <v>1.2749999999999999</v>
      </c>
      <c r="Q332" s="1">
        <f t="shared" si="161"/>
        <v>1.2250000000000001</v>
      </c>
      <c r="R332" s="1">
        <f t="shared" si="161"/>
        <v>1.175</v>
      </c>
      <c r="S332" s="1">
        <f t="shared" si="161"/>
        <v>1.125</v>
      </c>
      <c r="T332" s="1">
        <f t="shared" si="161"/>
        <v>1.075</v>
      </c>
      <c r="U332" s="1">
        <f t="shared" si="161"/>
        <v>1.0249999999999999</v>
      </c>
      <c r="V332" s="1">
        <f t="shared" si="161"/>
        <v>0.9750000000000002</v>
      </c>
      <c r="W332" s="1">
        <f t="shared" si="161"/>
        <v>0.92499999999999993</v>
      </c>
      <c r="X332" s="1">
        <f t="shared" si="161"/>
        <v>0.87500000000000033</v>
      </c>
      <c r="Y332" s="1">
        <f t="shared" si="161"/>
        <v>0.82499999999999996</v>
      </c>
      <c r="Z332" s="1">
        <f t="shared" si="161"/>
        <v>0.77499999999999991</v>
      </c>
      <c r="AA332" s="1">
        <f t="shared" si="161"/>
        <v>0.72499999999999998</v>
      </c>
      <c r="AB332" s="1">
        <f t="shared" si="161"/>
        <v>0.67500000000000004</v>
      </c>
      <c r="AC332" s="1">
        <f t="shared" si="161"/>
        <v>0.625</v>
      </c>
      <c r="AD332" s="1">
        <f t="shared" si="161"/>
        <v>0.57499999999999996</v>
      </c>
      <c r="AE332" s="1">
        <f t="shared" si="161"/>
        <v>0.52499999999999991</v>
      </c>
      <c r="AF332" s="1">
        <f t="shared" si="161"/>
        <v>0.47499999999999998</v>
      </c>
      <c r="AG332" s="1">
        <f t="shared" si="161"/>
        <v>0.42499999999999993</v>
      </c>
      <c r="AH332" s="1">
        <f t="shared" si="161"/>
        <v>0.375</v>
      </c>
      <c r="AI332" s="1">
        <f t="shared" si="161"/>
        <v>0.32499999999999996</v>
      </c>
      <c r="AJ332" s="1">
        <f t="shared" si="161"/>
        <v>0.27500000000000002</v>
      </c>
      <c r="AK332" s="1">
        <f t="shared" si="161"/>
        <v>0.22499999999999998</v>
      </c>
      <c r="AL332" s="1">
        <f t="shared" si="161"/>
        <v>0.17499999999999993</v>
      </c>
      <c r="AM332" s="1">
        <f t="shared" si="161"/>
        <v>0.125</v>
      </c>
      <c r="AN332" s="1">
        <f t="shared" si="161"/>
        <v>7.5000000000000511E-2</v>
      </c>
      <c r="AO332" s="1">
        <f t="shared" si="161"/>
        <v>2.5000000000000022E-2</v>
      </c>
    </row>
    <row r="341" spans="1:41">
      <c r="A341" s="1" t="s">
        <v>124</v>
      </c>
    </row>
    <row r="342" spans="1:41">
      <c r="B342" s="1">
        <f t="shared" ref="B342:AO342" si="162">$B$110-B$108</f>
        <v>5.0803030688584661E-2</v>
      </c>
      <c r="C342" s="1">
        <f t="shared" si="162"/>
        <v>5.4527520484503017E-2</v>
      </c>
      <c r="D342" s="1">
        <f t="shared" si="162"/>
        <v>5.8252010280421374E-2</v>
      </c>
      <c r="E342" s="1">
        <f t="shared" si="162"/>
        <v>6.1976500076339758E-2</v>
      </c>
      <c r="F342" s="1">
        <f t="shared" si="162"/>
        <v>6.5482872529328079E-2</v>
      </c>
      <c r="G342" s="1">
        <f t="shared" si="162"/>
        <v>6.7263694447136285E-2</v>
      </c>
      <c r="H342" s="1">
        <f t="shared" si="162"/>
        <v>6.9044516364944519E-2</v>
      </c>
      <c r="I342" s="1">
        <f t="shared" si="162"/>
        <v>7.0825338282752726E-2</v>
      </c>
      <c r="J342" s="1">
        <f t="shared" si="162"/>
        <v>7.2606160200560932E-2</v>
      </c>
      <c r="K342" s="1">
        <f t="shared" si="162"/>
        <v>7.4386982118369166E-2</v>
      </c>
      <c r="L342" s="1">
        <f t="shared" si="162"/>
        <v>7.6167804036177372E-2</v>
      </c>
      <c r="M342" s="1">
        <f t="shared" si="162"/>
        <v>7.7948625953985606E-2</v>
      </c>
      <c r="N342" s="1">
        <f t="shared" si="162"/>
        <v>7.8587805152399132E-2</v>
      </c>
      <c r="O342" s="1">
        <f t="shared" si="162"/>
        <v>7.8993856107813121E-2</v>
      </c>
      <c r="P342" s="1">
        <f t="shared" si="162"/>
        <v>7.9399907063227138E-2</v>
      </c>
      <c r="Q342" s="1">
        <f t="shared" si="162"/>
        <v>7.9805958018641154E-2</v>
      </c>
      <c r="R342" s="1">
        <f t="shared" si="162"/>
        <v>8.0212008974055171E-2</v>
      </c>
      <c r="S342" s="1">
        <f t="shared" si="162"/>
        <v>8.0618059929469188E-2</v>
      </c>
      <c r="T342" s="1">
        <f t="shared" si="162"/>
        <v>8.1024110884883205E-2</v>
      </c>
      <c r="U342" s="1">
        <f t="shared" si="162"/>
        <v>8.1430161840297222E-2</v>
      </c>
      <c r="V342" s="1">
        <f t="shared" si="162"/>
        <v>8.1024110884883205E-2</v>
      </c>
      <c r="W342" s="1">
        <f t="shared" si="162"/>
        <v>8.0618059929469188E-2</v>
      </c>
      <c r="X342" s="1">
        <f t="shared" si="162"/>
        <v>8.0212008974055171E-2</v>
      </c>
      <c r="Y342" s="1">
        <f t="shared" si="162"/>
        <v>7.9805958018641154E-2</v>
      </c>
      <c r="Z342" s="1">
        <f t="shared" si="162"/>
        <v>7.9399907063227138E-2</v>
      </c>
      <c r="AA342" s="1">
        <f t="shared" si="162"/>
        <v>7.8993856107813121E-2</v>
      </c>
      <c r="AB342" s="1">
        <f t="shared" si="162"/>
        <v>7.8587805152399132E-2</v>
      </c>
      <c r="AC342" s="1">
        <f t="shared" si="162"/>
        <v>7.7948625953985606E-2</v>
      </c>
      <c r="AD342" s="1">
        <f t="shared" si="162"/>
        <v>7.6167804036177372E-2</v>
      </c>
      <c r="AE342" s="1">
        <f t="shared" si="162"/>
        <v>7.4386982118369166E-2</v>
      </c>
      <c r="AF342" s="1">
        <f t="shared" si="162"/>
        <v>7.2606160200560932E-2</v>
      </c>
      <c r="AG342" s="1">
        <f t="shared" si="162"/>
        <v>7.0825338282752726E-2</v>
      </c>
      <c r="AH342" s="1">
        <f t="shared" si="162"/>
        <v>6.9044516364944519E-2</v>
      </c>
      <c r="AI342" s="1">
        <f t="shared" si="162"/>
        <v>6.7263694447136285E-2</v>
      </c>
      <c r="AJ342" s="1">
        <f t="shared" si="162"/>
        <v>6.5482872529328079E-2</v>
      </c>
      <c r="AK342" s="1">
        <f t="shared" si="162"/>
        <v>6.1976500076339758E-2</v>
      </c>
      <c r="AL342" s="1">
        <f t="shared" si="162"/>
        <v>5.8252010280421374E-2</v>
      </c>
      <c r="AM342" s="1">
        <f t="shared" si="162"/>
        <v>5.4527520484503017E-2</v>
      </c>
      <c r="AN342" s="1">
        <f t="shared" si="162"/>
        <v>5.0803030688584661E-2</v>
      </c>
      <c r="AO342" s="1">
        <f t="shared" si="162"/>
        <v>4.7078540892666276E-2</v>
      </c>
    </row>
    <row r="343" spans="1:41">
      <c r="B343" s="1">
        <f t="shared" ref="B343:AO343" si="163">$C$110-B$108</f>
        <v>5.2690785790625472E-2</v>
      </c>
      <c r="C343" s="1">
        <f t="shared" si="163"/>
        <v>5.6415275586543828E-2</v>
      </c>
      <c r="D343" s="1">
        <f t="shared" si="163"/>
        <v>6.0139765382462185E-2</v>
      </c>
      <c r="E343" s="1">
        <f t="shared" si="163"/>
        <v>6.3864255178380569E-2</v>
      </c>
      <c r="F343" s="1">
        <f t="shared" si="163"/>
        <v>6.737062763136889E-2</v>
      </c>
      <c r="G343" s="1">
        <f t="shared" si="163"/>
        <v>6.9151449549177096E-2</v>
      </c>
      <c r="H343" s="1">
        <f t="shared" si="163"/>
        <v>7.093227146698533E-2</v>
      </c>
      <c r="I343" s="1">
        <f t="shared" si="163"/>
        <v>7.2713093384793537E-2</v>
      </c>
      <c r="J343" s="1">
        <f t="shared" si="163"/>
        <v>7.4493915302601743E-2</v>
      </c>
      <c r="K343" s="1">
        <f t="shared" si="163"/>
        <v>7.6274737220409977E-2</v>
      </c>
      <c r="L343" s="1">
        <f t="shared" si="163"/>
        <v>7.8055559138218183E-2</v>
      </c>
      <c r="M343" s="1">
        <f t="shared" si="163"/>
        <v>7.9836381056026418E-2</v>
      </c>
      <c r="N343" s="1">
        <f t="shared" si="163"/>
        <v>8.0475560254439943E-2</v>
      </c>
      <c r="O343" s="1">
        <f t="shared" si="163"/>
        <v>8.0881611209853932E-2</v>
      </c>
      <c r="P343" s="1">
        <f t="shared" si="163"/>
        <v>8.1287662165267949E-2</v>
      </c>
      <c r="Q343" s="1">
        <f t="shared" si="163"/>
        <v>8.1693713120681966E-2</v>
      </c>
      <c r="R343" s="1">
        <f t="shared" si="163"/>
        <v>8.2099764076095982E-2</v>
      </c>
      <c r="S343" s="1">
        <f t="shared" si="163"/>
        <v>8.2505815031509999E-2</v>
      </c>
      <c r="T343" s="1">
        <f t="shared" si="163"/>
        <v>8.2911865986924016E-2</v>
      </c>
      <c r="U343" s="1">
        <f t="shared" si="163"/>
        <v>8.3317916942338033E-2</v>
      </c>
      <c r="V343" s="1">
        <f t="shared" si="163"/>
        <v>8.2911865986924016E-2</v>
      </c>
      <c r="W343" s="1">
        <f t="shared" si="163"/>
        <v>8.2505815031509999E-2</v>
      </c>
      <c r="X343" s="1">
        <f t="shared" si="163"/>
        <v>8.2099764076095982E-2</v>
      </c>
      <c r="Y343" s="1">
        <f t="shared" si="163"/>
        <v>8.1693713120681966E-2</v>
      </c>
      <c r="Z343" s="1">
        <f t="shared" si="163"/>
        <v>8.1287662165267949E-2</v>
      </c>
      <c r="AA343" s="1">
        <f t="shared" si="163"/>
        <v>8.0881611209853932E-2</v>
      </c>
      <c r="AB343" s="1">
        <f t="shared" si="163"/>
        <v>8.0475560254439943E-2</v>
      </c>
      <c r="AC343" s="1">
        <f t="shared" si="163"/>
        <v>7.9836381056026418E-2</v>
      </c>
      <c r="AD343" s="1">
        <f t="shared" si="163"/>
        <v>7.8055559138218183E-2</v>
      </c>
      <c r="AE343" s="1">
        <f t="shared" si="163"/>
        <v>7.6274737220409977E-2</v>
      </c>
      <c r="AF343" s="1">
        <f t="shared" si="163"/>
        <v>7.4493915302601743E-2</v>
      </c>
      <c r="AG343" s="1">
        <f t="shared" si="163"/>
        <v>7.2713093384793537E-2</v>
      </c>
      <c r="AH343" s="1">
        <f t="shared" si="163"/>
        <v>7.093227146698533E-2</v>
      </c>
      <c r="AI343" s="1">
        <f t="shared" si="163"/>
        <v>6.9151449549177096E-2</v>
      </c>
      <c r="AJ343" s="1">
        <f t="shared" si="163"/>
        <v>6.737062763136889E-2</v>
      </c>
      <c r="AK343" s="1">
        <f t="shared" si="163"/>
        <v>6.3864255178380569E-2</v>
      </c>
      <c r="AL343" s="1">
        <f t="shared" si="163"/>
        <v>6.0139765382462185E-2</v>
      </c>
      <c r="AM343" s="1">
        <f t="shared" si="163"/>
        <v>5.6415275586543828E-2</v>
      </c>
      <c r="AN343" s="1">
        <f t="shared" si="163"/>
        <v>5.2690785790625472E-2</v>
      </c>
      <c r="AO343" s="1">
        <f t="shared" si="163"/>
        <v>4.8966295994707087E-2</v>
      </c>
    </row>
    <row r="344" spans="1:41">
      <c r="B344" s="1">
        <f t="shared" ref="B344:AO344" si="164">$D$110-B$108</f>
        <v>5.4578540892666283E-2</v>
      </c>
      <c r="C344" s="1">
        <f t="shared" si="164"/>
        <v>5.8303030688584639E-2</v>
      </c>
      <c r="D344" s="1">
        <f t="shared" si="164"/>
        <v>6.2027520484502996E-2</v>
      </c>
      <c r="E344" s="1">
        <f t="shared" si="164"/>
        <v>6.575201028042138E-2</v>
      </c>
      <c r="F344" s="1">
        <f t="shared" si="164"/>
        <v>6.9258382733409701E-2</v>
      </c>
      <c r="G344" s="1">
        <f t="shared" si="164"/>
        <v>7.1039204651217908E-2</v>
      </c>
      <c r="H344" s="1">
        <f t="shared" si="164"/>
        <v>7.2820026569026142E-2</v>
      </c>
      <c r="I344" s="1">
        <f t="shared" si="164"/>
        <v>7.4600848486834348E-2</v>
      </c>
      <c r="J344" s="1">
        <f t="shared" si="164"/>
        <v>7.6381670404642554E-2</v>
      </c>
      <c r="K344" s="1">
        <f t="shared" si="164"/>
        <v>7.8162492322450788E-2</v>
      </c>
      <c r="L344" s="1">
        <f t="shared" si="164"/>
        <v>7.9943314240258995E-2</v>
      </c>
      <c r="M344" s="1">
        <f t="shared" si="164"/>
        <v>8.1724136158067229E-2</v>
      </c>
      <c r="N344" s="1">
        <f t="shared" si="164"/>
        <v>8.2363315356480754E-2</v>
      </c>
      <c r="O344" s="1">
        <f t="shared" si="164"/>
        <v>8.2769366311894743E-2</v>
      </c>
      <c r="P344" s="1">
        <f t="shared" si="164"/>
        <v>8.317541726730876E-2</v>
      </c>
      <c r="Q344" s="1">
        <f t="shared" si="164"/>
        <v>8.3581468222722777E-2</v>
      </c>
      <c r="R344" s="1">
        <f t="shared" si="164"/>
        <v>8.3987519178136794E-2</v>
      </c>
      <c r="S344" s="1">
        <f t="shared" si="164"/>
        <v>8.439357013355081E-2</v>
      </c>
      <c r="T344" s="1">
        <f t="shared" si="164"/>
        <v>8.4799621088964827E-2</v>
      </c>
      <c r="U344" s="1">
        <f t="shared" si="164"/>
        <v>8.5205672044378844E-2</v>
      </c>
      <c r="V344" s="1">
        <f t="shared" si="164"/>
        <v>8.4799621088964827E-2</v>
      </c>
      <c r="W344" s="1">
        <f t="shared" si="164"/>
        <v>8.439357013355081E-2</v>
      </c>
      <c r="X344" s="1">
        <f t="shared" si="164"/>
        <v>8.3987519178136794E-2</v>
      </c>
      <c r="Y344" s="1">
        <f t="shared" si="164"/>
        <v>8.3581468222722777E-2</v>
      </c>
      <c r="Z344" s="1">
        <f t="shared" si="164"/>
        <v>8.317541726730876E-2</v>
      </c>
      <c r="AA344" s="1">
        <f t="shared" si="164"/>
        <v>8.2769366311894743E-2</v>
      </c>
      <c r="AB344" s="1">
        <f t="shared" si="164"/>
        <v>8.2363315356480754E-2</v>
      </c>
      <c r="AC344" s="1">
        <f t="shared" si="164"/>
        <v>8.1724136158067229E-2</v>
      </c>
      <c r="AD344" s="1">
        <f t="shared" si="164"/>
        <v>7.9943314240258995E-2</v>
      </c>
      <c r="AE344" s="1">
        <f t="shared" si="164"/>
        <v>7.8162492322450788E-2</v>
      </c>
      <c r="AF344" s="1">
        <f t="shared" si="164"/>
        <v>7.6381670404642554E-2</v>
      </c>
      <c r="AG344" s="1">
        <f t="shared" si="164"/>
        <v>7.4600848486834348E-2</v>
      </c>
      <c r="AH344" s="1">
        <f t="shared" si="164"/>
        <v>7.2820026569026142E-2</v>
      </c>
      <c r="AI344" s="1">
        <f t="shared" si="164"/>
        <v>7.1039204651217908E-2</v>
      </c>
      <c r="AJ344" s="1">
        <f t="shared" si="164"/>
        <v>6.9258382733409701E-2</v>
      </c>
      <c r="AK344" s="1">
        <f t="shared" si="164"/>
        <v>6.575201028042138E-2</v>
      </c>
      <c r="AL344" s="1">
        <f t="shared" si="164"/>
        <v>6.2027520484502996E-2</v>
      </c>
      <c r="AM344" s="1">
        <f t="shared" si="164"/>
        <v>5.8303030688584639E-2</v>
      </c>
      <c r="AN344" s="1">
        <f t="shared" si="164"/>
        <v>5.4578540892666283E-2</v>
      </c>
      <c r="AO344" s="1">
        <f t="shared" si="164"/>
        <v>5.0854051096747899E-2</v>
      </c>
    </row>
    <row r="345" spans="1:41">
      <c r="B345" s="1">
        <f t="shared" ref="B345:AO345" si="165">$E$110-B$108</f>
        <v>5.6466295994707122E-2</v>
      </c>
      <c r="C345" s="1">
        <f t="shared" si="165"/>
        <v>6.0190785790625478E-2</v>
      </c>
      <c r="D345" s="1">
        <f t="shared" si="165"/>
        <v>6.3915275586543835E-2</v>
      </c>
      <c r="E345" s="1">
        <f t="shared" si="165"/>
        <v>6.7639765382462219E-2</v>
      </c>
      <c r="F345" s="1">
        <f t="shared" si="165"/>
        <v>7.114613783545054E-2</v>
      </c>
      <c r="G345" s="1">
        <f t="shared" si="165"/>
        <v>7.2926959753258747E-2</v>
      </c>
      <c r="H345" s="1">
        <f t="shared" si="165"/>
        <v>7.4707781671066981E-2</v>
      </c>
      <c r="I345" s="1">
        <f t="shared" si="165"/>
        <v>7.6488603588875187E-2</v>
      </c>
      <c r="J345" s="1">
        <f t="shared" si="165"/>
        <v>7.8269425506683393E-2</v>
      </c>
      <c r="K345" s="1">
        <f t="shared" si="165"/>
        <v>8.0050247424491627E-2</v>
      </c>
      <c r="L345" s="1">
        <f t="shared" si="165"/>
        <v>8.1831069342299834E-2</v>
      </c>
      <c r="M345" s="1">
        <f t="shared" si="165"/>
        <v>8.3611891260108068E-2</v>
      </c>
      <c r="N345" s="1">
        <f t="shared" si="165"/>
        <v>8.4251070458521593E-2</v>
      </c>
      <c r="O345" s="1">
        <f t="shared" si="165"/>
        <v>8.4657121413935582E-2</v>
      </c>
      <c r="P345" s="1">
        <f t="shared" si="165"/>
        <v>8.5063172369349599E-2</v>
      </c>
      <c r="Q345" s="1">
        <f t="shared" si="165"/>
        <v>8.5469223324763616E-2</v>
      </c>
      <c r="R345" s="1">
        <f t="shared" si="165"/>
        <v>8.5875274280177633E-2</v>
      </c>
      <c r="S345" s="1">
        <f t="shared" si="165"/>
        <v>8.6281325235591649E-2</v>
      </c>
      <c r="T345" s="1">
        <f t="shared" si="165"/>
        <v>8.6687376191005666E-2</v>
      </c>
      <c r="U345" s="1">
        <f t="shared" si="165"/>
        <v>8.7093427146419683E-2</v>
      </c>
      <c r="V345" s="1">
        <f t="shared" si="165"/>
        <v>8.6687376191005666E-2</v>
      </c>
      <c r="W345" s="1">
        <f t="shared" si="165"/>
        <v>8.6281325235591649E-2</v>
      </c>
      <c r="X345" s="1">
        <f t="shared" si="165"/>
        <v>8.5875274280177633E-2</v>
      </c>
      <c r="Y345" s="1">
        <f t="shared" si="165"/>
        <v>8.5469223324763616E-2</v>
      </c>
      <c r="Z345" s="1">
        <f t="shared" si="165"/>
        <v>8.5063172369349599E-2</v>
      </c>
      <c r="AA345" s="1">
        <f t="shared" si="165"/>
        <v>8.4657121413935582E-2</v>
      </c>
      <c r="AB345" s="1">
        <f t="shared" si="165"/>
        <v>8.4251070458521593E-2</v>
      </c>
      <c r="AC345" s="1">
        <f t="shared" si="165"/>
        <v>8.3611891260108068E-2</v>
      </c>
      <c r="AD345" s="1">
        <f t="shared" si="165"/>
        <v>8.1831069342299834E-2</v>
      </c>
      <c r="AE345" s="1">
        <f t="shared" si="165"/>
        <v>8.0050247424491627E-2</v>
      </c>
      <c r="AF345" s="1">
        <f t="shared" si="165"/>
        <v>7.8269425506683393E-2</v>
      </c>
      <c r="AG345" s="1">
        <f t="shared" si="165"/>
        <v>7.6488603588875187E-2</v>
      </c>
      <c r="AH345" s="1">
        <f t="shared" si="165"/>
        <v>7.4707781671066981E-2</v>
      </c>
      <c r="AI345" s="1">
        <f t="shared" si="165"/>
        <v>7.2926959753258747E-2</v>
      </c>
      <c r="AJ345" s="1">
        <f t="shared" si="165"/>
        <v>7.114613783545054E-2</v>
      </c>
      <c r="AK345" s="1">
        <f t="shared" si="165"/>
        <v>6.7639765382462219E-2</v>
      </c>
      <c r="AL345" s="1">
        <f t="shared" si="165"/>
        <v>6.3915275586543835E-2</v>
      </c>
      <c r="AM345" s="1">
        <f t="shared" si="165"/>
        <v>6.0190785790625478E-2</v>
      </c>
      <c r="AN345" s="1">
        <f t="shared" si="165"/>
        <v>5.6466295994707122E-2</v>
      </c>
      <c r="AO345" s="1">
        <f t="shared" si="165"/>
        <v>5.2741806198788738E-2</v>
      </c>
    </row>
    <row r="346" spans="1:41">
      <c r="B346" s="1">
        <f t="shared" ref="B346:AO346" si="166">$F$110-B$108</f>
        <v>5.8415423560193719E-2</v>
      </c>
      <c r="C346" s="1">
        <f t="shared" si="166"/>
        <v>6.2139913356112075E-2</v>
      </c>
      <c r="D346" s="1">
        <f t="shared" si="166"/>
        <v>6.5864403152030432E-2</v>
      </c>
      <c r="E346" s="1">
        <f t="shared" si="166"/>
        <v>6.9588892947948816E-2</v>
      </c>
      <c r="F346" s="1">
        <f t="shared" si="166"/>
        <v>7.3095265400937137E-2</v>
      </c>
      <c r="G346" s="1">
        <f t="shared" si="166"/>
        <v>7.4876087318745344E-2</v>
      </c>
      <c r="H346" s="1">
        <f t="shared" si="166"/>
        <v>7.6656909236553578E-2</v>
      </c>
      <c r="I346" s="1">
        <f t="shared" si="166"/>
        <v>7.8437731154361784E-2</v>
      </c>
      <c r="J346" s="1">
        <f t="shared" si="166"/>
        <v>8.021855307216999E-2</v>
      </c>
      <c r="K346" s="1">
        <f t="shared" si="166"/>
        <v>8.1999374989978224E-2</v>
      </c>
      <c r="L346" s="1">
        <f t="shared" si="166"/>
        <v>8.3780196907786431E-2</v>
      </c>
      <c r="M346" s="1">
        <f t="shared" si="166"/>
        <v>8.5561018825594665E-2</v>
      </c>
      <c r="N346" s="1">
        <f t="shared" si="166"/>
        <v>8.620019802400819E-2</v>
      </c>
      <c r="O346" s="1">
        <f t="shared" si="166"/>
        <v>8.6606248979422179E-2</v>
      </c>
      <c r="P346" s="1">
        <f t="shared" si="166"/>
        <v>8.7012299934836196E-2</v>
      </c>
      <c r="Q346" s="1">
        <f t="shared" si="166"/>
        <v>8.7418350890250213E-2</v>
      </c>
      <c r="R346" s="1">
        <f t="shared" si="166"/>
        <v>8.7824401845664229E-2</v>
      </c>
      <c r="S346" s="1">
        <f t="shared" si="166"/>
        <v>8.8230452801078246E-2</v>
      </c>
      <c r="T346" s="1">
        <f t="shared" si="166"/>
        <v>8.8636503756492263E-2</v>
      </c>
      <c r="U346" s="1">
        <f t="shared" si="166"/>
        <v>8.904255471190628E-2</v>
      </c>
      <c r="V346" s="1">
        <f t="shared" si="166"/>
        <v>8.8636503756492263E-2</v>
      </c>
      <c r="W346" s="1">
        <f t="shared" si="166"/>
        <v>8.8230452801078246E-2</v>
      </c>
      <c r="X346" s="1">
        <f t="shared" si="166"/>
        <v>8.7824401845664229E-2</v>
      </c>
      <c r="Y346" s="1">
        <f t="shared" si="166"/>
        <v>8.7418350890250213E-2</v>
      </c>
      <c r="Z346" s="1">
        <f t="shared" si="166"/>
        <v>8.7012299934836196E-2</v>
      </c>
      <c r="AA346" s="1">
        <f t="shared" si="166"/>
        <v>8.6606248979422179E-2</v>
      </c>
      <c r="AB346" s="1">
        <f t="shared" si="166"/>
        <v>8.620019802400819E-2</v>
      </c>
      <c r="AC346" s="1">
        <f t="shared" si="166"/>
        <v>8.5561018825594665E-2</v>
      </c>
      <c r="AD346" s="1">
        <f t="shared" si="166"/>
        <v>8.3780196907786431E-2</v>
      </c>
      <c r="AE346" s="1">
        <f t="shared" si="166"/>
        <v>8.1999374989978224E-2</v>
      </c>
      <c r="AF346" s="1">
        <f t="shared" si="166"/>
        <v>8.021855307216999E-2</v>
      </c>
      <c r="AG346" s="1">
        <f t="shared" si="166"/>
        <v>7.8437731154361784E-2</v>
      </c>
      <c r="AH346" s="1">
        <f t="shared" si="166"/>
        <v>7.6656909236553578E-2</v>
      </c>
      <c r="AI346" s="1">
        <f t="shared" si="166"/>
        <v>7.4876087318745344E-2</v>
      </c>
      <c r="AJ346" s="1">
        <f t="shared" si="166"/>
        <v>7.3095265400937137E-2</v>
      </c>
      <c r="AK346" s="1">
        <f t="shared" si="166"/>
        <v>6.9588892947948816E-2</v>
      </c>
      <c r="AL346" s="1">
        <f t="shared" si="166"/>
        <v>6.5864403152030432E-2</v>
      </c>
      <c r="AM346" s="1">
        <f t="shared" si="166"/>
        <v>6.2139913356112075E-2</v>
      </c>
      <c r="AN346" s="1">
        <f t="shared" si="166"/>
        <v>5.8415423560193719E-2</v>
      </c>
      <c r="AO346" s="1">
        <f t="shared" si="166"/>
        <v>5.4690933764275335E-2</v>
      </c>
    </row>
    <row r="347" spans="1:41">
      <c r="B347" s="1">
        <f t="shared" ref="B347:AO347" si="167">$G$110-B$108</f>
        <v>6.009247394513436E-2</v>
      </c>
      <c r="C347" s="1">
        <f t="shared" si="167"/>
        <v>6.3816963741052724E-2</v>
      </c>
      <c r="D347" s="1">
        <f t="shared" si="167"/>
        <v>6.754145353697108E-2</v>
      </c>
      <c r="E347" s="1">
        <f t="shared" si="167"/>
        <v>7.1265943332889464E-2</v>
      </c>
      <c r="F347" s="1">
        <f t="shared" si="167"/>
        <v>7.4772315785877785E-2</v>
      </c>
      <c r="G347" s="1">
        <f t="shared" si="167"/>
        <v>7.6553137703685992E-2</v>
      </c>
      <c r="H347" s="1">
        <f t="shared" si="167"/>
        <v>7.8333959621494226E-2</v>
      </c>
      <c r="I347" s="1">
        <f t="shared" si="167"/>
        <v>8.0114781539302432E-2</v>
      </c>
      <c r="J347" s="1">
        <f t="shared" si="167"/>
        <v>8.1895603457110638E-2</v>
      </c>
      <c r="K347" s="1">
        <f t="shared" si="167"/>
        <v>8.3676425374918872E-2</v>
      </c>
      <c r="L347" s="1">
        <f t="shared" si="167"/>
        <v>8.5457247292727079E-2</v>
      </c>
      <c r="M347" s="1">
        <f t="shared" si="167"/>
        <v>8.7238069210535313E-2</v>
      </c>
      <c r="N347" s="1">
        <f t="shared" si="167"/>
        <v>8.7877248408948838E-2</v>
      </c>
      <c r="O347" s="1">
        <f t="shared" si="167"/>
        <v>8.8283299364362827E-2</v>
      </c>
      <c r="P347" s="1">
        <f t="shared" si="167"/>
        <v>8.8689350319776844E-2</v>
      </c>
      <c r="Q347" s="1">
        <f t="shared" si="167"/>
        <v>8.9095401275190861E-2</v>
      </c>
      <c r="R347" s="1">
        <f t="shared" si="167"/>
        <v>8.9501452230604878E-2</v>
      </c>
      <c r="S347" s="1">
        <f t="shared" si="167"/>
        <v>8.9907503186018894E-2</v>
      </c>
      <c r="T347" s="1">
        <f t="shared" si="167"/>
        <v>9.0313554141432911E-2</v>
      </c>
      <c r="U347" s="1">
        <f t="shared" si="167"/>
        <v>9.0719605096846928E-2</v>
      </c>
      <c r="V347" s="1">
        <f t="shared" si="167"/>
        <v>9.0313554141432911E-2</v>
      </c>
      <c r="W347" s="1">
        <f t="shared" si="167"/>
        <v>8.9907503186018894E-2</v>
      </c>
      <c r="X347" s="1">
        <f t="shared" si="167"/>
        <v>8.9501452230604878E-2</v>
      </c>
      <c r="Y347" s="1">
        <f t="shared" si="167"/>
        <v>8.9095401275190861E-2</v>
      </c>
      <c r="Z347" s="1">
        <f t="shared" si="167"/>
        <v>8.8689350319776844E-2</v>
      </c>
      <c r="AA347" s="1">
        <f t="shared" si="167"/>
        <v>8.8283299364362827E-2</v>
      </c>
      <c r="AB347" s="1">
        <f t="shared" si="167"/>
        <v>8.7877248408948838E-2</v>
      </c>
      <c r="AC347" s="1">
        <f t="shared" si="167"/>
        <v>8.7238069210535313E-2</v>
      </c>
      <c r="AD347" s="1">
        <f t="shared" si="167"/>
        <v>8.5457247292727079E-2</v>
      </c>
      <c r="AE347" s="1">
        <f t="shared" si="167"/>
        <v>8.3676425374918872E-2</v>
      </c>
      <c r="AF347" s="1">
        <f t="shared" si="167"/>
        <v>8.1895603457110638E-2</v>
      </c>
      <c r="AG347" s="1">
        <f t="shared" si="167"/>
        <v>8.0114781539302432E-2</v>
      </c>
      <c r="AH347" s="1">
        <f t="shared" si="167"/>
        <v>7.8333959621494226E-2</v>
      </c>
      <c r="AI347" s="1">
        <f t="shared" si="167"/>
        <v>7.6553137703685992E-2</v>
      </c>
      <c r="AJ347" s="1">
        <f t="shared" si="167"/>
        <v>7.4772315785877785E-2</v>
      </c>
      <c r="AK347" s="1">
        <f t="shared" si="167"/>
        <v>7.1265943332889464E-2</v>
      </c>
      <c r="AL347" s="1">
        <f t="shared" si="167"/>
        <v>6.754145353697108E-2</v>
      </c>
      <c r="AM347" s="1">
        <f t="shared" si="167"/>
        <v>6.3816963741052724E-2</v>
      </c>
      <c r="AN347" s="1">
        <f t="shared" si="167"/>
        <v>6.009247394513436E-2</v>
      </c>
      <c r="AO347" s="1">
        <f t="shared" si="167"/>
        <v>5.6367984149215976E-2</v>
      </c>
    </row>
    <row r="348" spans="1:41">
      <c r="B348" s="1">
        <f t="shared" ref="B348:AO348" si="168">$H$110-B$108</f>
        <v>6.1736309561572722E-2</v>
      </c>
      <c r="C348" s="1">
        <f t="shared" si="168"/>
        <v>6.5460799357491078E-2</v>
      </c>
      <c r="D348" s="1">
        <f t="shared" si="168"/>
        <v>6.9185289153409435E-2</v>
      </c>
      <c r="E348" s="1">
        <f t="shared" si="168"/>
        <v>7.2909778949327819E-2</v>
      </c>
      <c r="F348" s="1">
        <f t="shared" si="168"/>
        <v>7.641615140231614E-2</v>
      </c>
      <c r="G348" s="1">
        <f t="shared" si="168"/>
        <v>7.8196973320124347E-2</v>
      </c>
      <c r="H348" s="1">
        <f t="shared" si="168"/>
        <v>7.9977795237932581E-2</v>
      </c>
      <c r="I348" s="1">
        <f t="shared" si="168"/>
        <v>8.1758617155740787E-2</v>
      </c>
      <c r="J348" s="1">
        <f t="shared" si="168"/>
        <v>8.3539439073548993E-2</v>
      </c>
      <c r="K348" s="1">
        <f t="shared" si="168"/>
        <v>8.5320260991357227E-2</v>
      </c>
      <c r="L348" s="1">
        <f t="shared" si="168"/>
        <v>8.7101082909165434E-2</v>
      </c>
      <c r="M348" s="1">
        <f t="shared" si="168"/>
        <v>8.8881904826973668E-2</v>
      </c>
      <c r="N348" s="1">
        <f t="shared" si="168"/>
        <v>8.9521084025387193E-2</v>
      </c>
      <c r="O348" s="1">
        <f t="shared" si="168"/>
        <v>8.9927134980801182E-2</v>
      </c>
      <c r="P348" s="1">
        <f t="shared" si="168"/>
        <v>9.0333185936215199E-2</v>
      </c>
      <c r="Q348" s="1">
        <f t="shared" si="168"/>
        <v>9.0739236891629216E-2</v>
      </c>
      <c r="R348" s="1">
        <f t="shared" si="168"/>
        <v>9.1145287847043233E-2</v>
      </c>
      <c r="S348" s="1">
        <f t="shared" si="168"/>
        <v>9.1551338802457249E-2</v>
      </c>
      <c r="T348" s="1">
        <f t="shared" si="168"/>
        <v>9.1957389757871266E-2</v>
      </c>
      <c r="U348" s="1">
        <f t="shared" si="168"/>
        <v>9.2363440713285283E-2</v>
      </c>
      <c r="V348" s="1">
        <f t="shared" si="168"/>
        <v>9.1957389757871266E-2</v>
      </c>
      <c r="W348" s="1">
        <f t="shared" si="168"/>
        <v>9.1551338802457249E-2</v>
      </c>
      <c r="X348" s="1">
        <f t="shared" si="168"/>
        <v>9.1145287847043233E-2</v>
      </c>
      <c r="Y348" s="1">
        <f t="shared" si="168"/>
        <v>9.0739236891629216E-2</v>
      </c>
      <c r="Z348" s="1">
        <f t="shared" si="168"/>
        <v>9.0333185936215199E-2</v>
      </c>
      <c r="AA348" s="1">
        <f t="shared" si="168"/>
        <v>8.9927134980801182E-2</v>
      </c>
      <c r="AB348" s="1">
        <f t="shared" si="168"/>
        <v>8.9521084025387193E-2</v>
      </c>
      <c r="AC348" s="1">
        <f t="shared" si="168"/>
        <v>8.8881904826973668E-2</v>
      </c>
      <c r="AD348" s="1">
        <f t="shared" si="168"/>
        <v>8.7101082909165434E-2</v>
      </c>
      <c r="AE348" s="1">
        <f t="shared" si="168"/>
        <v>8.5320260991357227E-2</v>
      </c>
      <c r="AF348" s="1">
        <f t="shared" si="168"/>
        <v>8.3539439073548993E-2</v>
      </c>
      <c r="AG348" s="1">
        <f t="shared" si="168"/>
        <v>8.1758617155740787E-2</v>
      </c>
      <c r="AH348" s="1">
        <f t="shared" si="168"/>
        <v>7.9977795237932581E-2</v>
      </c>
      <c r="AI348" s="1">
        <f t="shared" si="168"/>
        <v>7.8196973320124347E-2</v>
      </c>
      <c r="AJ348" s="1">
        <f t="shared" si="168"/>
        <v>7.641615140231614E-2</v>
      </c>
      <c r="AK348" s="1">
        <f t="shared" si="168"/>
        <v>7.2909778949327819E-2</v>
      </c>
      <c r="AL348" s="1">
        <f t="shared" si="168"/>
        <v>6.9185289153409435E-2</v>
      </c>
      <c r="AM348" s="1">
        <f t="shared" si="168"/>
        <v>6.5460799357491078E-2</v>
      </c>
      <c r="AN348" s="1">
        <f t="shared" si="168"/>
        <v>6.1736309561572722E-2</v>
      </c>
      <c r="AO348" s="1">
        <f t="shared" si="168"/>
        <v>5.8011819765654338E-2</v>
      </c>
    </row>
    <row r="349" spans="1:41">
      <c r="B349" s="1">
        <f t="shared" ref="B349:AO349" si="169">$I$110-B$108</f>
        <v>6.3380145178011077E-2</v>
      </c>
      <c r="C349" s="1">
        <f t="shared" si="169"/>
        <v>6.7104634973929433E-2</v>
      </c>
      <c r="D349" s="1">
        <f t="shared" si="169"/>
        <v>7.082912476984779E-2</v>
      </c>
      <c r="E349" s="1">
        <f t="shared" si="169"/>
        <v>7.4553614565766174E-2</v>
      </c>
      <c r="F349" s="1">
        <f t="shared" si="169"/>
        <v>7.8059987018754495E-2</v>
      </c>
      <c r="G349" s="1">
        <f t="shared" si="169"/>
        <v>7.9840808936562702E-2</v>
      </c>
      <c r="H349" s="1">
        <f t="shared" si="169"/>
        <v>8.1621630854370936E-2</v>
      </c>
      <c r="I349" s="1">
        <f t="shared" si="169"/>
        <v>8.3402452772179142E-2</v>
      </c>
      <c r="J349" s="1">
        <f t="shared" si="169"/>
        <v>8.5183274689987348E-2</v>
      </c>
      <c r="K349" s="1">
        <f t="shared" si="169"/>
        <v>8.6964096607795582E-2</v>
      </c>
      <c r="L349" s="1">
        <f t="shared" si="169"/>
        <v>8.8744918525603789E-2</v>
      </c>
      <c r="M349" s="1">
        <f t="shared" si="169"/>
        <v>9.0525740443412023E-2</v>
      </c>
      <c r="N349" s="1">
        <f t="shared" si="169"/>
        <v>9.1164919641825548E-2</v>
      </c>
      <c r="O349" s="1">
        <f t="shared" si="169"/>
        <v>9.1570970597239537E-2</v>
      </c>
      <c r="P349" s="1">
        <f t="shared" si="169"/>
        <v>9.1977021552653554E-2</v>
      </c>
      <c r="Q349" s="1">
        <f t="shared" si="169"/>
        <v>9.2383072508067571E-2</v>
      </c>
      <c r="R349" s="1">
        <f t="shared" si="169"/>
        <v>9.2789123463481588E-2</v>
      </c>
      <c r="S349" s="1">
        <f t="shared" si="169"/>
        <v>9.3195174418895604E-2</v>
      </c>
      <c r="T349" s="1">
        <f t="shared" si="169"/>
        <v>9.3601225374309621E-2</v>
      </c>
      <c r="U349" s="1">
        <f t="shared" si="169"/>
        <v>9.4007276329723638E-2</v>
      </c>
      <c r="V349" s="1">
        <f t="shared" si="169"/>
        <v>9.3601225374309621E-2</v>
      </c>
      <c r="W349" s="1">
        <f t="shared" si="169"/>
        <v>9.3195174418895604E-2</v>
      </c>
      <c r="X349" s="1">
        <f t="shared" si="169"/>
        <v>9.2789123463481588E-2</v>
      </c>
      <c r="Y349" s="1">
        <f t="shared" si="169"/>
        <v>9.2383072508067571E-2</v>
      </c>
      <c r="Z349" s="1">
        <f t="shared" si="169"/>
        <v>9.1977021552653554E-2</v>
      </c>
      <c r="AA349" s="1">
        <f t="shared" si="169"/>
        <v>9.1570970597239537E-2</v>
      </c>
      <c r="AB349" s="1">
        <f t="shared" si="169"/>
        <v>9.1164919641825548E-2</v>
      </c>
      <c r="AC349" s="1">
        <f t="shared" si="169"/>
        <v>9.0525740443412023E-2</v>
      </c>
      <c r="AD349" s="1">
        <f t="shared" si="169"/>
        <v>8.8744918525603789E-2</v>
      </c>
      <c r="AE349" s="1">
        <f t="shared" si="169"/>
        <v>8.6964096607795582E-2</v>
      </c>
      <c r="AF349" s="1">
        <f t="shared" si="169"/>
        <v>8.5183274689987348E-2</v>
      </c>
      <c r="AG349" s="1">
        <f t="shared" si="169"/>
        <v>8.3402452772179142E-2</v>
      </c>
      <c r="AH349" s="1">
        <f t="shared" si="169"/>
        <v>8.1621630854370936E-2</v>
      </c>
      <c r="AI349" s="1">
        <f t="shared" si="169"/>
        <v>7.9840808936562702E-2</v>
      </c>
      <c r="AJ349" s="1">
        <f t="shared" si="169"/>
        <v>7.8059987018754495E-2</v>
      </c>
      <c r="AK349" s="1">
        <f t="shared" si="169"/>
        <v>7.4553614565766174E-2</v>
      </c>
      <c r="AL349" s="1">
        <f t="shared" si="169"/>
        <v>7.082912476984779E-2</v>
      </c>
      <c r="AM349" s="1">
        <f t="shared" si="169"/>
        <v>6.7104634973929433E-2</v>
      </c>
      <c r="AN349" s="1">
        <f t="shared" si="169"/>
        <v>6.3380145178011077E-2</v>
      </c>
      <c r="AO349" s="1">
        <f t="shared" si="169"/>
        <v>5.9655655382092693E-2</v>
      </c>
    </row>
    <row r="350" spans="1:41">
      <c r="B350" s="1">
        <f t="shared" ref="B350:AO350" si="170">$J$110-B$108</f>
        <v>6.5023980794449432E-2</v>
      </c>
      <c r="C350" s="1">
        <f t="shared" si="170"/>
        <v>6.8748470590367788E-2</v>
      </c>
      <c r="D350" s="1">
        <f t="shared" si="170"/>
        <v>7.2472960386286145E-2</v>
      </c>
      <c r="E350" s="1">
        <f t="shared" si="170"/>
        <v>7.6197450182204529E-2</v>
      </c>
      <c r="F350" s="1">
        <f t="shared" si="170"/>
        <v>7.970382263519285E-2</v>
      </c>
      <c r="G350" s="1">
        <f t="shared" si="170"/>
        <v>8.1484644553001057E-2</v>
      </c>
      <c r="H350" s="1">
        <f t="shared" si="170"/>
        <v>8.3265466470809291E-2</v>
      </c>
      <c r="I350" s="1">
        <f t="shared" si="170"/>
        <v>8.5046288388617497E-2</v>
      </c>
      <c r="J350" s="1">
        <f t="shared" si="170"/>
        <v>8.6827110306425703E-2</v>
      </c>
      <c r="K350" s="1">
        <f t="shared" si="170"/>
        <v>8.8607932224233937E-2</v>
      </c>
      <c r="L350" s="1">
        <f t="shared" si="170"/>
        <v>9.0388754142042144E-2</v>
      </c>
      <c r="M350" s="1">
        <f t="shared" si="170"/>
        <v>9.2169576059850378E-2</v>
      </c>
      <c r="N350" s="1">
        <f t="shared" si="170"/>
        <v>9.2808755258263903E-2</v>
      </c>
      <c r="O350" s="1">
        <f t="shared" si="170"/>
        <v>9.3214806213677892E-2</v>
      </c>
      <c r="P350" s="1">
        <f t="shared" si="170"/>
        <v>9.3620857169091909E-2</v>
      </c>
      <c r="Q350" s="1">
        <f t="shared" si="170"/>
        <v>9.4026908124505926E-2</v>
      </c>
      <c r="R350" s="1">
        <f t="shared" si="170"/>
        <v>9.4432959079919943E-2</v>
      </c>
      <c r="S350" s="1">
        <f t="shared" si="170"/>
        <v>9.4839010035333959E-2</v>
      </c>
      <c r="T350" s="1">
        <f t="shared" si="170"/>
        <v>9.5245060990747976E-2</v>
      </c>
      <c r="U350" s="1">
        <f t="shared" si="170"/>
        <v>9.5651111946161993E-2</v>
      </c>
      <c r="V350" s="1">
        <f t="shared" si="170"/>
        <v>9.5245060990747976E-2</v>
      </c>
      <c r="W350" s="1">
        <f t="shared" si="170"/>
        <v>9.4839010035333959E-2</v>
      </c>
      <c r="X350" s="1">
        <f t="shared" si="170"/>
        <v>9.4432959079919943E-2</v>
      </c>
      <c r="Y350" s="1">
        <f t="shared" si="170"/>
        <v>9.4026908124505926E-2</v>
      </c>
      <c r="Z350" s="1">
        <f t="shared" si="170"/>
        <v>9.3620857169091909E-2</v>
      </c>
      <c r="AA350" s="1">
        <f t="shared" si="170"/>
        <v>9.3214806213677892E-2</v>
      </c>
      <c r="AB350" s="1">
        <f t="shared" si="170"/>
        <v>9.2808755258263903E-2</v>
      </c>
      <c r="AC350" s="1">
        <f t="shared" si="170"/>
        <v>9.2169576059850378E-2</v>
      </c>
      <c r="AD350" s="1">
        <f t="shared" si="170"/>
        <v>9.0388754142042144E-2</v>
      </c>
      <c r="AE350" s="1">
        <f t="shared" si="170"/>
        <v>8.8607932224233937E-2</v>
      </c>
      <c r="AF350" s="1">
        <f t="shared" si="170"/>
        <v>8.6827110306425703E-2</v>
      </c>
      <c r="AG350" s="1">
        <f t="shared" si="170"/>
        <v>8.5046288388617497E-2</v>
      </c>
      <c r="AH350" s="1">
        <f t="shared" si="170"/>
        <v>8.3265466470809291E-2</v>
      </c>
      <c r="AI350" s="1">
        <f t="shared" si="170"/>
        <v>8.1484644553001057E-2</v>
      </c>
      <c r="AJ350" s="1">
        <f t="shared" si="170"/>
        <v>7.970382263519285E-2</v>
      </c>
      <c r="AK350" s="1">
        <f t="shared" si="170"/>
        <v>7.6197450182204529E-2</v>
      </c>
      <c r="AL350" s="1">
        <f t="shared" si="170"/>
        <v>7.2472960386286145E-2</v>
      </c>
      <c r="AM350" s="1">
        <f t="shared" si="170"/>
        <v>6.8748470590367788E-2</v>
      </c>
      <c r="AN350" s="1">
        <f t="shared" si="170"/>
        <v>6.5023980794449432E-2</v>
      </c>
      <c r="AO350" s="1">
        <f t="shared" si="170"/>
        <v>6.1299490998531055E-2</v>
      </c>
    </row>
    <row r="351" spans="1:41">
      <c r="B351" s="1">
        <f t="shared" ref="B351:AO351" si="171">$K$110-B$108</f>
        <v>6.6667816410887787E-2</v>
      </c>
      <c r="C351" s="1">
        <f t="shared" si="171"/>
        <v>7.0392306206806143E-2</v>
      </c>
      <c r="D351" s="1">
        <f t="shared" si="171"/>
        <v>7.41167960027245E-2</v>
      </c>
      <c r="E351" s="1">
        <f t="shared" si="171"/>
        <v>7.7841285798642884E-2</v>
      </c>
      <c r="F351" s="1">
        <f t="shared" si="171"/>
        <v>8.1347658251631205E-2</v>
      </c>
      <c r="G351" s="1">
        <f t="shared" si="171"/>
        <v>8.3128480169439412E-2</v>
      </c>
      <c r="H351" s="1">
        <f t="shared" si="171"/>
        <v>8.4909302087247646E-2</v>
      </c>
      <c r="I351" s="1">
        <f t="shared" si="171"/>
        <v>8.6690124005055852E-2</v>
      </c>
      <c r="J351" s="1">
        <f t="shared" si="171"/>
        <v>8.8470945922864058E-2</v>
      </c>
      <c r="K351" s="1">
        <f t="shared" si="171"/>
        <v>9.0251767840672292E-2</v>
      </c>
      <c r="L351" s="1">
        <f t="shared" si="171"/>
        <v>9.2032589758480499E-2</v>
      </c>
      <c r="M351" s="1">
        <f t="shared" si="171"/>
        <v>9.3813411676288733E-2</v>
      </c>
      <c r="N351" s="1">
        <f t="shared" si="171"/>
        <v>9.4452590874702258E-2</v>
      </c>
      <c r="O351" s="1">
        <f t="shared" si="171"/>
        <v>9.4858641830116247E-2</v>
      </c>
      <c r="P351" s="1">
        <f t="shared" si="171"/>
        <v>9.5264692785530264E-2</v>
      </c>
      <c r="Q351" s="1">
        <f t="shared" si="171"/>
        <v>9.5670743740944281E-2</v>
      </c>
      <c r="R351" s="1">
        <f t="shared" si="171"/>
        <v>9.6076794696358297E-2</v>
      </c>
      <c r="S351" s="1">
        <f t="shared" si="171"/>
        <v>9.6482845651772314E-2</v>
      </c>
      <c r="T351" s="1">
        <f t="shared" si="171"/>
        <v>9.6888896607186331E-2</v>
      </c>
      <c r="U351" s="1">
        <f t="shared" si="171"/>
        <v>9.7294947562600348E-2</v>
      </c>
      <c r="V351" s="1">
        <f t="shared" si="171"/>
        <v>9.6888896607186331E-2</v>
      </c>
      <c r="W351" s="1">
        <f t="shared" si="171"/>
        <v>9.6482845651772314E-2</v>
      </c>
      <c r="X351" s="1">
        <f t="shared" si="171"/>
        <v>9.6076794696358297E-2</v>
      </c>
      <c r="Y351" s="1">
        <f t="shared" si="171"/>
        <v>9.5670743740944281E-2</v>
      </c>
      <c r="Z351" s="1">
        <f t="shared" si="171"/>
        <v>9.5264692785530264E-2</v>
      </c>
      <c r="AA351" s="1">
        <f t="shared" si="171"/>
        <v>9.4858641830116247E-2</v>
      </c>
      <c r="AB351" s="1">
        <f t="shared" si="171"/>
        <v>9.4452590874702258E-2</v>
      </c>
      <c r="AC351" s="1">
        <f t="shared" si="171"/>
        <v>9.3813411676288733E-2</v>
      </c>
      <c r="AD351" s="1">
        <f t="shared" si="171"/>
        <v>9.2032589758480499E-2</v>
      </c>
      <c r="AE351" s="1">
        <f t="shared" si="171"/>
        <v>9.0251767840672292E-2</v>
      </c>
      <c r="AF351" s="1">
        <f t="shared" si="171"/>
        <v>8.8470945922864058E-2</v>
      </c>
      <c r="AG351" s="1">
        <f t="shared" si="171"/>
        <v>8.6690124005055852E-2</v>
      </c>
      <c r="AH351" s="1">
        <f t="shared" si="171"/>
        <v>8.4909302087247646E-2</v>
      </c>
      <c r="AI351" s="1">
        <f t="shared" si="171"/>
        <v>8.3128480169439412E-2</v>
      </c>
      <c r="AJ351" s="1">
        <f t="shared" si="171"/>
        <v>8.1347658251631205E-2</v>
      </c>
      <c r="AK351" s="1">
        <f t="shared" si="171"/>
        <v>7.7841285798642884E-2</v>
      </c>
      <c r="AL351" s="1">
        <f t="shared" si="171"/>
        <v>7.41167960027245E-2</v>
      </c>
      <c r="AM351" s="1">
        <f t="shared" si="171"/>
        <v>7.0392306206806143E-2</v>
      </c>
      <c r="AN351" s="1">
        <f t="shared" si="171"/>
        <v>6.6667816410887787E-2</v>
      </c>
      <c r="AO351" s="1">
        <f t="shared" si="171"/>
        <v>6.2943326614969403E-2</v>
      </c>
    </row>
    <row r="352" spans="1:41">
      <c r="B352" s="1">
        <f t="shared" ref="B352:AO352" si="172">$L$110-B$108</f>
        <v>6.8311652027326156E-2</v>
      </c>
      <c r="C352" s="1">
        <f t="shared" si="172"/>
        <v>7.2036141823244512E-2</v>
      </c>
      <c r="D352" s="1">
        <f t="shared" si="172"/>
        <v>7.5760631619162869E-2</v>
      </c>
      <c r="E352" s="1">
        <f t="shared" si="172"/>
        <v>7.9485121415081253E-2</v>
      </c>
      <c r="F352" s="1">
        <f t="shared" si="172"/>
        <v>8.2991493868069574E-2</v>
      </c>
      <c r="G352" s="1">
        <f t="shared" si="172"/>
        <v>8.477231578587778E-2</v>
      </c>
      <c r="H352" s="1">
        <f t="shared" si="172"/>
        <v>8.6553137703686014E-2</v>
      </c>
      <c r="I352" s="1">
        <f t="shared" si="172"/>
        <v>8.8333959621494221E-2</v>
      </c>
      <c r="J352" s="1">
        <f t="shared" si="172"/>
        <v>9.0114781539302427E-2</v>
      </c>
      <c r="K352" s="1">
        <f t="shared" si="172"/>
        <v>9.1895603457110661E-2</v>
      </c>
      <c r="L352" s="1">
        <f t="shared" si="172"/>
        <v>9.3676425374918867E-2</v>
      </c>
      <c r="M352" s="1">
        <f t="shared" si="172"/>
        <v>9.5457247292727102E-2</v>
      </c>
      <c r="N352" s="1">
        <f t="shared" si="172"/>
        <v>9.6096426491140627E-2</v>
      </c>
      <c r="O352" s="1">
        <f t="shared" si="172"/>
        <v>9.6502477446554616E-2</v>
      </c>
      <c r="P352" s="1">
        <f t="shared" si="172"/>
        <v>9.6908528401968633E-2</v>
      </c>
      <c r="Q352" s="1">
        <f t="shared" si="172"/>
        <v>9.731457935738265E-2</v>
      </c>
      <c r="R352" s="1">
        <f t="shared" si="172"/>
        <v>9.7720630312796666E-2</v>
      </c>
      <c r="S352" s="1">
        <f t="shared" si="172"/>
        <v>9.8126681268210683E-2</v>
      </c>
      <c r="T352" s="1">
        <f t="shared" si="172"/>
        <v>9.85327322236247E-2</v>
      </c>
      <c r="U352" s="1">
        <f t="shared" si="172"/>
        <v>9.8938783179038717E-2</v>
      </c>
      <c r="V352" s="1">
        <f t="shared" si="172"/>
        <v>9.85327322236247E-2</v>
      </c>
      <c r="W352" s="1">
        <f t="shared" si="172"/>
        <v>9.8126681268210683E-2</v>
      </c>
      <c r="X352" s="1">
        <f t="shared" si="172"/>
        <v>9.7720630312796666E-2</v>
      </c>
      <c r="Y352" s="1">
        <f t="shared" si="172"/>
        <v>9.731457935738265E-2</v>
      </c>
      <c r="Z352" s="1">
        <f t="shared" si="172"/>
        <v>9.6908528401968633E-2</v>
      </c>
      <c r="AA352" s="1">
        <f t="shared" si="172"/>
        <v>9.6502477446554616E-2</v>
      </c>
      <c r="AB352" s="1">
        <f t="shared" si="172"/>
        <v>9.6096426491140627E-2</v>
      </c>
      <c r="AC352" s="1">
        <f t="shared" si="172"/>
        <v>9.5457247292727102E-2</v>
      </c>
      <c r="AD352" s="1">
        <f t="shared" si="172"/>
        <v>9.3676425374918867E-2</v>
      </c>
      <c r="AE352" s="1">
        <f t="shared" si="172"/>
        <v>9.1895603457110661E-2</v>
      </c>
      <c r="AF352" s="1">
        <f t="shared" si="172"/>
        <v>9.0114781539302427E-2</v>
      </c>
      <c r="AG352" s="1">
        <f t="shared" si="172"/>
        <v>8.8333959621494221E-2</v>
      </c>
      <c r="AH352" s="1">
        <f t="shared" si="172"/>
        <v>8.6553137703686014E-2</v>
      </c>
      <c r="AI352" s="1">
        <f t="shared" si="172"/>
        <v>8.477231578587778E-2</v>
      </c>
      <c r="AJ352" s="1">
        <f t="shared" si="172"/>
        <v>8.2991493868069574E-2</v>
      </c>
      <c r="AK352" s="1">
        <f t="shared" si="172"/>
        <v>7.9485121415081253E-2</v>
      </c>
      <c r="AL352" s="1">
        <f t="shared" si="172"/>
        <v>7.5760631619162869E-2</v>
      </c>
      <c r="AM352" s="1">
        <f t="shared" si="172"/>
        <v>7.2036141823244512E-2</v>
      </c>
      <c r="AN352" s="1">
        <f t="shared" si="172"/>
        <v>6.8311652027326156E-2</v>
      </c>
      <c r="AO352" s="1">
        <f t="shared" si="172"/>
        <v>6.4587162231407771E-2</v>
      </c>
    </row>
    <row r="353" spans="2:41">
      <c r="B353" s="1">
        <f t="shared" ref="B353:AO353" si="173">$M$110-B$108</f>
        <v>6.9955487643764497E-2</v>
      </c>
      <c r="C353" s="1">
        <f t="shared" si="173"/>
        <v>7.3679977439682853E-2</v>
      </c>
      <c r="D353" s="1">
        <f t="shared" si="173"/>
        <v>7.740446723560121E-2</v>
      </c>
      <c r="E353" s="1">
        <f t="shared" si="173"/>
        <v>8.1128957031519594E-2</v>
      </c>
      <c r="F353" s="1">
        <f t="shared" si="173"/>
        <v>8.4635329484507915E-2</v>
      </c>
      <c r="G353" s="1">
        <f t="shared" si="173"/>
        <v>8.6416151402316121E-2</v>
      </c>
      <c r="H353" s="1">
        <f t="shared" si="173"/>
        <v>8.8196973320124356E-2</v>
      </c>
      <c r="I353" s="1">
        <f t="shared" si="173"/>
        <v>8.9977795237932562E-2</v>
      </c>
      <c r="J353" s="1">
        <f t="shared" si="173"/>
        <v>9.1758617155740768E-2</v>
      </c>
      <c r="K353" s="1">
        <f t="shared" si="173"/>
        <v>9.3539439073549002E-2</v>
      </c>
      <c r="L353" s="1">
        <f t="shared" si="173"/>
        <v>9.5320260991357209E-2</v>
      </c>
      <c r="M353" s="1">
        <f t="shared" si="173"/>
        <v>9.7101082909165443E-2</v>
      </c>
      <c r="N353" s="1">
        <f t="shared" si="173"/>
        <v>9.7740262107578968E-2</v>
      </c>
      <c r="O353" s="1">
        <f t="shared" si="173"/>
        <v>9.8146313062992957E-2</v>
      </c>
      <c r="P353" s="1">
        <f t="shared" si="173"/>
        <v>9.8552364018406974E-2</v>
      </c>
      <c r="Q353" s="1">
        <f t="shared" si="173"/>
        <v>9.8958414973820991E-2</v>
      </c>
      <c r="R353" s="1">
        <f t="shared" si="173"/>
        <v>9.9364465929235007E-2</v>
      </c>
      <c r="S353" s="1">
        <f t="shared" si="173"/>
        <v>9.9770516884649024E-2</v>
      </c>
      <c r="T353" s="1">
        <f t="shared" si="173"/>
        <v>0.10017656784006304</v>
      </c>
      <c r="U353" s="1">
        <f t="shared" si="173"/>
        <v>0.10058261879547706</v>
      </c>
      <c r="V353" s="1">
        <f t="shared" si="173"/>
        <v>0.10017656784006304</v>
      </c>
      <c r="W353" s="1">
        <f t="shared" si="173"/>
        <v>9.9770516884649024E-2</v>
      </c>
      <c r="X353" s="1">
        <f t="shared" si="173"/>
        <v>9.9364465929235007E-2</v>
      </c>
      <c r="Y353" s="1">
        <f t="shared" si="173"/>
        <v>9.8958414973820991E-2</v>
      </c>
      <c r="Z353" s="1">
        <f t="shared" si="173"/>
        <v>9.8552364018406974E-2</v>
      </c>
      <c r="AA353" s="1">
        <f t="shared" si="173"/>
        <v>9.8146313062992957E-2</v>
      </c>
      <c r="AB353" s="1">
        <f t="shared" si="173"/>
        <v>9.7740262107578968E-2</v>
      </c>
      <c r="AC353" s="1">
        <f t="shared" si="173"/>
        <v>9.7101082909165443E-2</v>
      </c>
      <c r="AD353" s="1">
        <f t="shared" si="173"/>
        <v>9.5320260991357209E-2</v>
      </c>
      <c r="AE353" s="1">
        <f t="shared" si="173"/>
        <v>9.3539439073549002E-2</v>
      </c>
      <c r="AF353" s="1">
        <f t="shared" si="173"/>
        <v>9.1758617155740768E-2</v>
      </c>
      <c r="AG353" s="1">
        <f t="shared" si="173"/>
        <v>8.9977795237932562E-2</v>
      </c>
      <c r="AH353" s="1">
        <f t="shared" si="173"/>
        <v>8.8196973320124356E-2</v>
      </c>
      <c r="AI353" s="1">
        <f t="shared" si="173"/>
        <v>8.6416151402316121E-2</v>
      </c>
      <c r="AJ353" s="1">
        <f t="shared" si="173"/>
        <v>8.4635329484507915E-2</v>
      </c>
      <c r="AK353" s="1">
        <f t="shared" si="173"/>
        <v>8.1128957031519594E-2</v>
      </c>
      <c r="AL353" s="1">
        <f t="shared" si="173"/>
        <v>7.740446723560121E-2</v>
      </c>
      <c r="AM353" s="1">
        <f t="shared" si="173"/>
        <v>7.3679977439682853E-2</v>
      </c>
      <c r="AN353" s="1">
        <f t="shared" si="173"/>
        <v>6.9955487643764497E-2</v>
      </c>
      <c r="AO353" s="1">
        <f t="shared" si="173"/>
        <v>6.6230997847846113E-2</v>
      </c>
    </row>
    <row r="354" spans="2:41">
      <c r="B354" s="1">
        <f t="shared" ref="B354:AO354" si="174">$N$110-B$108</f>
        <v>7.1145146529226877E-2</v>
      </c>
      <c r="C354" s="1">
        <f t="shared" si="174"/>
        <v>7.4869636325145233E-2</v>
      </c>
      <c r="D354" s="1">
        <f t="shared" si="174"/>
        <v>7.859412612106359E-2</v>
      </c>
      <c r="E354" s="1">
        <f t="shared" si="174"/>
        <v>8.2318615916981974E-2</v>
      </c>
      <c r="F354" s="1">
        <f t="shared" si="174"/>
        <v>8.5824988369970295E-2</v>
      </c>
      <c r="G354" s="1">
        <f t="shared" si="174"/>
        <v>8.7605810287778502E-2</v>
      </c>
      <c r="H354" s="1">
        <f t="shared" si="174"/>
        <v>8.9386632205586736E-2</v>
      </c>
      <c r="I354" s="1">
        <f t="shared" si="174"/>
        <v>9.1167454123394942E-2</v>
      </c>
      <c r="J354" s="1">
        <f t="shared" si="174"/>
        <v>9.2948276041203148E-2</v>
      </c>
      <c r="K354" s="1">
        <f t="shared" si="174"/>
        <v>9.4729097959011382E-2</v>
      </c>
      <c r="L354" s="1">
        <f t="shared" si="174"/>
        <v>9.6509919876819589E-2</v>
      </c>
      <c r="M354" s="1">
        <f t="shared" si="174"/>
        <v>9.8290741794627823E-2</v>
      </c>
      <c r="N354" s="1">
        <f t="shared" si="174"/>
        <v>9.8929920993041348E-2</v>
      </c>
      <c r="O354" s="1">
        <f t="shared" si="174"/>
        <v>9.9335971948455337E-2</v>
      </c>
      <c r="P354" s="1">
        <f t="shared" si="174"/>
        <v>9.9742022903869354E-2</v>
      </c>
      <c r="Q354" s="1">
        <f t="shared" si="174"/>
        <v>0.10014807385928337</v>
      </c>
      <c r="R354" s="1">
        <f t="shared" si="174"/>
        <v>0.10055412481469739</v>
      </c>
      <c r="S354" s="1">
        <f t="shared" si="174"/>
        <v>0.1009601757701114</v>
      </c>
      <c r="T354" s="1">
        <f t="shared" si="174"/>
        <v>0.10136622672552542</v>
      </c>
      <c r="U354" s="1">
        <f t="shared" si="174"/>
        <v>0.10177227768093944</v>
      </c>
      <c r="V354" s="1">
        <f t="shared" si="174"/>
        <v>0.10136622672552542</v>
      </c>
      <c r="W354" s="1">
        <f t="shared" si="174"/>
        <v>0.1009601757701114</v>
      </c>
      <c r="X354" s="1">
        <f t="shared" si="174"/>
        <v>0.10055412481469739</v>
      </c>
      <c r="Y354" s="1">
        <f t="shared" si="174"/>
        <v>0.10014807385928337</v>
      </c>
      <c r="Z354" s="1">
        <f t="shared" si="174"/>
        <v>9.9742022903869354E-2</v>
      </c>
      <c r="AA354" s="1">
        <f t="shared" si="174"/>
        <v>9.9335971948455337E-2</v>
      </c>
      <c r="AB354" s="1">
        <f t="shared" si="174"/>
        <v>9.8929920993041348E-2</v>
      </c>
      <c r="AC354" s="1">
        <f t="shared" si="174"/>
        <v>9.8290741794627823E-2</v>
      </c>
      <c r="AD354" s="1">
        <f t="shared" si="174"/>
        <v>9.6509919876819589E-2</v>
      </c>
      <c r="AE354" s="1">
        <f t="shared" si="174"/>
        <v>9.4729097959011382E-2</v>
      </c>
      <c r="AF354" s="1">
        <f t="shared" si="174"/>
        <v>9.2948276041203148E-2</v>
      </c>
      <c r="AG354" s="1">
        <f t="shared" si="174"/>
        <v>9.1167454123394942E-2</v>
      </c>
      <c r="AH354" s="1">
        <f t="shared" si="174"/>
        <v>8.9386632205586736E-2</v>
      </c>
      <c r="AI354" s="1">
        <f t="shared" si="174"/>
        <v>8.7605810287778502E-2</v>
      </c>
      <c r="AJ354" s="1">
        <f t="shared" si="174"/>
        <v>8.5824988369970295E-2</v>
      </c>
      <c r="AK354" s="1">
        <f t="shared" si="174"/>
        <v>8.2318615916981974E-2</v>
      </c>
      <c r="AL354" s="1">
        <f t="shared" si="174"/>
        <v>7.859412612106359E-2</v>
      </c>
      <c r="AM354" s="1">
        <f t="shared" si="174"/>
        <v>7.4869636325145233E-2</v>
      </c>
      <c r="AN354" s="1">
        <f t="shared" si="174"/>
        <v>7.1145146529226877E-2</v>
      </c>
      <c r="AO354" s="1">
        <f t="shared" si="174"/>
        <v>6.7420656733308493E-2</v>
      </c>
    </row>
    <row r="355" spans="2:41">
      <c r="B355" s="1">
        <f t="shared" ref="B355:AO355" si="175">$O$110-B$108</f>
        <v>7.0876087314859865E-2</v>
      </c>
      <c r="C355" s="1">
        <f t="shared" si="175"/>
        <v>7.4600577110778221E-2</v>
      </c>
      <c r="D355" s="1">
        <f t="shared" si="175"/>
        <v>7.8325066906696578E-2</v>
      </c>
      <c r="E355" s="1">
        <f t="shared" si="175"/>
        <v>8.2049556702614962E-2</v>
      </c>
      <c r="F355" s="1">
        <f t="shared" si="175"/>
        <v>8.5555929155603283E-2</v>
      </c>
      <c r="G355" s="1">
        <f t="shared" si="175"/>
        <v>8.7336751073411489E-2</v>
      </c>
      <c r="H355" s="1">
        <f t="shared" si="175"/>
        <v>8.9117572991219723E-2</v>
      </c>
      <c r="I355" s="1">
        <f t="shared" si="175"/>
        <v>9.089839490902793E-2</v>
      </c>
      <c r="J355" s="1">
        <f t="shared" si="175"/>
        <v>9.2679216826836136E-2</v>
      </c>
      <c r="K355" s="1">
        <f t="shared" si="175"/>
        <v>9.446003874464437E-2</v>
      </c>
      <c r="L355" s="1">
        <f t="shared" si="175"/>
        <v>9.6240860662452576E-2</v>
      </c>
      <c r="M355" s="1">
        <f t="shared" si="175"/>
        <v>9.802168258026081E-2</v>
      </c>
      <c r="N355" s="1">
        <f t="shared" si="175"/>
        <v>9.8660861778674336E-2</v>
      </c>
      <c r="O355" s="1">
        <f t="shared" si="175"/>
        <v>9.9066912734088325E-2</v>
      </c>
      <c r="P355" s="1">
        <f t="shared" si="175"/>
        <v>9.9472963689502342E-2</v>
      </c>
      <c r="Q355" s="1">
        <f t="shared" si="175"/>
        <v>9.9879014644916359E-2</v>
      </c>
      <c r="R355" s="1">
        <f t="shared" si="175"/>
        <v>0.10028506560033038</v>
      </c>
      <c r="S355" s="1">
        <f t="shared" si="175"/>
        <v>0.10069111655574439</v>
      </c>
      <c r="T355" s="1">
        <f t="shared" si="175"/>
        <v>0.10109716751115841</v>
      </c>
      <c r="U355" s="1">
        <f t="shared" si="175"/>
        <v>0.10150321846657243</v>
      </c>
      <c r="V355" s="1">
        <f t="shared" si="175"/>
        <v>0.10109716751115841</v>
      </c>
      <c r="W355" s="1">
        <f t="shared" si="175"/>
        <v>0.10069111655574439</v>
      </c>
      <c r="X355" s="1">
        <f t="shared" si="175"/>
        <v>0.10028506560033038</v>
      </c>
      <c r="Y355" s="1">
        <f t="shared" si="175"/>
        <v>9.9879014644916359E-2</v>
      </c>
      <c r="Z355" s="1">
        <f t="shared" si="175"/>
        <v>9.9472963689502342E-2</v>
      </c>
      <c r="AA355" s="1">
        <f t="shared" si="175"/>
        <v>9.9066912734088325E-2</v>
      </c>
      <c r="AB355" s="1">
        <f t="shared" si="175"/>
        <v>9.8660861778674336E-2</v>
      </c>
      <c r="AC355" s="1">
        <f t="shared" si="175"/>
        <v>9.802168258026081E-2</v>
      </c>
      <c r="AD355" s="1">
        <f t="shared" si="175"/>
        <v>9.6240860662452576E-2</v>
      </c>
      <c r="AE355" s="1">
        <f t="shared" si="175"/>
        <v>9.446003874464437E-2</v>
      </c>
      <c r="AF355" s="1">
        <f t="shared" si="175"/>
        <v>9.2679216826836136E-2</v>
      </c>
      <c r="AG355" s="1">
        <f t="shared" si="175"/>
        <v>9.089839490902793E-2</v>
      </c>
      <c r="AH355" s="1">
        <f t="shared" si="175"/>
        <v>8.9117572991219723E-2</v>
      </c>
      <c r="AI355" s="1">
        <f t="shared" si="175"/>
        <v>8.7336751073411489E-2</v>
      </c>
      <c r="AJ355" s="1">
        <f t="shared" si="175"/>
        <v>8.5555929155603283E-2</v>
      </c>
      <c r="AK355" s="1">
        <f t="shared" si="175"/>
        <v>8.2049556702614962E-2</v>
      </c>
      <c r="AL355" s="1">
        <f t="shared" si="175"/>
        <v>7.8325066906696578E-2</v>
      </c>
      <c r="AM355" s="1">
        <f t="shared" si="175"/>
        <v>7.4600577110778221E-2</v>
      </c>
      <c r="AN355" s="1">
        <f t="shared" si="175"/>
        <v>7.0876087314859865E-2</v>
      </c>
      <c r="AO355" s="1">
        <f t="shared" si="175"/>
        <v>6.715159751894148E-2</v>
      </c>
    </row>
    <row r="356" spans="2:41">
      <c r="B356" s="1">
        <f t="shared" ref="B356:AO356" si="176">$P$110-B$108</f>
        <v>7.0740736996388526E-2</v>
      </c>
      <c r="C356" s="1">
        <f t="shared" si="176"/>
        <v>7.4465226792306882E-2</v>
      </c>
      <c r="D356" s="1">
        <f t="shared" si="176"/>
        <v>7.8189716588225239E-2</v>
      </c>
      <c r="E356" s="1">
        <f t="shared" si="176"/>
        <v>8.1914206384143623E-2</v>
      </c>
      <c r="F356" s="1">
        <f t="shared" si="176"/>
        <v>8.5420578837131944E-2</v>
      </c>
      <c r="G356" s="1">
        <f t="shared" si="176"/>
        <v>8.720140075494015E-2</v>
      </c>
      <c r="H356" s="1">
        <f t="shared" si="176"/>
        <v>8.8982222672748384E-2</v>
      </c>
      <c r="I356" s="1">
        <f t="shared" si="176"/>
        <v>9.0763044590556591E-2</v>
      </c>
      <c r="J356" s="1">
        <f t="shared" si="176"/>
        <v>9.2543866508364797E-2</v>
      </c>
      <c r="K356" s="1">
        <f t="shared" si="176"/>
        <v>9.4324688426173031E-2</v>
      </c>
      <c r="L356" s="1">
        <f t="shared" si="176"/>
        <v>9.6105510343981237E-2</v>
      </c>
      <c r="M356" s="1">
        <f t="shared" si="176"/>
        <v>9.7886332261789472E-2</v>
      </c>
      <c r="N356" s="1">
        <f t="shared" si="176"/>
        <v>9.8525511460202997E-2</v>
      </c>
      <c r="O356" s="1">
        <f t="shared" si="176"/>
        <v>9.8931562415616986E-2</v>
      </c>
      <c r="P356" s="1">
        <f t="shared" si="176"/>
        <v>9.9337613371031003E-2</v>
      </c>
      <c r="Q356" s="1">
        <f t="shared" si="176"/>
        <v>9.974366432644502E-2</v>
      </c>
      <c r="R356" s="1">
        <f t="shared" si="176"/>
        <v>0.10014971528185904</v>
      </c>
      <c r="S356" s="1">
        <f t="shared" si="176"/>
        <v>0.10055576623727305</v>
      </c>
      <c r="T356" s="1">
        <f t="shared" si="176"/>
        <v>0.10096181719268707</v>
      </c>
      <c r="U356" s="1">
        <f t="shared" si="176"/>
        <v>0.10136786814810109</v>
      </c>
      <c r="V356" s="1">
        <f t="shared" si="176"/>
        <v>0.10096181719268707</v>
      </c>
      <c r="W356" s="1">
        <f t="shared" si="176"/>
        <v>0.10055576623727305</v>
      </c>
      <c r="X356" s="1">
        <f t="shared" si="176"/>
        <v>0.10014971528185904</v>
      </c>
      <c r="Y356" s="1">
        <f t="shared" si="176"/>
        <v>9.974366432644502E-2</v>
      </c>
      <c r="Z356" s="1">
        <f t="shared" si="176"/>
        <v>9.9337613371031003E-2</v>
      </c>
      <c r="AA356" s="1">
        <f t="shared" si="176"/>
        <v>9.8931562415616986E-2</v>
      </c>
      <c r="AB356" s="1">
        <f t="shared" si="176"/>
        <v>9.8525511460202997E-2</v>
      </c>
      <c r="AC356" s="1">
        <f t="shared" si="176"/>
        <v>9.7886332261789472E-2</v>
      </c>
      <c r="AD356" s="1">
        <f t="shared" si="176"/>
        <v>9.6105510343981237E-2</v>
      </c>
      <c r="AE356" s="1">
        <f t="shared" si="176"/>
        <v>9.4324688426173031E-2</v>
      </c>
      <c r="AF356" s="1">
        <f t="shared" si="176"/>
        <v>9.2543866508364797E-2</v>
      </c>
      <c r="AG356" s="1">
        <f t="shared" si="176"/>
        <v>9.0763044590556591E-2</v>
      </c>
      <c r="AH356" s="1">
        <f t="shared" si="176"/>
        <v>8.8982222672748384E-2</v>
      </c>
      <c r="AI356" s="1">
        <f t="shared" si="176"/>
        <v>8.720140075494015E-2</v>
      </c>
      <c r="AJ356" s="1">
        <f t="shared" si="176"/>
        <v>8.5420578837131944E-2</v>
      </c>
      <c r="AK356" s="1">
        <f t="shared" si="176"/>
        <v>8.1914206384143623E-2</v>
      </c>
      <c r="AL356" s="1">
        <f t="shared" si="176"/>
        <v>7.8189716588225239E-2</v>
      </c>
      <c r="AM356" s="1">
        <f t="shared" si="176"/>
        <v>7.4465226792306882E-2</v>
      </c>
      <c r="AN356" s="1">
        <f t="shared" si="176"/>
        <v>7.0740736996388526E-2</v>
      </c>
      <c r="AO356" s="1">
        <f t="shared" si="176"/>
        <v>6.7016247200470141E-2</v>
      </c>
    </row>
    <row r="357" spans="2:41">
      <c r="B357" s="1">
        <f t="shared" ref="B357:AO357" si="177">$Q$110-B$108</f>
        <v>7.0605386677917187E-2</v>
      </c>
      <c r="C357" s="1">
        <f t="shared" si="177"/>
        <v>7.4329876473835543E-2</v>
      </c>
      <c r="D357" s="1">
        <f t="shared" si="177"/>
        <v>7.80543662697539E-2</v>
      </c>
      <c r="E357" s="1">
        <f t="shared" si="177"/>
        <v>8.1778856065672284E-2</v>
      </c>
      <c r="F357" s="1">
        <f t="shared" si="177"/>
        <v>8.5285228518660605E-2</v>
      </c>
      <c r="G357" s="1">
        <f t="shared" si="177"/>
        <v>8.7066050436468811E-2</v>
      </c>
      <c r="H357" s="1">
        <f t="shared" si="177"/>
        <v>8.8846872354277046E-2</v>
      </c>
      <c r="I357" s="1">
        <f t="shared" si="177"/>
        <v>9.0627694272085252E-2</v>
      </c>
      <c r="J357" s="1">
        <f t="shared" si="177"/>
        <v>9.2408516189893458E-2</v>
      </c>
      <c r="K357" s="1">
        <f t="shared" si="177"/>
        <v>9.4189338107701692E-2</v>
      </c>
      <c r="L357" s="1">
        <f t="shared" si="177"/>
        <v>9.5970160025509899E-2</v>
      </c>
      <c r="M357" s="1">
        <f t="shared" si="177"/>
        <v>9.7750981943318133E-2</v>
      </c>
      <c r="N357" s="1">
        <f t="shared" si="177"/>
        <v>9.8390161141731658E-2</v>
      </c>
      <c r="O357" s="1">
        <f t="shared" si="177"/>
        <v>9.8796212097145647E-2</v>
      </c>
      <c r="P357" s="1">
        <f t="shared" si="177"/>
        <v>9.9202263052559664E-2</v>
      </c>
      <c r="Q357" s="1">
        <f t="shared" si="177"/>
        <v>9.9608314007973681E-2</v>
      </c>
      <c r="R357" s="1">
        <f t="shared" si="177"/>
        <v>0.1000143649633877</v>
      </c>
      <c r="S357" s="1">
        <f t="shared" si="177"/>
        <v>0.10042041591880171</v>
      </c>
      <c r="T357" s="1">
        <f t="shared" si="177"/>
        <v>0.10082646687421573</v>
      </c>
      <c r="U357" s="1">
        <f t="shared" si="177"/>
        <v>0.10123251782962975</v>
      </c>
      <c r="V357" s="1">
        <f t="shared" si="177"/>
        <v>0.10082646687421573</v>
      </c>
      <c r="W357" s="1">
        <f t="shared" si="177"/>
        <v>0.10042041591880171</v>
      </c>
      <c r="X357" s="1">
        <f t="shared" si="177"/>
        <v>0.1000143649633877</v>
      </c>
      <c r="Y357" s="1">
        <f t="shared" si="177"/>
        <v>9.9608314007973681E-2</v>
      </c>
      <c r="Z357" s="1">
        <f t="shared" si="177"/>
        <v>9.9202263052559664E-2</v>
      </c>
      <c r="AA357" s="1">
        <f t="shared" si="177"/>
        <v>9.8796212097145647E-2</v>
      </c>
      <c r="AB357" s="1">
        <f t="shared" si="177"/>
        <v>9.8390161141731658E-2</v>
      </c>
      <c r="AC357" s="1">
        <f t="shared" si="177"/>
        <v>9.7750981943318133E-2</v>
      </c>
      <c r="AD357" s="1">
        <f t="shared" si="177"/>
        <v>9.5970160025509899E-2</v>
      </c>
      <c r="AE357" s="1">
        <f t="shared" si="177"/>
        <v>9.4189338107701692E-2</v>
      </c>
      <c r="AF357" s="1">
        <f t="shared" si="177"/>
        <v>9.2408516189893458E-2</v>
      </c>
      <c r="AG357" s="1">
        <f t="shared" si="177"/>
        <v>9.0627694272085252E-2</v>
      </c>
      <c r="AH357" s="1">
        <f t="shared" si="177"/>
        <v>8.8846872354277046E-2</v>
      </c>
      <c r="AI357" s="1">
        <f t="shared" si="177"/>
        <v>8.7066050436468811E-2</v>
      </c>
      <c r="AJ357" s="1">
        <f t="shared" si="177"/>
        <v>8.5285228518660605E-2</v>
      </c>
      <c r="AK357" s="1">
        <f t="shared" si="177"/>
        <v>8.1778856065672284E-2</v>
      </c>
      <c r="AL357" s="1">
        <f t="shared" si="177"/>
        <v>7.80543662697539E-2</v>
      </c>
      <c r="AM357" s="1">
        <f t="shared" si="177"/>
        <v>7.4329876473835543E-2</v>
      </c>
      <c r="AN357" s="1">
        <f t="shared" si="177"/>
        <v>7.0605386677917187E-2</v>
      </c>
      <c r="AO357" s="1">
        <f t="shared" si="177"/>
        <v>6.6880896881998803E-2</v>
      </c>
    </row>
    <row r="358" spans="2:41">
      <c r="B358" s="1">
        <f t="shared" ref="B358:AO358" si="178">$R$110-B$108</f>
        <v>7.0470036359445848E-2</v>
      </c>
      <c r="C358" s="1">
        <f t="shared" si="178"/>
        <v>7.4194526155364204E-2</v>
      </c>
      <c r="D358" s="1">
        <f t="shared" si="178"/>
        <v>7.7919015951282561E-2</v>
      </c>
      <c r="E358" s="1">
        <f t="shared" si="178"/>
        <v>8.1643505747200945E-2</v>
      </c>
      <c r="F358" s="1">
        <f t="shared" si="178"/>
        <v>8.5149878200189266E-2</v>
      </c>
      <c r="G358" s="1">
        <f t="shared" si="178"/>
        <v>8.6930700117997473E-2</v>
      </c>
      <c r="H358" s="1">
        <f t="shared" si="178"/>
        <v>8.8711522035805707E-2</v>
      </c>
      <c r="I358" s="1">
        <f t="shared" si="178"/>
        <v>9.0492343953613913E-2</v>
      </c>
      <c r="J358" s="1">
        <f t="shared" si="178"/>
        <v>9.2273165871422119E-2</v>
      </c>
      <c r="K358" s="1">
        <f t="shared" si="178"/>
        <v>9.4053987789230353E-2</v>
      </c>
      <c r="L358" s="1">
        <f t="shared" si="178"/>
        <v>9.583480970703856E-2</v>
      </c>
      <c r="M358" s="1">
        <f t="shared" si="178"/>
        <v>9.7615631624846794E-2</v>
      </c>
      <c r="N358" s="1">
        <f t="shared" si="178"/>
        <v>9.8254810823260319E-2</v>
      </c>
      <c r="O358" s="1">
        <f t="shared" si="178"/>
        <v>9.8660861778674308E-2</v>
      </c>
      <c r="P358" s="1">
        <f t="shared" si="178"/>
        <v>9.9066912734088325E-2</v>
      </c>
      <c r="Q358" s="1">
        <f t="shared" si="178"/>
        <v>9.9472963689502342E-2</v>
      </c>
      <c r="R358" s="1">
        <f t="shared" si="178"/>
        <v>9.9879014644916359E-2</v>
      </c>
      <c r="S358" s="1">
        <f t="shared" si="178"/>
        <v>0.10028506560033038</v>
      </c>
      <c r="T358" s="1">
        <f t="shared" si="178"/>
        <v>0.10069111655574439</v>
      </c>
      <c r="U358" s="1">
        <f t="shared" si="178"/>
        <v>0.10109716751115841</v>
      </c>
      <c r="V358" s="1">
        <f t="shared" si="178"/>
        <v>0.10069111655574439</v>
      </c>
      <c r="W358" s="1">
        <f t="shared" si="178"/>
        <v>0.10028506560033038</v>
      </c>
      <c r="X358" s="1">
        <f t="shared" si="178"/>
        <v>9.9879014644916359E-2</v>
      </c>
      <c r="Y358" s="1">
        <f t="shared" si="178"/>
        <v>9.9472963689502342E-2</v>
      </c>
      <c r="Z358" s="1">
        <f t="shared" si="178"/>
        <v>9.9066912734088325E-2</v>
      </c>
      <c r="AA358" s="1">
        <f t="shared" si="178"/>
        <v>9.8660861778674308E-2</v>
      </c>
      <c r="AB358" s="1">
        <f t="shared" si="178"/>
        <v>9.8254810823260319E-2</v>
      </c>
      <c r="AC358" s="1">
        <f t="shared" si="178"/>
        <v>9.7615631624846794E-2</v>
      </c>
      <c r="AD358" s="1">
        <f t="shared" si="178"/>
        <v>9.583480970703856E-2</v>
      </c>
      <c r="AE358" s="1">
        <f t="shared" si="178"/>
        <v>9.4053987789230353E-2</v>
      </c>
      <c r="AF358" s="1">
        <f t="shared" si="178"/>
        <v>9.2273165871422119E-2</v>
      </c>
      <c r="AG358" s="1">
        <f t="shared" si="178"/>
        <v>9.0492343953613913E-2</v>
      </c>
      <c r="AH358" s="1">
        <f t="shared" si="178"/>
        <v>8.8711522035805707E-2</v>
      </c>
      <c r="AI358" s="1">
        <f t="shared" si="178"/>
        <v>8.6930700117997473E-2</v>
      </c>
      <c r="AJ358" s="1">
        <f t="shared" si="178"/>
        <v>8.5149878200189266E-2</v>
      </c>
      <c r="AK358" s="1">
        <f t="shared" si="178"/>
        <v>8.1643505747200945E-2</v>
      </c>
      <c r="AL358" s="1">
        <f t="shared" si="178"/>
        <v>7.7919015951282561E-2</v>
      </c>
      <c r="AM358" s="1">
        <f t="shared" si="178"/>
        <v>7.4194526155364204E-2</v>
      </c>
      <c r="AN358" s="1">
        <f t="shared" si="178"/>
        <v>7.0470036359445848E-2</v>
      </c>
      <c r="AO358" s="1">
        <f t="shared" si="178"/>
        <v>6.6745546563527464E-2</v>
      </c>
    </row>
    <row r="359" spans="2:41">
      <c r="B359" s="1">
        <f t="shared" ref="B359:AO359" si="179">$S$110-B$108</f>
        <v>7.0334686040974523E-2</v>
      </c>
      <c r="C359" s="1">
        <f t="shared" si="179"/>
        <v>7.4059175836892879E-2</v>
      </c>
      <c r="D359" s="1">
        <f t="shared" si="179"/>
        <v>7.7783665632811236E-2</v>
      </c>
      <c r="E359" s="1">
        <f t="shared" si="179"/>
        <v>8.150815542872962E-2</v>
      </c>
      <c r="F359" s="1">
        <f t="shared" si="179"/>
        <v>8.5014527881717941E-2</v>
      </c>
      <c r="G359" s="1">
        <f t="shared" si="179"/>
        <v>8.6795349799526147E-2</v>
      </c>
      <c r="H359" s="1">
        <f t="shared" si="179"/>
        <v>8.8576171717334382E-2</v>
      </c>
      <c r="I359" s="1">
        <f t="shared" si="179"/>
        <v>9.0356993635142588E-2</v>
      </c>
      <c r="J359" s="1">
        <f t="shared" si="179"/>
        <v>9.2137815552950794E-2</v>
      </c>
      <c r="K359" s="1">
        <f t="shared" si="179"/>
        <v>9.3918637470759028E-2</v>
      </c>
      <c r="L359" s="1">
        <f t="shared" si="179"/>
        <v>9.5699459388567235E-2</v>
      </c>
      <c r="M359" s="1">
        <f t="shared" si="179"/>
        <v>9.7480281306375469E-2</v>
      </c>
      <c r="N359" s="1">
        <f t="shared" si="179"/>
        <v>9.8119460504788994E-2</v>
      </c>
      <c r="O359" s="1">
        <f t="shared" si="179"/>
        <v>9.8525511460202983E-2</v>
      </c>
      <c r="P359" s="1">
        <f t="shared" si="179"/>
        <v>9.8931562415617E-2</v>
      </c>
      <c r="Q359" s="1">
        <f t="shared" si="179"/>
        <v>9.9337613371031017E-2</v>
      </c>
      <c r="R359" s="1">
        <f t="shared" si="179"/>
        <v>9.9743664326445033E-2</v>
      </c>
      <c r="S359" s="1">
        <f t="shared" si="179"/>
        <v>0.10014971528185905</v>
      </c>
      <c r="T359" s="1">
        <f t="shared" si="179"/>
        <v>0.10055576623727307</v>
      </c>
      <c r="U359" s="1">
        <f t="shared" si="179"/>
        <v>0.10096181719268708</v>
      </c>
      <c r="V359" s="1">
        <f t="shared" si="179"/>
        <v>0.10055576623727307</v>
      </c>
      <c r="W359" s="1">
        <f t="shared" si="179"/>
        <v>0.10014971528185905</v>
      </c>
      <c r="X359" s="1">
        <f t="shared" si="179"/>
        <v>9.9743664326445033E-2</v>
      </c>
      <c r="Y359" s="1">
        <f t="shared" si="179"/>
        <v>9.9337613371031017E-2</v>
      </c>
      <c r="Z359" s="1">
        <f t="shared" si="179"/>
        <v>9.8931562415617E-2</v>
      </c>
      <c r="AA359" s="1">
        <f t="shared" si="179"/>
        <v>9.8525511460202983E-2</v>
      </c>
      <c r="AB359" s="1">
        <f t="shared" si="179"/>
        <v>9.8119460504788994E-2</v>
      </c>
      <c r="AC359" s="1">
        <f t="shared" si="179"/>
        <v>9.7480281306375469E-2</v>
      </c>
      <c r="AD359" s="1">
        <f t="shared" si="179"/>
        <v>9.5699459388567235E-2</v>
      </c>
      <c r="AE359" s="1">
        <f t="shared" si="179"/>
        <v>9.3918637470759028E-2</v>
      </c>
      <c r="AF359" s="1">
        <f t="shared" si="179"/>
        <v>9.2137815552950794E-2</v>
      </c>
      <c r="AG359" s="1">
        <f t="shared" si="179"/>
        <v>9.0356993635142588E-2</v>
      </c>
      <c r="AH359" s="1">
        <f t="shared" si="179"/>
        <v>8.8576171717334382E-2</v>
      </c>
      <c r="AI359" s="1">
        <f t="shared" si="179"/>
        <v>8.6795349799526147E-2</v>
      </c>
      <c r="AJ359" s="1">
        <f t="shared" si="179"/>
        <v>8.5014527881717941E-2</v>
      </c>
      <c r="AK359" s="1">
        <f t="shared" si="179"/>
        <v>8.150815542872962E-2</v>
      </c>
      <c r="AL359" s="1">
        <f t="shared" si="179"/>
        <v>7.7783665632811236E-2</v>
      </c>
      <c r="AM359" s="1">
        <f t="shared" si="179"/>
        <v>7.4059175836892879E-2</v>
      </c>
      <c r="AN359" s="1">
        <f t="shared" si="179"/>
        <v>7.0334686040974523E-2</v>
      </c>
      <c r="AO359" s="1">
        <f t="shared" si="179"/>
        <v>6.6610196245056139E-2</v>
      </c>
    </row>
    <row r="360" spans="2:41">
      <c r="B360" s="1">
        <f t="shared" ref="B360:AO360" si="180">$T$110-B$108</f>
        <v>7.0199335722503184E-2</v>
      </c>
      <c r="C360" s="1">
        <f t="shared" si="180"/>
        <v>7.392382551842154E-2</v>
      </c>
      <c r="D360" s="1">
        <f t="shared" si="180"/>
        <v>7.7648315314339897E-2</v>
      </c>
      <c r="E360" s="1">
        <f t="shared" si="180"/>
        <v>8.1372805110258281E-2</v>
      </c>
      <c r="F360" s="1">
        <f t="shared" si="180"/>
        <v>8.4879177563246602E-2</v>
      </c>
      <c r="G360" s="1">
        <f t="shared" si="180"/>
        <v>8.6659999481054809E-2</v>
      </c>
      <c r="H360" s="1">
        <f t="shared" si="180"/>
        <v>8.8440821398863043E-2</v>
      </c>
      <c r="I360" s="1">
        <f t="shared" si="180"/>
        <v>9.0221643316671249E-2</v>
      </c>
      <c r="J360" s="1">
        <f t="shared" si="180"/>
        <v>9.2002465234479455E-2</v>
      </c>
      <c r="K360" s="1">
        <f t="shared" si="180"/>
        <v>9.3783287152287689E-2</v>
      </c>
      <c r="L360" s="1">
        <f t="shared" si="180"/>
        <v>9.5564109070095896E-2</v>
      </c>
      <c r="M360" s="1">
        <f t="shared" si="180"/>
        <v>9.734493098790413E-2</v>
      </c>
      <c r="N360" s="1">
        <f t="shared" si="180"/>
        <v>9.7984110186317655E-2</v>
      </c>
      <c r="O360" s="1">
        <f t="shared" si="180"/>
        <v>9.8390161141731644E-2</v>
      </c>
      <c r="P360" s="1">
        <f t="shared" si="180"/>
        <v>9.8796212097145661E-2</v>
      </c>
      <c r="Q360" s="1">
        <f t="shared" si="180"/>
        <v>9.9202263052559678E-2</v>
      </c>
      <c r="R360" s="1">
        <f t="shared" si="180"/>
        <v>9.9608314007973695E-2</v>
      </c>
      <c r="S360" s="1">
        <f t="shared" si="180"/>
        <v>0.10001436496338771</v>
      </c>
      <c r="T360" s="1">
        <f t="shared" si="180"/>
        <v>0.10042041591880173</v>
      </c>
      <c r="U360" s="1">
        <f t="shared" si="180"/>
        <v>0.10082646687421574</v>
      </c>
      <c r="V360" s="1">
        <f t="shared" si="180"/>
        <v>0.10042041591880173</v>
      </c>
      <c r="W360" s="1">
        <f t="shared" si="180"/>
        <v>0.10001436496338771</v>
      </c>
      <c r="X360" s="1">
        <f t="shared" si="180"/>
        <v>9.9608314007973695E-2</v>
      </c>
      <c r="Y360" s="1">
        <f t="shared" si="180"/>
        <v>9.9202263052559678E-2</v>
      </c>
      <c r="Z360" s="1">
        <f t="shared" si="180"/>
        <v>9.8796212097145661E-2</v>
      </c>
      <c r="AA360" s="1">
        <f t="shared" si="180"/>
        <v>9.8390161141731644E-2</v>
      </c>
      <c r="AB360" s="1">
        <f t="shared" si="180"/>
        <v>9.7984110186317655E-2</v>
      </c>
      <c r="AC360" s="1">
        <f t="shared" si="180"/>
        <v>9.734493098790413E-2</v>
      </c>
      <c r="AD360" s="1">
        <f t="shared" si="180"/>
        <v>9.5564109070095896E-2</v>
      </c>
      <c r="AE360" s="1">
        <f t="shared" si="180"/>
        <v>9.3783287152287689E-2</v>
      </c>
      <c r="AF360" s="1">
        <f t="shared" si="180"/>
        <v>9.2002465234479455E-2</v>
      </c>
      <c r="AG360" s="1">
        <f t="shared" si="180"/>
        <v>9.0221643316671249E-2</v>
      </c>
      <c r="AH360" s="1">
        <f t="shared" si="180"/>
        <v>8.8440821398863043E-2</v>
      </c>
      <c r="AI360" s="1">
        <f t="shared" si="180"/>
        <v>8.6659999481054809E-2</v>
      </c>
      <c r="AJ360" s="1">
        <f t="shared" si="180"/>
        <v>8.4879177563246602E-2</v>
      </c>
      <c r="AK360" s="1">
        <f t="shared" si="180"/>
        <v>8.1372805110258281E-2</v>
      </c>
      <c r="AL360" s="1">
        <f t="shared" si="180"/>
        <v>7.7648315314339897E-2</v>
      </c>
      <c r="AM360" s="1">
        <f t="shared" si="180"/>
        <v>7.392382551842154E-2</v>
      </c>
      <c r="AN360" s="1">
        <f t="shared" si="180"/>
        <v>7.0199335722503184E-2</v>
      </c>
      <c r="AO360" s="1">
        <f t="shared" si="180"/>
        <v>6.64748459265848E-2</v>
      </c>
    </row>
    <row r="361" spans="2:41">
      <c r="B361" s="1">
        <f t="shared" ref="B361:AO361" si="181">$U$110-B$108</f>
        <v>7.0063985404031845E-2</v>
      </c>
      <c r="C361" s="1">
        <f t="shared" si="181"/>
        <v>7.3788475199950201E-2</v>
      </c>
      <c r="D361" s="1">
        <f t="shared" si="181"/>
        <v>7.7512964995868558E-2</v>
      </c>
      <c r="E361" s="1">
        <f t="shared" si="181"/>
        <v>8.1237454791786942E-2</v>
      </c>
      <c r="F361" s="1">
        <f t="shared" si="181"/>
        <v>8.4743827244775263E-2</v>
      </c>
      <c r="G361" s="1">
        <f t="shared" si="181"/>
        <v>8.652464916258347E-2</v>
      </c>
      <c r="H361" s="1">
        <f t="shared" si="181"/>
        <v>8.8305471080391704E-2</v>
      </c>
      <c r="I361" s="1">
        <f t="shared" si="181"/>
        <v>9.008629299819991E-2</v>
      </c>
      <c r="J361" s="1">
        <f t="shared" si="181"/>
        <v>9.1867114916008116E-2</v>
      </c>
      <c r="K361" s="1">
        <f t="shared" si="181"/>
        <v>9.364793683381635E-2</v>
      </c>
      <c r="L361" s="1">
        <f t="shared" si="181"/>
        <v>9.5428758751624557E-2</v>
      </c>
      <c r="M361" s="1">
        <f t="shared" si="181"/>
        <v>9.7209580669432791E-2</v>
      </c>
      <c r="N361" s="1">
        <f t="shared" si="181"/>
        <v>9.7848759867846316E-2</v>
      </c>
      <c r="O361" s="1">
        <f t="shared" si="181"/>
        <v>9.8254810823260305E-2</v>
      </c>
      <c r="P361" s="1">
        <f t="shared" si="181"/>
        <v>9.8660861778674322E-2</v>
      </c>
      <c r="Q361" s="1">
        <f t="shared" si="181"/>
        <v>9.9066912734088339E-2</v>
      </c>
      <c r="R361" s="1">
        <f t="shared" si="181"/>
        <v>9.9472963689502356E-2</v>
      </c>
      <c r="S361" s="1">
        <f t="shared" si="181"/>
        <v>9.9879014644916372E-2</v>
      </c>
      <c r="T361" s="1">
        <f t="shared" si="181"/>
        <v>0.10028506560033039</v>
      </c>
      <c r="U361" s="1">
        <f t="shared" si="181"/>
        <v>0.10069111655574441</v>
      </c>
      <c r="V361" s="1">
        <f t="shared" si="181"/>
        <v>0.10028506560033039</v>
      </c>
      <c r="W361" s="1">
        <f t="shared" si="181"/>
        <v>9.9879014644916372E-2</v>
      </c>
      <c r="X361" s="1">
        <f t="shared" si="181"/>
        <v>9.9472963689502356E-2</v>
      </c>
      <c r="Y361" s="1">
        <f t="shared" si="181"/>
        <v>9.9066912734088339E-2</v>
      </c>
      <c r="Z361" s="1">
        <f t="shared" si="181"/>
        <v>9.8660861778674322E-2</v>
      </c>
      <c r="AA361" s="1">
        <f t="shared" si="181"/>
        <v>9.8254810823260305E-2</v>
      </c>
      <c r="AB361" s="1">
        <f t="shared" si="181"/>
        <v>9.7848759867846316E-2</v>
      </c>
      <c r="AC361" s="1">
        <f t="shared" si="181"/>
        <v>9.7209580669432791E-2</v>
      </c>
      <c r="AD361" s="1">
        <f t="shared" si="181"/>
        <v>9.5428758751624557E-2</v>
      </c>
      <c r="AE361" s="1">
        <f t="shared" si="181"/>
        <v>9.364793683381635E-2</v>
      </c>
      <c r="AF361" s="1">
        <f t="shared" si="181"/>
        <v>9.1867114916008116E-2</v>
      </c>
      <c r="AG361" s="1">
        <f t="shared" si="181"/>
        <v>9.008629299819991E-2</v>
      </c>
      <c r="AH361" s="1">
        <f t="shared" si="181"/>
        <v>8.8305471080391704E-2</v>
      </c>
      <c r="AI361" s="1">
        <f t="shared" si="181"/>
        <v>8.652464916258347E-2</v>
      </c>
      <c r="AJ361" s="1">
        <f t="shared" si="181"/>
        <v>8.4743827244775263E-2</v>
      </c>
      <c r="AK361" s="1">
        <f t="shared" si="181"/>
        <v>8.1237454791786942E-2</v>
      </c>
      <c r="AL361" s="1">
        <f t="shared" si="181"/>
        <v>7.7512964995868558E-2</v>
      </c>
      <c r="AM361" s="1">
        <f t="shared" si="181"/>
        <v>7.3788475199950201E-2</v>
      </c>
      <c r="AN361" s="1">
        <f t="shared" si="181"/>
        <v>7.0063985404031845E-2</v>
      </c>
      <c r="AO361" s="1">
        <f t="shared" si="181"/>
        <v>6.6339495608113461E-2</v>
      </c>
    </row>
    <row r="362" spans="2:41">
      <c r="B362" s="1">
        <f t="shared" ref="B362:AO362" si="182">$V$110-B$108</f>
        <v>7.0063985404031845E-2</v>
      </c>
      <c r="C362" s="1">
        <f t="shared" si="182"/>
        <v>7.3788475199950201E-2</v>
      </c>
      <c r="D362" s="1">
        <f t="shared" si="182"/>
        <v>7.7512964995868558E-2</v>
      </c>
      <c r="E362" s="1">
        <f t="shared" si="182"/>
        <v>8.1237454791786942E-2</v>
      </c>
      <c r="F362" s="1">
        <f t="shared" si="182"/>
        <v>8.4743827244775263E-2</v>
      </c>
      <c r="G362" s="1">
        <f t="shared" si="182"/>
        <v>8.652464916258347E-2</v>
      </c>
      <c r="H362" s="1">
        <f t="shared" si="182"/>
        <v>8.8305471080391704E-2</v>
      </c>
      <c r="I362" s="1">
        <f t="shared" si="182"/>
        <v>9.008629299819991E-2</v>
      </c>
      <c r="J362" s="1">
        <f t="shared" si="182"/>
        <v>9.1867114916008116E-2</v>
      </c>
      <c r="K362" s="1">
        <f t="shared" si="182"/>
        <v>9.364793683381635E-2</v>
      </c>
      <c r="L362" s="1">
        <f t="shared" si="182"/>
        <v>9.5428758751624557E-2</v>
      </c>
      <c r="M362" s="1">
        <f t="shared" si="182"/>
        <v>9.7209580669432791E-2</v>
      </c>
      <c r="N362" s="1">
        <f t="shared" si="182"/>
        <v>9.7848759867846316E-2</v>
      </c>
      <c r="O362" s="1">
        <f t="shared" si="182"/>
        <v>9.8254810823260305E-2</v>
      </c>
      <c r="P362" s="1">
        <f t="shared" si="182"/>
        <v>9.8660861778674322E-2</v>
      </c>
      <c r="Q362" s="1">
        <f t="shared" si="182"/>
        <v>9.9066912734088339E-2</v>
      </c>
      <c r="R362" s="1">
        <f t="shared" si="182"/>
        <v>9.9472963689502356E-2</v>
      </c>
      <c r="S362" s="1">
        <f t="shared" si="182"/>
        <v>9.9879014644916372E-2</v>
      </c>
      <c r="T362" s="1">
        <f t="shared" si="182"/>
        <v>0.10028506560033039</v>
      </c>
      <c r="U362" s="1">
        <f t="shared" si="182"/>
        <v>0.10069111655574441</v>
      </c>
      <c r="V362" s="1">
        <f t="shared" si="182"/>
        <v>0.10028506560033039</v>
      </c>
      <c r="W362" s="1">
        <f t="shared" si="182"/>
        <v>9.9879014644916372E-2</v>
      </c>
      <c r="X362" s="1">
        <f t="shared" si="182"/>
        <v>9.9472963689502356E-2</v>
      </c>
      <c r="Y362" s="1">
        <f t="shared" si="182"/>
        <v>9.9066912734088339E-2</v>
      </c>
      <c r="Z362" s="1">
        <f t="shared" si="182"/>
        <v>9.8660861778674322E-2</v>
      </c>
      <c r="AA362" s="1">
        <f t="shared" si="182"/>
        <v>9.8254810823260305E-2</v>
      </c>
      <c r="AB362" s="1">
        <f t="shared" si="182"/>
        <v>9.7848759867846316E-2</v>
      </c>
      <c r="AC362" s="1">
        <f t="shared" si="182"/>
        <v>9.7209580669432791E-2</v>
      </c>
      <c r="AD362" s="1">
        <f t="shared" si="182"/>
        <v>9.5428758751624557E-2</v>
      </c>
      <c r="AE362" s="1">
        <f t="shared" si="182"/>
        <v>9.364793683381635E-2</v>
      </c>
      <c r="AF362" s="1">
        <f t="shared" si="182"/>
        <v>9.1867114916008116E-2</v>
      </c>
      <c r="AG362" s="1">
        <f t="shared" si="182"/>
        <v>9.008629299819991E-2</v>
      </c>
      <c r="AH362" s="1">
        <f t="shared" si="182"/>
        <v>8.8305471080391704E-2</v>
      </c>
      <c r="AI362" s="1">
        <f t="shared" si="182"/>
        <v>8.652464916258347E-2</v>
      </c>
      <c r="AJ362" s="1">
        <f t="shared" si="182"/>
        <v>8.4743827244775263E-2</v>
      </c>
      <c r="AK362" s="1">
        <f t="shared" si="182"/>
        <v>8.1237454791786942E-2</v>
      </c>
      <c r="AL362" s="1">
        <f t="shared" si="182"/>
        <v>7.7512964995868558E-2</v>
      </c>
      <c r="AM362" s="1">
        <f t="shared" si="182"/>
        <v>7.3788475199950201E-2</v>
      </c>
      <c r="AN362" s="1">
        <f t="shared" si="182"/>
        <v>7.0063985404031845E-2</v>
      </c>
      <c r="AO362" s="1">
        <f t="shared" si="182"/>
        <v>6.6339495608113461E-2</v>
      </c>
    </row>
    <row r="363" spans="2:41">
      <c r="B363" s="1">
        <f t="shared" ref="B363:AO363" si="183">$W$110-B$108</f>
        <v>7.0199335722503184E-2</v>
      </c>
      <c r="C363" s="1">
        <f t="shared" si="183"/>
        <v>7.392382551842154E-2</v>
      </c>
      <c r="D363" s="1">
        <f t="shared" si="183"/>
        <v>7.7648315314339897E-2</v>
      </c>
      <c r="E363" s="1">
        <f t="shared" si="183"/>
        <v>8.1372805110258281E-2</v>
      </c>
      <c r="F363" s="1">
        <f t="shared" si="183"/>
        <v>8.4879177563246602E-2</v>
      </c>
      <c r="G363" s="1">
        <f t="shared" si="183"/>
        <v>8.6659999481054809E-2</v>
      </c>
      <c r="H363" s="1">
        <f t="shared" si="183"/>
        <v>8.8440821398863043E-2</v>
      </c>
      <c r="I363" s="1">
        <f t="shared" si="183"/>
        <v>9.0221643316671249E-2</v>
      </c>
      <c r="J363" s="1">
        <f t="shared" si="183"/>
        <v>9.2002465234479455E-2</v>
      </c>
      <c r="K363" s="1">
        <f t="shared" si="183"/>
        <v>9.3783287152287689E-2</v>
      </c>
      <c r="L363" s="1">
        <f t="shared" si="183"/>
        <v>9.5564109070095896E-2</v>
      </c>
      <c r="M363" s="1">
        <f t="shared" si="183"/>
        <v>9.734493098790413E-2</v>
      </c>
      <c r="N363" s="1">
        <f t="shared" si="183"/>
        <v>9.7984110186317655E-2</v>
      </c>
      <c r="O363" s="1">
        <f t="shared" si="183"/>
        <v>9.8390161141731644E-2</v>
      </c>
      <c r="P363" s="1">
        <f t="shared" si="183"/>
        <v>9.8796212097145661E-2</v>
      </c>
      <c r="Q363" s="1">
        <f t="shared" si="183"/>
        <v>9.9202263052559678E-2</v>
      </c>
      <c r="R363" s="1">
        <f t="shared" si="183"/>
        <v>9.9608314007973695E-2</v>
      </c>
      <c r="S363" s="1">
        <f t="shared" si="183"/>
        <v>0.10001436496338771</v>
      </c>
      <c r="T363" s="1">
        <f t="shared" si="183"/>
        <v>0.10042041591880173</v>
      </c>
      <c r="U363" s="1">
        <f t="shared" si="183"/>
        <v>0.10082646687421574</v>
      </c>
      <c r="V363" s="1">
        <f t="shared" si="183"/>
        <v>0.10042041591880173</v>
      </c>
      <c r="W363" s="1">
        <f t="shared" si="183"/>
        <v>0.10001436496338771</v>
      </c>
      <c r="X363" s="1">
        <f t="shared" si="183"/>
        <v>9.9608314007973695E-2</v>
      </c>
      <c r="Y363" s="1">
        <f t="shared" si="183"/>
        <v>9.9202263052559678E-2</v>
      </c>
      <c r="Z363" s="1">
        <f t="shared" si="183"/>
        <v>9.8796212097145661E-2</v>
      </c>
      <c r="AA363" s="1">
        <f t="shared" si="183"/>
        <v>9.8390161141731644E-2</v>
      </c>
      <c r="AB363" s="1">
        <f t="shared" si="183"/>
        <v>9.7984110186317655E-2</v>
      </c>
      <c r="AC363" s="1">
        <f t="shared" si="183"/>
        <v>9.734493098790413E-2</v>
      </c>
      <c r="AD363" s="1">
        <f t="shared" si="183"/>
        <v>9.5564109070095896E-2</v>
      </c>
      <c r="AE363" s="1">
        <f t="shared" si="183"/>
        <v>9.3783287152287689E-2</v>
      </c>
      <c r="AF363" s="1">
        <f t="shared" si="183"/>
        <v>9.2002465234479455E-2</v>
      </c>
      <c r="AG363" s="1">
        <f t="shared" si="183"/>
        <v>9.0221643316671249E-2</v>
      </c>
      <c r="AH363" s="1">
        <f t="shared" si="183"/>
        <v>8.8440821398863043E-2</v>
      </c>
      <c r="AI363" s="1">
        <f t="shared" si="183"/>
        <v>8.6659999481054809E-2</v>
      </c>
      <c r="AJ363" s="1">
        <f t="shared" si="183"/>
        <v>8.4879177563246602E-2</v>
      </c>
      <c r="AK363" s="1">
        <f t="shared" si="183"/>
        <v>8.1372805110258281E-2</v>
      </c>
      <c r="AL363" s="1">
        <f t="shared" si="183"/>
        <v>7.7648315314339897E-2</v>
      </c>
      <c r="AM363" s="1">
        <f t="shared" si="183"/>
        <v>7.392382551842154E-2</v>
      </c>
      <c r="AN363" s="1">
        <f t="shared" si="183"/>
        <v>7.0199335722503184E-2</v>
      </c>
      <c r="AO363" s="1">
        <f t="shared" si="183"/>
        <v>6.64748459265848E-2</v>
      </c>
    </row>
    <row r="364" spans="2:41">
      <c r="B364" s="1">
        <f t="shared" ref="B364:AO364" si="184">$X$110-B$108</f>
        <v>7.0334686040974523E-2</v>
      </c>
      <c r="C364" s="1">
        <f t="shared" si="184"/>
        <v>7.4059175836892879E-2</v>
      </c>
      <c r="D364" s="1">
        <f t="shared" si="184"/>
        <v>7.7783665632811236E-2</v>
      </c>
      <c r="E364" s="1">
        <f t="shared" si="184"/>
        <v>8.150815542872962E-2</v>
      </c>
      <c r="F364" s="1">
        <f t="shared" si="184"/>
        <v>8.5014527881717941E-2</v>
      </c>
      <c r="G364" s="1">
        <f t="shared" si="184"/>
        <v>8.6795349799526147E-2</v>
      </c>
      <c r="H364" s="1">
        <f t="shared" si="184"/>
        <v>8.8576171717334382E-2</v>
      </c>
      <c r="I364" s="1">
        <f t="shared" si="184"/>
        <v>9.0356993635142588E-2</v>
      </c>
      <c r="J364" s="1">
        <f t="shared" si="184"/>
        <v>9.2137815552950794E-2</v>
      </c>
      <c r="K364" s="1">
        <f t="shared" si="184"/>
        <v>9.3918637470759028E-2</v>
      </c>
      <c r="L364" s="1">
        <f t="shared" si="184"/>
        <v>9.5699459388567235E-2</v>
      </c>
      <c r="M364" s="1">
        <f t="shared" si="184"/>
        <v>9.7480281306375469E-2</v>
      </c>
      <c r="N364" s="1">
        <f t="shared" si="184"/>
        <v>9.8119460504788994E-2</v>
      </c>
      <c r="O364" s="1">
        <f t="shared" si="184"/>
        <v>9.8525511460202983E-2</v>
      </c>
      <c r="P364" s="1">
        <f t="shared" si="184"/>
        <v>9.8931562415617E-2</v>
      </c>
      <c r="Q364" s="1">
        <f t="shared" si="184"/>
        <v>9.9337613371031017E-2</v>
      </c>
      <c r="R364" s="1">
        <f t="shared" si="184"/>
        <v>9.9743664326445033E-2</v>
      </c>
      <c r="S364" s="1">
        <f t="shared" si="184"/>
        <v>0.10014971528185905</v>
      </c>
      <c r="T364" s="1">
        <f t="shared" si="184"/>
        <v>0.10055576623727307</v>
      </c>
      <c r="U364" s="1">
        <f t="shared" si="184"/>
        <v>0.10096181719268708</v>
      </c>
      <c r="V364" s="1">
        <f t="shared" si="184"/>
        <v>0.10055576623727307</v>
      </c>
      <c r="W364" s="1">
        <f t="shared" si="184"/>
        <v>0.10014971528185905</v>
      </c>
      <c r="X364" s="1">
        <f t="shared" si="184"/>
        <v>9.9743664326445033E-2</v>
      </c>
      <c r="Y364" s="1">
        <f t="shared" si="184"/>
        <v>9.9337613371031017E-2</v>
      </c>
      <c r="Z364" s="1">
        <f t="shared" si="184"/>
        <v>9.8931562415617E-2</v>
      </c>
      <c r="AA364" s="1">
        <f t="shared" si="184"/>
        <v>9.8525511460202983E-2</v>
      </c>
      <c r="AB364" s="1">
        <f t="shared" si="184"/>
        <v>9.8119460504788994E-2</v>
      </c>
      <c r="AC364" s="1">
        <f t="shared" si="184"/>
        <v>9.7480281306375469E-2</v>
      </c>
      <c r="AD364" s="1">
        <f t="shared" si="184"/>
        <v>9.5699459388567235E-2</v>
      </c>
      <c r="AE364" s="1">
        <f t="shared" si="184"/>
        <v>9.3918637470759028E-2</v>
      </c>
      <c r="AF364" s="1">
        <f t="shared" si="184"/>
        <v>9.2137815552950794E-2</v>
      </c>
      <c r="AG364" s="1">
        <f t="shared" si="184"/>
        <v>9.0356993635142588E-2</v>
      </c>
      <c r="AH364" s="1">
        <f t="shared" si="184"/>
        <v>8.8576171717334382E-2</v>
      </c>
      <c r="AI364" s="1">
        <f t="shared" si="184"/>
        <v>8.6795349799526147E-2</v>
      </c>
      <c r="AJ364" s="1">
        <f t="shared" si="184"/>
        <v>8.5014527881717941E-2</v>
      </c>
      <c r="AK364" s="1">
        <f t="shared" si="184"/>
        <v>8.150815542872962E-2</v>
      </c>
      <c r="AL364" s="1">
        <f t="shared" si="184"/>
        <v>7.7783665632811236E-2</v>
      </c>
      <c r="AM364" s="1">
        <f t="shared" si="184"/>
        <v>7.4059175836892879E-2</v>
      </c>
      <c r="AN364" s="1">
        <f t="shared" si="184"/>
        <v>7.0334686040974523E-2</v>
      </c>
      <c r="AO364" s="1">
        <f t="shared" si="184"/>
        <v>6.6610196245056139E-2</v>
      </c>
    </row>
    <row r="365" spans="2:41">
      <c r="B365" s="1">
        <f t="shared" ref="B365:AO365" si="185">$Y$110-B$108</f>
        <v>7.0470036359445848E-2</v>
      </c>
      <c r="C365" s="1">
        <f t="shared" si="185"/>
        <v>7.4194526155364204E-2</v>
      </c>
      <c r="D365" s="1">
        <f t="shared" si="185"/>
        <v>7.7919015951282561E-2</v>
      </c>
      <c r="E365" s="1">
        <f t="shared" si="185"/>
        <v>8.1643505747200945E-2</v>
      </c>
      <c r="F365" s="1">
        <f t="shared" si="185"/>
        <v>8.5149878200189266E-2</v>
      </c>
      <c r="G365" s="1">
        <f t="shared" si="185"/>
        <v>8.6930700117997473E-2</v>
      </c>
      <c r="H365" s="1">
        <f t="shared" si="185"/>
        <v>8.8711522035805707E-2</v>
      </c>
      <c r="I365" s="1">
        <f t="shared" si="185"/>
        <v>9.0492343953613913E-2</v>
      </c>
      <c r="J365" s="1">
        <f t="shared" si="185"/>
        <v>9.2273165871422119E-2</v>
      </c>
      <c r="K365" s="1">
        <f t="shared" si="185"/>
        <v>9.4053987789230353E-2</v>
      </c>
      <c r="L365" s="1">
        <f t="shared" si="185"/>
        <v>9.583480970703856E-2</v>
      </c>
      <c r="M365" s="1">
        <f t="shared" si="185"/>
        <v>9.7615631624846794E-2</v>
      </c>
      <c r="N365" s="1">
        <f t="shared" si="185"/>
        <v>9.8254810823260319E-2</v>
      </c>
      <c r="O365" s="1">
        <f t="shared" si="185"/>
        <v>9.8660861778674308E-2</v>
      </c>
      <c r="P365" s="1">
        <f t="shared" si="185"/>
        <v>9.9066912734088325E-2</v>
      </c>
      <c r="Q365" s="1">
        <f t="shared" si="185"/>
        <v>9.9472963689502342E-2</v>
      </c>
      <c r="R365" s="1">
        <f t="shared" si="185"/>
        <v>9.9879014644916359E-2</v>
      </c>
      <c r="S365" s="1">
        <f t="shared" si="185"/>
        <v>0.10028506560033038</v>
      </c>
      <c r="T365" s="1">
        <f t="shared" si="185"/>
        <v>0.10069111655574439</v>
      </c>
      <c r="U365" s="1">
        <f t="shared" si="185"/>
        <v>0.10109716751115841</v>
      </c>
      <c r="V365" s="1">
        <f t="shared" si="185"/>
        <v>0.10069111655574439</v>
      </c>
      <c r="W365" s="1">
        <f t="shared" si="185"/>
        <v>0.10028506560033038</v>
      </c>
      <c r="X365" s="1">
        <f t="shared" si="185"/>
        <v>9.9879014644916359E-2</v>
      </c>
      <c r="Y365" s="1">
        <f t="shared" si="185"/>
        <v>9.9472963689502342E-2</v>
      </c>
      <c r="Z365" s="1">
        <f t="shared" si="185"/>
        <v>9.9066912734088325E-2</v>
      </c>
      <c r="AA365" s="1">
        <f t="shared" si="185"/>
        <v>9.8660861778674308E-2</v>
      </c>
      <c r="AB365" s="1">
        <f t="shared" si="185"/>
        <v>9.8254810823260319E-2</v>
      </c>
      <c r="AC365" s="1">
        <f t="shared" si="185"/>
        <v>9.7615631624846794E-2</v>
      </c>
      <c r="AD365" s="1">
        <f t="shared" si="185"/>
        <v>9.583480970703856E-2</v>
      </c>
      <c r="AE365" s="1">
        <f t="shared" si="185"/>
        <v>9.4053987789230353E-2</v>
      </c>
      <c r="AF365" s="1">
        <f t="shared" si="185"/>
        <v>9.2273165871422119E-2</v>
      </c>
      <c r="AG365" s="1">
        <f t="shared" si="185"/>
        <v>9.0492343953613913E-2</v>
      </c>
      <c r="AH365" s="1">
        <f t="shared" si="185"/>
        <v>8.8711522035805707E-2</v>
      </c>
      <c r="AI365" s="1">
        <f t="shared" si="185"/>
        <v>8.6930700117997473E-2</v>
      </c>
      <c r="AJ365" s="1">
        <f t="shared" si="185"/>
        <v>8.5149878200189266E-2</v>
      </c>
      <c r="AK365" s="1">
        <f t="shared" si="185"/>
        <v>8.1643505747200945E-2</v>
      </c>
      <c r="AL365" s="1">
        <f t="shared" si="185"/>
        <v>7.7919015951282561E-2</v>
      </c>
      <c r="AM365" s="1">
        <f t="shared" si="185"/>
        <v>7.4194526155364204E-2</v>
      </c>
      <c r="AN365" s="1">
        <f t="shared" si="185"/>
        <v>7.0470036359445848E-2</v>
      </c>
      <c r="AO365" s="1">
        <f t="shared" si="185"/>
        <v>6.6745546563527464E-2</v>
      </c>
    </row>
    <row r="366" spans="2:41">
      <c r="B366" s="1">
        <f t="shared" ref="B366:AO366" si="186">$Z$110-B$108</f>
        <v>7.0605386677917187E-2</v>
      </c>
      <c r="C366" s="1">
        <f t="shared" si="186"/>
        <v>7.4329876473835543E-2</v>
      </c>
      <c r="D366" s="1">
        <f t="shared" si="186"/>
        <v>7.80543662697539E-2</v>
      </c>
      <c r="E366" s="1">
        <f t="shared" si="186"/>
        <v>8.1778856065672284E-2</v>
      </c>
      <c r="F366" s="1">
        <f t="shared" si="186"/>
        <v>8.5285228518660605E-2</v>
      </c>
      <c r="G366" s="1">
        <f t="shared" si="186"/>
        <v>8.7066050436468811E-2</v>
      </c>
      <c r="H366" s="1">
        <f t="shared" si="186"/>
        <v>8.8846872354277046E-2</v>
      </c>
      <c r="I366" s="1">
        <f t="shared" si="186"/>
        <v>9.0627694272085252E-2</v>
      </c>
      <c r="J366" s="1">
        <f t="shared" si="186"/>
        <v>9.2408516189893458E-2</v>
      </c>
      <c r="K366" s="1">
        <f t="shared" si="186"/>
        <v>9.4189338107701692E-2</v>
      </c>
      <c r="L366" s="1">
        <f t="shared" si="186"/>
        <v>9.5970160025509899E-2</v>
      </c>
      <c r="M366" s="1">
        <f t="shared" si="186"/>
        <v>9.7750981943318133E-2</v>
      </c>
      <c r="N366" s="1">
        <f t="shared" si="186"/>
        <v>9.8390161141731658E-2</v>
      </c>
      <c r="O366" s="1">
        <f t="shared" si="186"/>
        <v>9.8796212097145647E-2</v>
      </c>
      <c r="P366" s="1">
        <f t="shared" si="186"/>
        <v>9.9202263052559664E-2</v>
      </c>
      <c r="Q366" s="1">
        <f t="shared" si="186"/>
        <v>9.9608314007973681E-2</v>
      </c>
      <c r="R366" s="1">
        <f t="shared" si="186"/>
        <v>0.1000143649633877</v>
      </c>
      <c r="S366" s="1">
        <f t="shared" si="186"/>
        <v>0.10042041591880171</v>
      </c>
      <c r="T366" s="1">
        <f t="shared" si="186"/>
        <v>0.10082646687421573</v>
      </c>
      <c r="U366" s="1">
        <f t="shared" si="186"/>
        <v>0.10123251782962975</v>
      </c>
      <c r="V366" s="1">
        <f t="shared" si="186"/>
        <v>0.10082646687421573</v>
      </c>
      <c r="W366" s="1">
        <f t="shared" si="186"/>
        <v>0.10042041591880171</v>
      </c>
      <c r="X366" s="1">
        <f t="shared" si="186"/>
        <v>0.1000143649633877</v>
      </c>
      <c r="Y366" s="1">
        <f t="shared" si="186"/>
        <v>9.9608314007973681E-2</v>
      </c>
      <c r="Z366" s="1">
        <f t="shared" si="186"/>
        <v>9.9202263052559664E-2</v>
      </c>
      <c r="AA366" s="1">
        <f t="shared" si="186"/>
        <v>9.8796212097145647E-2</v>
      </c>
      <c r="AB366" s="1">
        <f t="shared" si="186"/>
        <v>9.8390161141731658E-2</v>
      </c>
      <c r="AC366" s="1">
        <f t="shared" si="186"/>
        <v>9.7750981943318133E-2</v>
      </c>
      <c r="AD366" s="1">
        <f t="shared" si="186"/>
        <v>9.5970160025509899E-2</v>
      </c>
      <c r="AE366" s="1">
        <f t="shared" si="186"/>
        <v>9.4189338107701692E-2</v>
      </c>
      <c r="AF366" s="1">
        <f t="shared" si="186"/>
        <v>9.2408516189893458E-2</v>
      </c>
      <c r="AG366" s="1">
        <f t="shared" si="186"/>
        <v>9.0627694272085252E-2</v>
      </c>
      <c r="AH366" s="1">
        <f t="shared" si="186"/>
        <v>8.8846872354277046E-2</v>
      </c>
      <c r="AI366" s="1">
        <f t="shared" si="186"/>
        <v>8.7066050436468811E-2</v>
      </c>
      <c r="AJ366" s="1">
        <f t="shared" si="186"/>
        <v>8.5285228518660605E-2</v>
      </c>
      <c r="AK366" s="1">
        <f t="shared" si="186"/>
        <v>8.1778856065672284E-2</v>
      </c>
      <c r="AL366" s="1">
        <f t="shared" si="186"/>
        <v>7.80543662697539E-2</v>
      </c>
      <c r="AM366" s="1">
        <f t="shared" si="186"/>
        <v>7.4329876473835543E-2</v>
      </c>
      <c r="AN366" s="1">
        <f t="shared" si="186"/>
        <v>7.0605386677917187E-2</v>
      </c>
      <c r="AO366" s="1">
        <f t="shared" si="186"/>
        <v>6.6880896881998803E-2</v>
      </c>
    </row>
    <row r="367" spans="2:41">
      <c r="B367" s="1">
        <f t="shared" ref="B367:AO367" si="187">$AA$110-B$108</f>
        <v>7.0740736996388526E-2</v>
      </c>
      <c r="C367" s="1">
        <f t="shared" si="187"/>
        <v>7.4465226792306882E-2</v>
      </c>
      <c r="D367" s="1">
        <f t="shared" si="187"/>
        <v>7.8189716588225239E-2</v>
      </c>
      <c r="E367" s="1">
        <f t="shared" si="187"/>
        <v>8.1914206384143623E-2</v>
      </c>
      <c r="F367" s="1">
        <f t="shared" si="187"/>
        <v>8.5420578837131944E-2</v>
      </c>
      <c r="G367" s="1">
        <f t="shared" si="187"/>
        <v>8.720140075494015E-2</v>
      </c>
      <c r="H367" s="1">
        <f t="shared" si="187"/>
        <v>8.8982222672748384E-2</v>
      </c>
      <c r="I367" s="1">
        <f t="shared" si="187"/>
        <v>9.0763044590556591E-2</v>
      </c>
      <c r="J367" s="1">
        <f t="shared" si="187"/>
        <v>9.2543866508364797E-2</v>
      </c>
      <c r="K367" s="1">
        <f t="shared" si="187"/>
        <v>9.4324688426173031E-2</v>
      </c>
      <c r="L367" s="1">
        <f t="shared" si="187"/>
        <v>9.6105510343981237E-2</v>
      </c>
      <c r="M367" s="1">
        <f t="shared" si="187"/>
        <v>9.7886332261789472E-2</v>
      </c>
      <c r="N367" s="1">
        <f t="shared" si="187"/>
        <v>9.8525511460202997E-2</v>
      </c>
      <c r="O367" s="1">
        <f t="shared" si="187"/>
        <v>9.8931562415616986E-2</v>
      </c>
      <c r="P367" s="1">
        <f t="shared" si="187"/>
        <v>9.9337613371031003E-2</v>
      </c>
      <c r="Q367" s="1">
        <f t="shared" si="187"/>
        <v>9.974366432644502E-2</v>
      </c>
      <c r="R367" s="1">
        <f t="shared" si="187"/>
        <v>0.10014971528185904</v>
      </c>
      <c r="S367" s="1">
        <f t="shared" si="187"/>
        <v>0.10055576623727305</v>
      </c>
      <c r="T367" s="1">
        <f t="shared" si="187"/>
        <v>0.10096181719268707</v>
      </c>
      <c r="U367" s="1">
        <f t="shared" si="187"/>
        <v>0.10136786814810109</v>
      </c>
      <c r="V367" s="1">
        <f t="shared" si="187"/>
        <v>0.10096181719268707</v>
      </c>
      <c r="W367" s="1">
        <f t="shared" si="187"/>
        <v>0.10055576623727305</v>
      </c>
      <c r="X367" s="1">
        <f t="shared" si="187"/>
        <v>0.10014971528185904</v>
      </c>
      <c r="Y367" s="1">
        <f t="shared" si="187"/>
        <v>9.974366432644502E-2</v>
      </c>
      <c r="Z367" s="1">
        <f t="shared" si="187"/>
        <v>9.9337613371031003E-2</v>
      </c>
      <c r="AA367" s="1">
        <f t="shared" si="187"/>
        <v>9.8931562415616986E-2</v>
      </c>
      <c r="AB367" s="1">
        <f t="shared" si="187"/>
        <v>9.8525511460202997E-2</v>
      </c>
      <c r="AC367" s="1">
        <f t="shared" si="187"/>
        <v>9.7886332261789472E-2</v>
      </c>
      <c r="AD367" s="1">
        <f t="shared" si="187"/>
        <v>9.6105510343981237E-2</v>
      </c>
      <c r="AE367" s="1">
        <f t="shared" si="187"/>
        <v>9.4324688426173031E-2</v>
      </c>
      <c r="AF367" s="1">
        <f t="shared" si="187"/>
        <v>9.2543866508364797E-2</v>
      </c>
      <c r="AG367" s="1">
        <f t="shared" si="187"/>
        <v>9.0763044590556591E-2</v>
      </c>
      <c r="AH367" s="1">
        <f t="shared" si="187"/>
        <v>8.8982222672748384E-2</v>
      </c>
      <c r="AI367" s="1">
        <f t="shared" si="187"/>
        <v>8.720140075494015E-2</v>
      </c>
      <c r="AJ367" s="1">
        <f t="shared" si="187"/>
        <v>8.5420578837131944E-2</v>
      </c>
      <c r="AK367" s="1">
        <f t="shared" si="187"/>
        <v>8.1914206384143623E-2</v>
      </c>
      <c r="AL367" s="1">
        <f t="shared" si="187"/>
        <v>7.8189716588225239E-2</v>
      </c>
      <c r="AM367" s="1">
        <f t="shared" si="187"/>
        <v>7.4465226792306882E-2</v>
      </c>
      <c r="AN367" s="1">
        <f t="shared" si="187"/>
        <v>7.0740736996388526E-2</v>
      </c>
      <c r="AO367" s="1">
        <f t="shared" si="187"/>
        <v>6.7016247200470141E-2</v>
      </c>
    </row>
    <row r="368" spans="2:41">
      <c r="B368" s="1">
        <f t="shared" ref="B368:AO368" si="188">$AB$110-B$108</f>
        <v>7.0876087314859865E-2</v>
      </c>
      <c r="C368" s="1">
        <f t="shared" si="188"/>
        <v>7.4600577110778221E-2</v>
      </c>
      <c r="D368" s="1">
        <f t="shared" si="188"/>
        <v>7.8325066906696578E-2</v>
      </c>
      <c r="E368" s="1">
        <f t="shared" si="188"/>
        <v>8.2049556702614962E-2</v>
      </c>
      <c r="F368" s="1">
        <f t="shared" si="188"/>
        <v>8.5555929155603283E-2</v>
      </c>
      <c r="G368" s="1">
        <f t="shared" si="188"/>
        <v>8.7336751073411489E-2</v>
      </c>
      <c r="H368" s="1">
        <f t="shared" si="188"/>
        <v>8.9117572991219723E-2</v>
      </c>
      <c r="I368" s="1">
        <f t="shared" si="188"/>
        <v>9.089839490902793E-2</v>
      </c>
      <c r="J368" s="1">
        <f t="shared" si="188"/>
        <v>9.2679216826836136E-2</v>
      </c>
      <c r="K368" s="1">
        <f t="shared" si="188"/>
        <v>9.446003874464437E-2</v>
      </c>
      <c r="L368" s="1">
        <f t="shared" si="188"/>
        <v>9.6240860662452576E-2</v>
      </c>
      <c r="M368" s="1">
        <f t="shared" si="188"/>
        <v>9.802168258026081E-2</v>
      </c>
      <c r="N368" s="1">
        <f t="shared" si="188"/>
        <v>9.8660861778674336E-2</v>
      </c>
      <c r="O368" s="1">
        <f t="shared" si="188"/>
        <v>9.9066912734088325E-2</v>
      </c>
      <c r="P368" s="1">
        <f t="shared" si="188"/>
        <v>9.9472963689502342E-2</v>
      </c>
      <c r="Q368" s="1">
        <f t="shared" si="188"/>
        <v>9.9879014644916359E-2</v>
      </c>
      <c r="R368" s="1">
        <f t="shared" si="188"/>
        <v>0.10028506560033038</v>
      </c>
      <c r="S368" s="1">
        <f t="shared" si="188"/>
        <v>0.10069111655574439</v>
      </c>
      <c r="T368" s="1">
        <f t="shared" si="188"/>
        <v>0.10109716751115841</v>
      </c>
      <c r="U368" s="1">
        <f t="shared" si="188"/>
        <v>0.10150321846657243</v>
      </c>
      <c r="V368" s="1">
        <f t="shared" si="188"/>
        <v>0.10109716751115841</v>
      </c>
      <c r="W368" s="1">
        <f t="shared" si="188"/>
        <v>0.10069111655574439</v>
      </c>
      <c r="X368" s="1">
        <f t="shared" si="188"/>
        <v>0.10028506560033038</v>
      </c>
      <c r="Y368" s="1">
        <f t="shared" si="188"/>
        <v>9.9879014644916359E-2</v>
      </c>
      <c r="Z368" s="1">
        <f t="shared" si="188"/>
        <v>9.9472963689502342E-2</v>
      </c>
      <c r="AA368" s="1">
        <f t="shared" si="188"/>
        <v>9.9066912734088325E-2</v>
      </c>
      <c r="AB368" s="1">
        <f t="shared" si="188"/>
        <v>9.8660861778674336E-2</v>
      </c>
      <c r="AC368" s="1">
        <f t="shared" si="188"/>
        <v>9.802168258026081E-2</v>
      </c>
      <c r="AD368" s="1">
        <f t="shared" si="188"/>
        <v>9.6240860662452576E-2</v>
      </c>
      <c r="AE368" s="1">
        <f t="shared" si="188"/>
        <v>9.446003874464437E-2</v>
      </c>
      <c r="AF368" s="1">
        <f t="shared" si="188"/>
        <v>9.2679216826836136E-2</v>
      </c>
      <c r="AG368" s="1">
        <f t="shared" si="188"/>
        <v>9.089839490902793E-2</v>
      </c>
      <c r="AH368" s="1">
        <f t="shared" si="188"/>
        <v>8.9117572991219723E-2</v>
      </c>
      <c r="AI368" s="1">
        <f t="shared" si="188"/>
        <v>8.7336751073411489E-2</v>
      </c>
      <c r="AJ368" s="1">
        <f t="shared" si="188"/>
        <v>8.5555929155603283E-2</v>
      </c>
      <c r="AK368" s="1">
        <f t="shared" si="188"/>
        <v>8.2049556702614962E-2</v>
      </c>
      <c r="AL368" s="1">
        <f t="shared" si="188"/>
        <v>7.8325066906696578E-2</v>
      </c>
      <c r="AM368" s="1">
        <f t="shared" si="188"/>
        <v>7.4600577110778221E-2</v>
      </c>
      <c r="AN368" s="1">
        <f t="shared" si="188"/>
        <v>7.0876087314859865E-2</v>
      </c>
      <c r="AO368" s="1">
        <f t="shared" si="188"/>
        <v>6.715159751894148E-2</v>
      </c>
    </row>
    <row r="369" spans="2:41">
      <c r="B369" s="1">
        <f t="shared" ref="B369:AO369" si="189">$AC$110-B$108</f>
        <v>7.1145146529226877E-2</v>
      </c>
      <c r="C369" s="1">
        <f t="shared" si="189"/>
        <v>7.4869636325145233E-2</v>
      </c>
      <c r="D369" s="1">
        <f t="shared" si="189"/>
        <v>7.859412612106359E-2</v>
      </c>
      <c r="E369" s="1">
        <f t="shared" si="189"/>
        <v>8.2318615916981974E-2</v>
      </c>
      <c r="F369" s="1">
        <f t="shared" si="189"/>
        <v>8.5824988369970295E-2</v>
      </c>
      <c r="G369" s="1">
        <f t="shared" si="189"/>
        <v>8.7605810287778502E-2</v>
      </c>
      <c r="H369" s="1">
        <f t="shared" si="189"/>
        <v>8.9386632205586736E-2</v>
      </c>
      <c r="I369" s="1">
        <f t="shared" si="189"/>
        <v>9.1167454123394942E-2</v>
      </c>
      <c r="J369" s="1">
        <f t="shared" si="189"/>
        <v>9.2948276041203148E-2</v>
      </c>
      <c r="K369" s="1">
        <f t="shared" si="189"/>
        <v>9.4729097959011382E-2</v>
      </c>
      <c r="L369" s="1">
        <f t="shared" si="189"/>
        <v>9.6509919876819589E-2</v>
      </c>
      <c r="M369" s="1">
        <f t="shared" si="189"/>
        <v>9.8290741794627823E-2</v>
      </c>
      <c r="N369" s="1">
        <f t="shared" si="189"/>
        <v>9.8929920993041348E-2</v>
      </c>
      <c r="O369" s="1">
        <f t="shared" si="189"/>
        <v>9.9335971948455337E-2</v>
      </c>
      <c r="P369" s="1">
        <f t="shared" si="189"/>
        <v>9.9742022903869354E-2</v>
      </c>
      <c r="Q369" s="1">
        <f t="shared" si="189"/>
        <v>0.10014807385928337</v>
      </c>
      <c r="R369" s="1">
        <f t="shared" si="189"/>
        <v>0.10055412481469739</v>
      </c>
      <c r="S369" s="1">
        <f t="shared" si="189"/>
        <v>0.1009601757701114</v>
      </c>
      <c r="T369" s="1">
        <f t="shared" si="189"/>
        <v>0.10136622672552542</v>
      </c>
      <c r="U369" s="1">
        <f t="shared" si="189"/>
        <v>0.10177227768093944</v>
      </c>
      <c r="V369" s="1">
        <f t="shared" si="189"/>
        <v>0.10136622672552542</v>
      </c>
      <c r="W369" s="1">
        <f t="shared" si="189"/>
        <v>0.1009601757701114</v>
      </c>
      <c r="X369" s="1">
        <f t="shared" si="189"/>
        <v>0.10055412481469739</v>
      </c>
      <c r="Y369" s="1">
        <f t="shared" si="189"/>
        <v>0.10014807385928337</v>
      </c>
      <c r="Z369" s="1">
        <f t="shared" si="189"/>
        <v>9.9742022903869354E-2</v>
      </c>
      <c r="AA369" s="1">
        <f t="shared" si="189"/>
        <v>9.9335971948455337E-2</v>
      </c>
      <c r="AB369" s="1">
        <f t="shared" si="189"/>
        <v>9.8929920993041348E-2</v>
      </c>
      <c r="AC369" s="1">
        <f t="shared" si="189"/>
        <v>9.8290741794627823E-2</v>
      </c>
      <c r="AD369" s="1">
        <f t="shared" si="189"/>
        <v>9.6509919876819589E-2</v>
      </c>
      <c r="AE369" s="1">
        <f t="shared" si="189"/>
        <v>9.4729097959011382E-2</v>
      </c>
      <c r="AF369" s="1">
        <f t="shared" si="189"/>
        <v>9.2948276041203148E-2</v>
      </c>
      <c r="AG369" s="1">
        <f t="shared" si="189"/>
        <v>9.1167454123394942E-2</v>
      </c>
      <c r="AH369" s="1">
        <f t="shared" si="189"/>
        <v>8.9386632205586736E-2</v>
      </c>
      <c r="AI369" s="1">
        <f t="shared" si="189"/>
        <v>8.7605810287778502E-2</v>
      </c>
      <c r="AJ369" s="1">
        <f t="shared" si="189"/>
        <v>8.5824988369970295E-2</v>
      </c>
      <c r="AK369" s="1">
        <f t="shared" si="189"/>
        <v>8.2318615916981974E-2</v>
      </c>
      <c r="AL369" s="1">
        <f t="shared" si="189"/>
        <v>7.859412612106359E-2</v>
      </c>
      <c r="AM369" s="1">
        <f t="shared" si="189"/>
        <v>7.4869636325145233E-2</v>
      </c>
      <c r="AN369" s="1">
        <f t="shared" si="189"/>
        <v>7.1145146529226877E-2</v>
      </c>
      <c r="AO369" s="1">
        <f t="shared" si="189"/>
        <v>6.7420656733308493E-2</v>
      </c>
    </row>
    <row r="370" spans="2:41">
      <c r="B370" s="1">
        <f t="shared" ref="B370:AO370" si="190">$AD$110-B$108</f>
        <v>6.9955487643764497E-2</v>
      </c>
      <c r="C370" s="1">
        <f t="shared" si="190"/>
        <v>7.3679977439682853E-2</v>
      </c>
      <c r="D370" s="1">
        <f t="shared" si="190"/>
        <v>7.740446723560121E-2</v>
      </c>
      <c r="E370" s="1">
        <f t="shared" si="190"/>
        <v>8.1128957031519594E-2</v>
      </c>
      <c r="F370" s="1">
        <f t="shared" si="190"/>
        <v>8.4635329484507915E-2</v>
      </c>
      <c r="G370" s="1">
        <f t="shared" si="190"/>
        <v>8.6416151402316121E-2</v>
      </c>
      <c r="H370" s="1">
        <f t="shared" si="190"/>
        <v>8.8196973320124356E-2</v>
      </c>
      <c r="I370" s="1">
        <f t="shared" si="190"/>
        <v>8.9977795237932562E-2</v>
      </c>
      <c r="J370" s="1">
        <f t="shared" si="190"/>
        <v>9.1758617155740768E-2</v>
      </c>
      <c r="K370" s="1">
        <f t="shared" si="190"/>
        <v>9.3539439073549002E-2</v>
      </c>
      <c r="L370" s="1">
        <f t="shared" si="190"/>
        <v>9.5320260991357209E-2</v>
      </c>
      <c r="M370" s="1">
        <f t="shared" si="190"/>
        <v>9.7101082909165443E-2</v>
      </c>
      <c r="N370" s="1">
        <f t="shared" si="190"/>
        <v>9.7740262107578968E-2</v>
      </c>
      <c r="O370" s="1">
        <f t="shared" si="190"/>
        <v>9.8146313062992957E-2</v>
      </c>
      <c r="P370" s="1">
        <f t="shared" si="190"/>
        <v>9.8552364018406974E-2</v>
      </c>
      <c r="Q370" s="1">
        <f t="shared" si="190"/>
        <v>9.8958414973820991E-2</v>
      </c>
      <c r="R370" s="1">
        <f t="shared" si="190"/>
        <v>9.9364465929235007E-2</v>
      </c>
      <c r="S370" s="1">
        <f t="shared" si="190"/>
        <v>9.9770516884649024E-2</v>
      </c>
      <c r="T370" s="1">
        <f t="shared" si="190"/>
        <v>0.10017656784006304</v>
      </c>
      <c r="U370" s="1">
        <f t="shared" si="190"/>
        <v>0.10058261879547706</v>
      </c>
      <c r="V370" s="1">
        <f t="shared" si="190"/>
        <v>0.10017656784006304</v>
      </c>
      <c r="W370" s="1">
        <f t="shared" si="190"/>
        <v>9.9770516884649024E-2</v>
      </c>
      <c r="X370" s="1">
        <f t="shared" si="190"/>
        <v>9.9364465929235007E-2</v>
      </c>
      <c r="Y370" s="1">
        <f t="shared" si="190"/>
        <v>9.8958414973820991E-2</v>
      </c>
      <c r="Z370" s="1">
        <f t="shared" si="190"/>
        <v>9.8552364018406974E-2</v>
      </c>
      <c r="AA370" s="1">
        <f t="shared" si="190"/>
        <v>9.8146313062992957E-2</v>
      </c>
      <c r="AB370" s="1">
        <f t="shared" si="190"/>
        <v>9.7740262107578968E-2</v>
      </c>
      <c r="AC370" s="1">
        <f t="shared" si="190"/>
        <v>9.7101082909165443E-2</v>
      </c>
      <c r="AD370" s="1">
        <f t="shared" si="190"/>
        <v>9.5320260991357209E-2</v>
      </c>
      <c r="AE370" s="1">
        <f t="shared" si="190"/>
        <v>9.3539439073549002E-2</v>
      </c>
      <c r="AF370" s="1">
        <f t="shared" si="190"/>
        <v>9.1758617155740768E-2</v>
      </c>
      <c r="AG370" s="1">
        <f t="shared" si="190"/>
        <v>8.9977795237932562E-2</v>
      </c>
      <c r="AH370" s="1">
        <f t="shared" si="190"/>
        <v>8.8196973320124356E-2</v>
      </c>
      <c r="AI370" s="1">
        <f t="shared" si="190"/>
        <v>8.6416151402316121E-2</v>
      </c>
      <c r="AJ370" s="1">
        <f t="shared" si="190"/>
        <v>8.4635329484507915E-2</v>
      </c>
      <c r="AK370" s="1">
        <f t="shared" si="190"/>
        <v>8.1128957031519594E-2</v>
      </c>
      <c r="AL370" s="1">
        <f t="shared" si="190"/>
        <v>7.740446723560121E-2</v>
      </c>
      <c r="AM370" s="1">
        <f t="shared" si="190"/>
        <v>7.3679977439682853E-2</v>
      </c>
      <c r="AN370" s="1">
        <f t="shared" si="190"/>
        <v>6.9955487643764497E-2</v>
      </c>
      <c r="AO370" s="1">
        <f t="shared" si="190"/>
        <v>6.6230997847846113E-2</v>
      </c>
    </row>
    <row r="371" spans="2:41">
      <c r="B371" s="1">
        <f t="shared" ref="B371:AO371" si="191">$AE$110-B$108</f>
        <v>6.8311652027326156E-2</v>
      </c>
      <c r="C371" s="1">
        <f t="shared" si="191"/>
        <v>7.2036141823244512E-2</v>
      </c>
      <c r="D371" s="1">
        <f t="shared" si="191"/>
        <v>7.5760631619162869E-2</v>
      </c>
      <c r="E371" s="1">
        <f t="shared" si="191"/>
        <v>7.9485121415081253E-2</v>
      </c>
      <c r="F371" s="1">
        <f t="shared" si="191"/>
        <v>8.2991493868069574E-2</v>
      </c>
      <c r="G371" s="1">
        <f t="shared" si="191"/>
        <v>8.477231578587778E-2</v>
      </c>
      <c r="H371" s="1">
        <f t="shared" si="191"/>
        <v>8.6553137703686014E-2</v>
      </c>
      <c r="I371" s="1">
        <f t="shared" si="191"/>
        <v>8.8333959621494221E-2</v>
      </c>
      <c r="J371" s="1">
        <f t="shared" si="191"/>
        <v>9.0114781539302427E-2</v>
      </c>
      <c r="K371" s="1">
        <f t="shared" si="191"/>
        <v>9.1895603457110661E-2</v>
      </c>
      <c r="L371" s="1">
        <f t="shared" si="191"/>
        <v>9.3676425374918867E-2</v>
      </c>
      <c r="M371" s="1">
        <f t="shared" si="191"/>
        <v>9.5457247292727102E-2</v>
      </c>
      <c r="N371" s="1">
        <f t="shared" si="191"/>
        <v>9.6096426491140627E-2</v>
      </c>
      <c r="O371" s="1">
        <f t="shared" si="191"/>
        <v>9.6502477446554616E-2</v>
      </c>
      <c r="P371" s="1">
        <f t="shared" si="191"/>
        <v>9.6908528401968633E-2</v>
      </c>
      <c r="Q371" s="1">
        <f t="shared" si="191"/>
        <v>9.731457935738265E-2</v>
      </c>
      <c r="R371" s="1">
        <f t="shared" si="191"/>
        <v>9.7720630312796666E-2</v>
      </c>
      <c r="S371" s="1">
        <f t="shared" si="191"/>
        <v>9.8126681268210683E-2</v>
      </c>
      <c r="T371" s="1">
        <f t="shared" si="191"/>
        <v>9.85327322236247E-2</v>
      </c>
      <c r="U371" s="1">
        <f t="shared" si="191"/>
        <v>9.8938783179038717E-2</v>
      </c>
      <c r="V371" s="1">
        <f t="shared" si="191"/>
        <v>9.85327322236247E-2</v>
      </c>
      <c r="W371" s="1">
        <f t="shared" si="191"/>
        <v>9.8126681268210683E-2</v>
      </c>
      <c r="X371" s="1">
        <f t="shared" si="191"/>
        <v>9.7720630312796666E-2</v>
      </c>
      <c r="Y371" s="1">
        <f t="shared" si="191"/>
        <v>9.731457935738265E-2</v>
      </c>
      <c r="Z371" s="1">
        <f t="shared" si="191"/>
        <v>9.6908528401968633E-2</v>
      </c>
      <c r="AA371" s="1">
        <f t="shared" si="191"/>
        <v>9.6502477446554616E-2</v>
      </c>
      <c r="AB371" s="1">
        <f t="shared" si="191"/>
        <v>9.6096426491140627E-2</v>
      </c>
      <c r="AC371" s="1">
        <f t="shared" si="191"/>
        <v>9.5457247292727102E-2</v>
      </c>
      <c r="AD371" s="1">
        <f t="shared" si="191"/>
        <v>9.3676425374918867E-2</v>
      </c>
      <c r="AE371" s="1">
        <f t="shared" si="191"/>
        <v>9.1895603457110661E-2</v>
      </c>
      <c r="AF371" s="1">
        <f t="shared" si="191"/>
        <v>9.0114781539302427E-2</v>
      </c>
      <c r="AG371" s="1">
        <f t="shared" si="191"/>
        <v>8.8333959621494221E-2</v>
      </c>
      <c r="AH371" s="1">
        <f t="shared" si="191"/>
        <v>8.6553137703686014E-2</v>
      </c>
      <c r="AI371" s="1">
        <f t="shared" si="191"/>
        <v>8.477231578587778E-2</v>
      </c>
      <c r="AJ371" s="1">
        <f t="shared" si="191"/>
        <v>8.2991493868069574E-2</v>
      </c>
      <c r="AK371" s="1">
        <f t="shared" si="191"/>
        <v>7.9485121415081253E-2</v>
      </c>
      <c r="AL371" s="1">
        <f t="shared" si="191"/>
        <v>7.5760631619162869E-2</v>
      </c>
      <c r="AM371" s="1">
        <f t="shared" si="191"/>
        <v>7.2036141823244512E-2</v>
      </c>
      <c r="AN371" s="1">
        <f t="shared" si="191"/>
        <v>6.8311652027326156E-2</v>
      </c>
      <c r="AO371" s="1">
        <f t="shared" si="191"/>
        <v>6.4587162231407771E-2</v>
      </c>
    </row>
    <row r="372" spans="2:41">
      <c r="B372" s="1">
        <f t="shared" ref="B372:AO372" si="192">$AF$110-B$108</f>
        <v>6.6667816410887787E-2</v>
      </c>
      <c r="C372" s="1">
        <f t="shared" si="192"/>
        <v>7.0392306206806143E-2</v>
      </c>
      <c r="D372" s="1">
        <f t="shared" si="192"/>
        <v>7.41167960027245E-2</v>
      </c>
      <c r="E372" s="1">
        <f t="shared" si="192"/>
        <v>7.7841285798642884E-2</v>
      </c>
      <c r="F372" s="1">
        <f t="shared" si="192"/>
        <v>8.1347658251631205E-2</v>
      </c>
      <c r="G372" s="1">
        <f t="shared" si="192"/>
        <v>8.3128480169439412E-2</v>
      </c>
      <c r="H372" s="1">
        <f t="shared" si="192"/>
        <v>8.4909302087247646E-2</v>
      </c>
      <c r="I372" s="1">
        <f t="shared" si="192"/>
        <v>8.6690124005055852E-2</v>
      </c>
      <c r="J372" s="1">
        <f t="shared" si="192"/>
        <v>8.8470945922864058E-2</v>
      </c>
      <c r="K372" s="1">
        <f t="shared" si="192"/>
        <v>9.0251767840672292E-2</v>
      </c>
      <c r="L372" s="1">
        <f t="shared" si="192"/>
        <v>9.2032589758480499E-2</v>
      </c>
      <c r="M372" s="1">
        <f t="shared" si="192"/>
        <v>9.3813411676288733E-2</v>
      </c>
      <c r="N372" s="1">
        <f t="shared" si="192"/>
        <v>9.4452590874702258E-2</v>
      </c>
      <c r="O372" s="1">
        <f t="shared" si="192"/>
        <v>9.4858641830116247E-2</v>
      </c>
      <c r="P372" s="1">
        <f t="shared" si="192"/>
        <v>9.5264692785530264E-2</v>
      </c>
      <c r="Q372" s="1">
        <f t="shared" si="192"/>
        <v>9.5670743740944281E-2</v>
      </c>
      <c r="R372" s="1">
        <f t="shared" si="192"/>
        <v>9.6076794696358297E-2</v>
      </c>
      <c r="S372" s="1">
        <f t="shared" si="192"/>
        <v>9.6482845651772314E-2</v>
      </c>
      <c r="T372" s="1">
        <f t="shared" si="192"/>
        <v>9.6888896607186331E-2</v>
      </c>
      <c r="U372" s="1">
        <f t="shared" si="192"/>
        <v>9.7294947562600348E-2</v>
      </c>
      <c r="V372" s="1">
        <f t="shared" si="192"/>
        <v>9.6888896607186331E-2</v>
      </c>
      <c r="W372" s="1">
        <f t="shared" si="192"/>
        <v>9.6482845651772314E-2</v>
      </c>
      <c r="X372" s="1">
        <f t="shared" si="192"/>
        <v>9.6076794696358297E-2</v>
      </c>
      <c r="Y372" s="1">
        <f t="shared" si="192"/>
        <v>9.5670743740944281E-2</v>
      </c>
      <c r="Z372" s="1">
        <f t="shared" si="192"/>
        <v>9.5264692785530264E-2</v>
      </c>
      <c r="AA372" s="1">
        <f t="shared" si="192"/>
        <v>9.4858641830116247E-2</v>
      </c>
      <c r="AB372" s="1">
        <f t="shared" si="192"/>
        <v>9.4452590874702258E-2</v>
      </c>
      <c r="AC372" s="1">
        <f t="shared" si="192"/>
        <v>9.3813411676288733E-2</v>
      </c>
      <c r="AD372" s="1">
        <f t="shared" si="192"/>
        <v>9.2032589758480499E-2</v>
      </c>
      <c r="AE372" s="1">
        <f t="shared" si="192"/>
        <v>9.0251767840672292E-2</v>
      </c>
      <c r="AF372" s="1">
        <f t="shared" si="192"/>
        <v>8.8470945922864058E-2</v>
      </c>
      <c r="AG372" s="1">
        <f t="shared" si="192"/>
        <v>8.6690124005055852E-2</v>
      </c>
      <c r="AH372" s="1">
        <f t="shared" si="192"/>
        <v>8.4909302087247646E-2</v>
      </c>
      <c r="AI372" s="1">
        <f t="shared" si="192"/>
        <v>8.3128480169439412E-2</v>
      </c>
      <c r="AJ372" s="1">
        <f t="shared" si="192"/>
        <v>8.1347658251631205E-2</v>
      </c>
      <c r="AK372" s="1">
        <f t="shared" si="192"/>
        <v>7.7841285798642884E-2</v>
      </c>
      <c r="AL372" s="1">
        <f t="shared" si="192"/>
        <v>7.41167960027245E-2</v>
      </c>
      <c r="AM372" s="1">
        <f t="shared" si="192"/>
        <v>7.0392306206806143E-2</v>
      </c>
      <c r="AN372" s="1">
        <f t="shared" si="192"/>
        <v>6.6667816410887787E-2</v>
      </c>
      <c r="AO372" s="1">
        <f t="shared" si="192"/>
        <v>6.2943326614969403E-2</v>
      </c>
    </row>
    <row r="373" spans="2:41">
      <c r="B373" s="1">
        <f t="shared" ref="B373:AO373" si="193">$AG$110-B$108</f>
        <v>6.5023980794449432E-2</v>
      </c>
      <c r="C373" s="1">
        <f t="shared" si="193"/>
        <v>6.8748470590367788E-2</v>
      </c>
      <c r="D373" s="1">
        <f t="shared" si="193"/>
        <v>7.2472960386286145E-2</v>
      </c>
      <c r="E373" s="1">
        <f t="shared" si="193"/>
        <v>7.6197450182204529E-2</v>
      </c>
      <c r="F373" s="1">
        <f t="shared" si="193"/>
        <v>7.970382263519285E-2</v>
      </c>
      <c r="G373" s="1">
        <f t="shared" si="193"/>
        <v>8.1484644553001057E-2</v>
      </c>
      <c r="H373" s="1">
        <f t="shared" si="193"/>
        <v>8.3265466470809291E-2</v>
      </c>
      <c r="I373" s="1">
        <f t="shared" si="193"/>
        <v>8.5046288388617497E-2</v>
      </c>
      <c r="J373" s="1">
        <f t="shared" si="193"/>
        <v>8.6827110306425703E-2</v>
      </c>
      <c r="K373" s="1">
        <f t="shared" si="193"/>
        <v>8.8607932224233937E-2</v>
      </c>
      <c r="L373" s="1">
        <f t="shared" si="193"/>
        <v>9.0388754142042144E-2</v>
      </c>
      <c r="M373" s="1">
        <f t="shared" si="193"/>
        <v>9.2169576059850378E-2</v>
      </c>
      <c r="N373" s="1">
        <f t="shared" si="193"/>
        <v>9.2808755258263903E-2</v>
      </c>
      <c r="O373" s="1">
        <f t="shared" si="193"/>
        <v>9.3214806213677892E-2</v>
      </c>
      <c r="P373" s="1">
        <f t="shared" si="193"/>
        <v>9.3620857169091909E-2</v>
      </c>
      <c r="Q373" s="1">
        <f t="shared" si="193"/>
        <v>9.4026908124505926E-2</v>
      </c>
      <c r="R373" s="1">
        <f t="shared" si="193"/>
        <v>9.4432959079919943E-2</v>
      </c>
      <c r="S373" s="1">
        <f t="shared" si="193"/>
        <v>9.4839010035333959E-2</v>
      </c>
      <c r="T373" s="1">
        <f t="shared" si="193"/>
        <v>9.5245060990747976E-2</v>
      </c>
      <c r="U373" s="1">
        <f t="shared" si="193"/>
        <v>9.5651111946161993E-2</v>
      </c>
      <c r="V373" s="1">
        <f t="shared" si="193"/>
        <v>9.5245060990747976E-2</v>
      </c>
      <c r="W373" s="1">
        <f t="shared" si="193"/>
        <v>9.4839010035333959E-2</v>
      </c>
      <c r="X373" s="1">
        <f t="shared" si="193"/>
        <v>9.4432959079919943E-2</v>
      </c>
      <c r="Y373" s="1">
        <f t="shared" si="193"/>
        <v>9.4026908124505926E-2</v>
      </c>
      <c r="Z373" s="1">
        <f t="shared" si="193"/>
        <v>9.3620857169091909E-2</v>
      </c>
      <c r="AA373" s="1">
        <f t="shared" si="193"/>
        <v>9.3214806213677892E-2</v>
      </c>
      <c r="AB373" s="1">
        <f t="shared" si="193"/>
        <v>9.2808755258263903E-2</v>
      </c>
      <c r="AC373" s="1">
        <f t="shared" si="193"/>
        <v>9.2169576059850378E-2</v>
      </c>
      <c r="AD373" s="1">
        <f t="shared" si="193"/>
        <v>9.0388754142042144E-2</v>
      </c>
      <c r="AE373" s="1">
        <f t="shared" si="193"/>
        <v>8.8607932224233937E-2</v>
      </c>
      <c r="AF373" s="1">
        <f t="shared" si="193"/>
        <v>8.6827110306425703E-2</v>
      </c>
      <c r="AG373" s="1">
        <f t="shared" si="193"/>
        <v>8.5046288388617497E-2</v>
      </c>
      <c r="AH373" s="1">
        <f t="shared" si="193"/>
        <v>8.3265466470809291E-2</v>
      </c>
      <c r="AI373" s="1">
        <f t="shared" si="193"/>
        <v>8.1484644553001057E-2</v>
      </c>
      <c r="AJ373" s="1">
        <f t="shared" si="193"/>
        <v>7.970382263519285E-2</v>
      </c>
      <c r="AK373" s="1">
        <f t="shared" si="193"/>
        <v>7.6197450182204529E-2</v>
      </c>
      <c r="AL373" s="1">
        <f t="shared" si="193"/>
        <v>7.2472960386286145E-2</v>
      </c>
      <c r="AM373" s="1">
        <f t="shared" si="193"/>
        <v>6.8748470590367788E-2</v>
      </c>
      <c r="AN373" s="1">
        <f t="shared" si="193"/>
        <v>6.5023980794449432E-2</v>
      </c>
      <c r="AO373" s="1">
        <f t="shared" si="193"/>
        <v>6.1299490998531055E-2</v>
      </c>
    </row>
    <row r="374" spans="2:41">
      <c r="B374" s="1">
        <f t="shared" ref="B374:AO374" si="194">$AH$110-B$108</f>
        <v>6.3380145178011077E-2</v>
      </c>
      <c r="C374" s="1">
        <f t="shared" si="194"/>
        <v>6.7104634973929433E-2</v>
      </c>
      <c r="D374" s="1">
        <f t="shared" si="194"/>
        <v>7.082912476984779E-2</v>
      </c>
      <c r="E374" s="1">
        <f t="shared" si="194"/>
        <v>7.4553614565766174E-2</v>
      </c>
      <c r="F374" s="1">
        <f t="shared" si="194"/>
        <v>7.8059987018754495E-2</v>
      </c>
      <c r="G374" s="1">
        <f t="shared" si="194"/>
        <v>7.9840808936562702E-2</v>
      </c>
      <c r="H374" s="1">
        <f t="shared" si="194"/>
        <v>8.1621630854370936E-2</v>
      </c>
      <c r="I374" s="1">
        <f t="shared" si="194"/>
        <v>8.3402452772179142E-2</v>
      </c>
      <c r="J374" s="1">
        <f t="shared" si="194"/>
        <v>8.5183274689987348E-2</v>
      </c>
      <c r="K374" s="1">
        <f t="shared" si="194"/>
        <v>8.6964096607795582E-2</v>
      </c>
      <c r="L374" s="1">
        <f t="shared" si="194"/>
        <v>8.8744918525603789E-2</v>
      </c>
      <c r="M374" s="1">
        <f t="shared" si="194"/>
        <v>9.0525740443412023E-2</v>
      </c>
      <c r="N374" s="1">
        <f t="shared" si="194"/>
        <v>9.1164919641825548E-2</v>
      </c>
      <c r="O374" s="1">
        <f t="shared" si="194"/>
        <v>9.1570970597239537E-2</v>
      </c>
      <c r="P374" s="1">
        <f t="shared" si="194"/>
        <v>9.1977021552653554E-2</v>
      </c>
      <c r="Q374" s="1">
        <f t="shared" si="194"/>
        <v>9.2383072508067571E-2</v>
      </c>
      <c r="R374" s="1">
        <f t="shared" si="194"/>
        <v>9.2789123463481588E-2</v>
      </c>
      <c r="S374" s="1">
        <f t="shared" si="194"/>
        <v>9.3195174418895604E-2</v>
      </c>
      <c r="T374" s="1">
        <f t="shared" si="194"/>
        <v>9.3601225374309621E-2</v>
      </c>
      <c r="U374" s="1">
        <f t="shared" si="194"/>
        <v>9.4007276329723638E-2</v>
      </c>
      <c r="V374" s="1">
        <f t="shared" si="194"/>
        <v>9.3601225374309621E-2</v>
      </c>
      <c r="W374" s="1">
        <f t="shared" si="194"/>
        <v>9.3195174418895604E-2</v>
      </c>
      <c r="X374" s="1">
        <f t="shared" si="194"/>
        <v>9.2789123463481588E-2</v>
      </c>
      <c r="Y374" s="1">
        <f t="shared" si="194"/>
        <v>9.2383072508067571E-2</v>
      </c>
      <c r="Z374" s="1">
        <f t="shared" si="194"/>
        <v>9.1977021552653554E-2</v>
      </c>
      <c r="AA374" s="1">
        <f t="shared" si="194"/>
        <v>9.1570970597239537E-2</v>
      </c>
      <c r="AB374" s="1">
        <f t="shared" si="194"/>
        <v>9.1164919641825548E-2</v>
      </c>
      <c r="AC374" s="1">
        <f t="shared" si="194"/>
        <v>9.0525740443412023E-2</v>
      </c>
      <c r="AD374" s="1">
        <f t="shared" si="194"/>
        <v>8.8744918525603789E-2</v>
      </c>
      <c r="AE374" s="1">
        <f t="shared" si="194"/>
        <v>8.6964096607795582E-2</v>
      </c>
      <c r="AF374" s="1">
        <f t="shared" si="194"/>
        <v>8.5183274689987348E-2</v>
      </c>
      <c r="AG374" s="1">
        <f t="shared" si="194"/>
        <v>8.3402452772179142E-2</v>
      </c>
      <c r="AH374" s="1">
        <f t="shared" si="194"/>
        <v>8.1621630854370936E-2</v>
      </c>
      <c r="AI374" s="1">
        <f t="shared" si="194"/>
        <v>7.9840808936562702E-2</v>
      </c>
      <c r="AJ374" s="1">
        <f t="shared" si="194"/>
        <v>7.8059987018754495E-2</v>
      </c>
      <c r="AK374" s="1">
        <f t="shared" si="194"/>
        <v>7.4553614565766174E-2</v>
      </c>
      <c r="AL374" s="1">
        <f t="shared" si="194"/>
        <v>7.082912476984779E-2</v>
      </c>
      <c r="AM374" s="1">
        <f t="shared" si="194"/>
        <v>6.7104634973929433E-2</v>
      </c>
      <c r="AN374" s="1">
        <f t="shared" si="194"/>
        <v>6.3380145178011077E-2</v>
      </c>
      <c r="AO374" s="1">
        <f t="shared" si="194"/>
        <v>5.9655655382092693E-2</v>
      </c>
    </row>
    <row r="375" spans="2:41">
      <c r="B375" s="1">
        <f t="shared" ref="B375:AO375" si="195">$AI$110-B$108</f>
        <v>6.1736309561572722E-2</v>
      </c>
      <c r="C375" s="1">
        <f t="shared" si="195"/>
        <v>6.5460799357491078E-2</v>
      </c>
      <c r="D375" s="1">
        <f t="shared" si="195"/>
        <v>6.9185289153409435E-2</v>
      </c>
      <c r="E375" s="1">
        <f t="shared" si="195"/>
        <v>7.2909778949327819E-2</v>
      </c>
      <c r="F375" s="1">
        <f t="shared" si="195"/>
        <v>7.641615140231614E-2</v>
      </c>
      <c r="G375" s="1">
        <f t="shared" si="195"/>
        <v>7.8196973320124347E-2</v>
      </c>
      <c r="H375" s="1">
        <f t="shared" si="195"/>
        <v>7.9977795237932581E-2</v>
      </c>
      <c r="I375" s="1">
        <f t="shared" si="195"/>
        <v>8.1758617155740787E-2</v>
      </c>
      <c r="J375" s="1">
        <f t="shared" si="195"/>
        <v>8.3539439073548993E-2</v>
      </c>
      <c r="K375" s="1">
        <f t="shared" si="195"/>
        <v>8.5320260991357227E-2</v>
      </c>
      <c r="L375" s="1">
        <f t="shared" si="195"/>
        <v>8.7101082909165434E-2</v>
      </c>
      <c r="M375" s="1">
        <f t="shared" si="195"/>
        <v>8.8881904826973668E-2</v>
      </c>
      <c r="N375" s="1">
        <f t="shared" si="195"/>
        <v>8.9521084025387193E-2</v>
      </c>
      <c r="O375" s="1">
        <f t="shared" si="195"/>
        <v>8.9927134980801182E-2</v>
      </c>
      <c r="P375" s="1">
        <f t="shared" si="195"/>
        <v>9.0333185936215199E-2</v>
      </c>
      <c r="Q375" s="1">
        <f t="shared" si="195"/>
        <v>9.0739236891629216E-2</v>
      </c>
      <c r="R375" s="1">
        <f t="shared" si="195"/>
        <v>9.1145287847043233E-2</v>
      </c>
      <c r="S375" s="1">
        <f t="shared" si="195"/>
        <v>9.1551338802457249E-2</v>
      </c>
      <c r="T375" s="1">
        <f t="shared" si="195"/>
        <v>9.1957389757871266E-2</v>
      </c>
      <c r="U375" s="1">
        <f t="shared" si="195"/>
        <v>9.2363440713285283E-2</v>
      </c>
      <c r="V375" s="1">
        <f t="shared" si="195"/>
        <v>9.1957389757871266E-2</v>
      </c>
      <c r="W375" s="1">
        <f t="shared" si="195"/>
        <v>9.1551338802457249E-2</v>
      </c>
      <c r="X375" s="1">
        <f t="shared" si="195"/>
        <v>9.1145287847043233E-2</v>
      </c>
      <c r="Y375" s="1">
        <f t="shared" si="195"/>
        <v>9.0739236891629216E-2</v>
      </c>
      <c r="Z375" s="1">
        <f t="shared" si="195"/>
        <v>9.0333185936215199E-2</v>
      </c>
      <c r="AA375" s="1">
        <f t="shared" si="195"/>
        <v>8.9927134980801182E-2</v>
      </c>
      <c r="AB375" s="1">
        <f t="shared" si="195"/>
        <v>8.9521084025387193E-2</v>
      </c>
      <c r="AC375" s="1">
        <f t="shared" si="195"/>
        <v>8.8881904826973668E-2</v>
      </c>
      <c r="AD375" s="1">
        <f t="shared" si="195"/>
        <v>8.7101082909165434E-2</v>
      </c>
      <c r="AE375" s="1">
        <f t="shared" si="195"/>
        <v>8.5320260991357227E-2</v>
      </c>
      <c r="AF375" s="1">
        <f t="shared" si="195"/>
        <v>8.3539439073548993E-2</v>
      </c>
      <c r="AG375" s="1">
        <f t="shared" si="195"/>
        <v>8.1758617155740787E-2</v>
      </c>
      <c r="AH375" s="1">
        <f t="shared" si="195"/>
        <v>7.9977795237932581E-2</v>
      </c>
      <c r="AI375" s="1">
        <f t="shared" si="195"/>
        <v>7.8196973320124347E-2</v>
      </c>
      <c r="AJ375" s="1">
        <f t="shared" si="195"/>
        <v>7.641615140231614E-2</v>
      </c>
      <c r="AK375" s="1">
        <f t="shared" si="195"/>
        <v>7.2909778949327819E-2</v>
      </c>
      <c r="AL375" s="1">
        <f t="shared" si="195"/>
        <v>6.9185289153409435E-2</v>
      </c>
      <c r="AM375" s="1">
        <f t="shared" si="195"/>
        <v>6.5460799357491078E-2</v>
      </c>
      <c r="AN375" s="1">
        <f t="shared" si="195"/>
        <v>6.1736309561572722E-2</v>
      </c>
      <c r="AO375" s="1">
        <f t="shared" si="195"/>
        <v>5.8011819765654338E-2</v>
      </c>
    </row>
    <row r="376" spans="2:41">
      <c r="B376" s="1">
        <f t="shared" ref="B376:AO376" si="196">$AJ$110-B$108</f>
        <v>6.009247394513436E-2</v>
      </c>
      <c r="C376" s="1">
        <f t="shared" si="196"/>
        <v>6.3816963741052724E-2</v>
      </c>
      <c r="D376" s="1">
        <f t="shared" si="196"/>
        <v>6.754145353697108E-2</v>
      </c>
      <c r="E376" s="1">
        <f t="shared" si="196"/>
        <v>7.1265943332889464E-2</v>
      </c>
      <c r="F376" s="1">
        <f t="shared" si="196"/>
        <v>7.4772315785877785E-2</v>
      </c>
      <c r="G376" s="1">
        <f t="shared" si="196"/>
        <v>7.6553137703685992E-2</v>
      </c>
      <c r="H376" s="1">
        <f t="shared" si="196"/>
        <v>7.8333959621494226E-2</v>
      </c>
      <c r="I376" s="1">
        <f t="shared" si="196"/>
        <v>8.0114781539302432E-2</v>
      </c>
      <c r="J376" s="1">
        <f t="shared" si="196"/>
        <v>8.1895603457110638E-2</v>
      </c>
      <c r="K376" s="1">
        <f t="shared" si="196"/>
        <v>8.3676425374918872E-2</v>
      </c>
      <c r="L376" s="1">
        <f t="shared" si="196"/>
        <v>8.5457247292727079E-2</v>
      </c>
      <c r="M376" s="1">
        <f t="shared" si="196"/>
        <v>8.7238069210535313E-2</v>
      </c>
      <c r="N376" s="1">
        <f t="shared" si="196"/>
        <v>8.7877248408948838E-2</v>
      </c>
      <c r="O376" s="1">
        <f t="shared" si="196"/>
        <v>8.8283299364362827E-2</v>
      </c>
      <c r="P376" s="1">
        <f t="shared" si="196"/>
        <v>8.8689350319776844E-2</v>
      </c>
      <c r="Q376" s="1">
        <f t="shared" si="196"/>
        <v>8.9095401275190861E-2</v>
      </c>
      <c r="R376" s="1">
        <f t="shared" si="196"/>
        <v>8.9501452230604878E-2</v>
      </c>
      <c r="S376" s="1">
        <f t="shared" si="196"/>
        <v>8.9907503186018894E-2</v>
      </c>
      <c r="T376" s="1">
        <f t="shared" si="196"/>
        <v>9.0313554141432911E-2</v>
      </c>
      <c r="U376" s="1">
        <f t="shared" si="196"/>
        <v>9.0719605096846928E-2</v>
      </c>
      <c r="V376" s="1">
        <f t="shared" si="196"/>
        <v>9.0313554141432911E-2</v>
      </c>
      <c r="W376" s="1">
        <f t="shared" si="196"/>
        <v>8.9907503186018894E-2</v>
      </c>
      <c r="X376" s="1">
        <f t="shared" si="196"/>
        <v>8.9501452230604878E-2</v>
      </c>
      <c r="Y376" s="1">
        <f t="shared" si="196"/>
        <v>8.9095401275190861E-2</v>
      </c>
      <c r="Z376" s="1">
        <f t="shared" si="196"/>
        <v>8.8689350319776844E-2</v>
      </c>
      <c r="AA376" s="1">
        <f t="shared" si="196"/>
        <v>8.8283299364362827E-2</v>
      </c>
      <c r="AB376" s="1">
        <f t="shared" si="196"/>
        <v>8.7877248408948838E-2</v>
      </c>
      <c r="AC376" s="1">
        <f t="shared" si="196"/>
        <v>8.7238069210535313E-2</v>
      </c>
      <c r="AD376" s="1">
        <f t="shared" si="196"/>
        <v>8.5457247292727079E-2</v>
      </c>
      <c r="AE376" s="1">
        <f t="shared" si="196"/>
        <v>8.3676425374918872E-2</v>
      </c>
      <c r="AF376" s="1">
        <f t="shared" si="196"/>
        <v>8.1895603457110638E-2</v>
      </c>
      <c r="AG376" s="1">
        <f t="shared" si="196"/>
        <v>8.0114781539302432E-2</v>
      </c>
      <c r="AH376" s="1">
        <f t="shared" si="196"/>
        <v>7.8333959621494226E-2</v>
      </c>
      <c r="AI376" s="1">
        <f t="shared" si="196"/>
        <v>7.6553137703685992E-2</v>
      </c>
      <c r="AJ376" s="1">
        <f t="shared" si="196"/>
        <v>7.4772315785877785E-2</v>
      </c>
      <c r="AK376" s="1">
        <f t="shared" si="196"/>
        <v>7.1265943332889464E-2</v>
      </c>
      <c r="AL376" s="1">
        <f t="shared" si="196"/>
        <v>6.754145353697108E-2</v>
      </c>
      <c r="AM376" s="1">
        <f t="shared" si="196"/>
        <v>6.3816963741052724E-2</v>
      </c>
      <c r="AN376" s="1">
        <f t="shared" si="196"/>
        <v>6.009247394513436E-2</v>
      </c>
      <c r="AO376" s="1">
        <f t="shared" si="196"/>
        <v>5.6367984149215976E-2</v>
      </c>
    </row>
    <row r="377" spans="2:41">
      <c r="B377" s="1">
        <f t="shared" ref="B377:AO377" si="197">$AK$110-B$108</f>
        <v>5.8415423560193719E-2</v>
      </c>
      <c r="C377" s="1">
        <f t="shared" si="197"/>
        <v>6.2139913356112075E-2</v>
      </c>
      <c r="D377" s="1">
        <f t="shared" si="197"/>
        <v>6.5864403152030432E-2</v>
      </c>
      <c r="E377" s="1">
        <f t="shared" si="197"/>
        <v>6.9588892947948816E-2</v>
      </c>
      <c r="F377" s="1">
        <f t="shared" si="197"/>
        <v>7.3095265400937137E-2</v>
      </c>
      <c r="G377" s="1">
        <f t="shared" si="197"/>
        <v>7.4876087318745344E-2</v>
      </c>
      <c r="H377" s="1">
        <f t="shared" si="197"/>
        <v>7.6656909236553578E-2</v>
      </c>
      <c r="I377" s="1">
        <f t="shared" si="197"/>
        <v>7.8437731154361784E-2</v>
      </c>
      <c r="J377" s="1">
        <f t="shared" si="197"/>
        <v>8.021855307216999E-2</v>
      </c>
      <c r="K377" s="1">
        <f t="shared" si="197"/>
        <v>8.1999374989978224E-2</v>
      </c>
      <c r="L377" s="1">
        <f t="shared" si="197"/>
        <v>8.3780196907786431E-2</v>
      </c>
      <c r="M377" s="1">
        <f t="shared" si="197"/>
        <v>8.5561018825594665E-2</v>
      </c>
      <c r="N377" s="1">
        <f t="shared" si="197"/>
        <v>8.620019802400819E-2</v>
      </c>
      <c r="O377" s="1">
        <f t="shared" si="197"/>
        <v>8.6606248979422179E-2</v>
      </c>
      <c r="P377" s="1">
        <f t="shared" si="197"/>
        <v>8.7012299934836196E-2</v>
      </c>
      <c r="Q377" s="1">
        <f t="shared" si="197"/>
        <v>8.7418350890250213E-2</v>
      </c>
      <c r="R377" s="1">
        <f t="shared" si="197"/>
        <v>8.7824401845664229E-2</v>
      </c>
      <c r="S377" s="1">
        <f t="shared" si="197"/>
        <v>8.8230452801078246E-2</v>
      </c>
      <c r="T377" s="1">
        <f t="shared" si="197"/>
        <v>8.8636503756492263E-2</v>
      </c>
      <c r="U377" s="1">
        <f t="shared" si="197"/>
        <v>8.904255471190628E-2</v>
      </c>
      <c r="V377" s="1">
        <f t="shared" si="197"/>
        <v>8.8636503756492263E-2</v>
      </c>
      <c r="W377" s="1">
        <f t="shared" si="197"/>
        <v>8.8230452801078246E-2</v>
      </c>
      <c r="X377" s="1">
        <f t="shared" si="197"/>
        <v>8.7824401845664229E-2</v>
      </c>
      <c r="Y377" s="1">
        <f t="shared" si="197"/>
        <v>8.7418350890250213E-2</v>
      </c>
      <c r="Z377" s="1">
        <f t="shared" si="197"/>
        <v>8.7012299934836196E-2</v>
      </c>
      <c r="AA377" s="1">
        <f t="shared" si="197"/>
        <v>8.6606248979422179E-2</v>
      </c>
      <c r="AB377" s="1">
        <f t="shared" si="197"/>
        <v>8.620019802400819E-2</v>
      </c>
      <c r="AC377" s="1">
        <f t="shared" si="197"/>
        <v>8.5561018825594665E-2</v>
      </c>
      <c r="AD377" s="1">
        <f t="shared" si="197"/>
        <v>8.3780196907786431E-2</v>
      </c>
      <c r="AE377" s="1">
        <f t="shared" si="197"/>
        <v>8.1999374989978224E-2</v>
      </c>
      <c r="AF377" s="1">
        <f t="shared" si="197"/>
        <v>8.021855307216999E-2</v>
      </c>
      <c r="AG377" s="1">
        <f t="shared" si="197"/>
        <v>7.8437731154361784E-2</v>
      </c>
      <c r="AH377" s="1">
        <f t="shared" si="197"/>
        <v>7.6656909236553578E-2</v>
      </c>
      <c r="AI377" s="1">
        <f t="shared" si="197"/>
        <v>7.4876087318745344E-2</v>
      </c>
      <c r="AJ377" s="1">
        <f t="shared" si="197"/>
        <v>7.3095265400937137E-2</v>
      </c>
      <c r="AK377" s="1">
        <f t="shared" si="197"/>
        <v>6.9588892947948816E-2</v>
      </c>
      <c r="AL377" s="1">
        <f t="shared" si="197"/>
        <v>6.5864403152030432E-2</v>
      </c>
      <c r="AM377" s="1">
        <f t="shared" si="197"/>
        <v>6.2139913356112075E-2</v>
      </c>
      <c r="AN377" s="1">
        <f t="shared" si="197"/>
        <v>5.8415423560193719E-2</v>
      </c>
      <c r="AO377" s="1">
        <f t="shared" si="197"/>
        <v>5.4690933764275335E-2</v>
      </c>
    </row>
    <row r="378" spans="2:41">
      <c r="B378" s="1">
        <f t="shared" ref="B378:AO378" si="198">$AL$110-B$108</f>
        <v>5.6466295994707122E-2</v>
      </c>
      <c r="C378" s="1">
        <f t="shared" si="198"/>
        <v>6.0190785790625478E-2</v>
      </c>
      <c r="D378" s="1">
        <f t="shared" si="198"/>
        <v>6.3915275586543835E-2</v>
      </c>
      <c r="E378" s="1">
        <f t="shared" si="198"/>
        <v>6.7639765382462219E-2</v>
      </c>
      <c r="F378" s="1">
        <f t="shared" si="198"/>
        <v>7.114613783545054E-2</v>
      </c>
      <c r="G378" s="1">
        <f t="shared" si="198"/>
        <v>7.2926959753258747E-2</v>
      </c>
      <c r="H378" s="1">
        <f t="shared" si="198"/>
        <v>7.4707781671066981E-2</v>
      </c>
      <c r="I378" s="1">
        <f t="shared" si="198"/>
        <v>7.6488603588875187E-2</v>
      </c>
      <c r="J378" s="1">
        <f t="shared" si="198"/>
        <v>7.8269425506683393E-2</v>
      </c>
      <c r="K378" s="1">
        <f t="shared" si="198"/>
        <v>8.0050247424491627E-2</v>
      </c>
      <c r="L378" s="1">
        <f t="shared" si="198"/>
        <v>8.1831069342299834E-2</v>
      </c>
      <c r="M378" s="1">
        <f t="shared" si="198"/>
        <v>8.3611891260108068E-2</v>
      </c>
      <c r="N378" s="1">
        <f t="shared" si="198"/>
        <v>8.4251070458521593E-2</v>
      </c>
      <c r="O378" s="1">
        <f t="shared" si="198"/>
        <v>8.4657121413935582E-2</v>
      </c>
      <c r="P378" s="1">
        <f t="shared" si="198"/>
        <v>8.5063172369349599E-2</v>
      </c>
      <c r="Q378" s="1">
        <f t="shared" si="198"/>
        <v>8.5469223324763616E-2</v>
      </c>
      <c r="R378" s="1">
        <f t="shared" si="198"/>
        <v>8.5875274280177633E-2</v>
      </c>
      <c r="S378" s="1">
        <f t="shared" si="198"/>
        <v>8.6281325235591649E-2</v>
      </c>
      <c r="T378" s="1">
        <f t="shared" si="198"/>
        <v>8.6687376191005666E-2</v>
      </c>
      <c r="U378" s="1">
        <f t="shared" si="198"/>
        <v>8.7093427146419683E-2</v>
      </c>
      <c r="V378" s="1">
        <f t="shared" si="198"/>
        <v>8.6687376191005666E-2</v>
      </c>
      <c r="W378" s="1">
        <f t="shared" si="198"/>
        <v>8.6281325235591649E-2</v>
      </c>
      <c r="X378" s="1">
        <f t="shared" si="198"/>
        <v>8.5875274280177633E-2</v>
      </c>
      <c r="Y378" s="1">
        <f t="shared" si="198"/>
        <v>8.5469223324763616E-2</v>
      </c>
      <c r="Z378" s="1">
        <f t="shared" si="198"/>
        <v>8.5063172369349599E-2</v>
      </c>
      <c r="AA378" s="1">
        <f t="shared" si="198"/>
        <v>8.4657121413935582E-2</v>
      </c>
      <c r="AB378" s="1">
        <f t="shared" si="198"/>
        <v>8.4251070458521593E-2</v>
      </c>
      <c r="AC378" s="1">
        <f t="shared" si="198"/>
        <v>8.3611891260108068E-2</v>
      </c>
      <c r="AD378" s="1">
        <f t="shared" si="198"/>
        <v>8.1831069342299834E-2</v>
      </c>
      <c r="AE378" s="1">
        <f t="shared" si="198"/>
        <v>8.0050247424491627E-2</v>
      </c>
      <c r="AF378" s="1">
        <f t="shared" si="198"/>
        <v>7.8269425506683393E-2</v>
      </c>
      <c r="AG378" s="1">
        <f t="shared" si="198"/>
        <v>7.6488603588875187E-2</v>
      </c>
      <c r="AH378" s="1">
        <f t="shared" si="198"/>
        <v>7.4707781671066981E-2</v>
      </c>
      <c r="AI378" s="1">
        <f t="shared" si="198"/>
        <v>7.2926959753258747E-2</v>
      </c>
      <c r="AJ378" s="1">
        <f t="shared" si="198"/>
        <v>7.114613783545054E-2</v>
      </c>
      <c r="AK378" s="1">
        <f t="shared" si="198"/>
        <v>6.7639765382462219E-2</v>
      </c>
      <c r="AL378" s="1">
        <f t="shared" si="198"/>
        <v>6.3915275586543835E-2</v>
      </c>
      <c r="AM378" s="1">
        <f t="shared" si="198"/>
        <v>6.0190785790625478E-2</v>
      </c>
      <c r="AN378" s="1">
        <f t="shared" si="198"/>
        <v>5.6466295994707122E-2</v>
      </c>
      <c r="AO378" s="1">
        <f t="shared" si="198"/>
        <v>5.2741806198788738E-2</v>
      </c>
    </row>
    <row r="379" spans="2:41">
      <c r="B379" s="1">
        <f t="shared" ref="B379:AO379" si="199">$AM$110-B$108</f>
        <v>5.4578540892666283E-2</v>
      </c>
      <c r="C379" s="1">
        <f t="shared" si="199"/>
        <v>5.8303030688584639E-2</v>
      </c>
      <c r="D379" s="1">
        <f t="shared" si="199"/>
        <v>6.2027520484502996E-2</v>
      </c>
      <c r="E379" s="1">
        <f t="shared" si="199"/>
        <v>6.575201028042138E-2</v>
      </c>
      <c r="F379" s="1">
        <f t="shared" si="199"/>
        <v>6.9258382733409701E-2</v>
      </c>
      <c r="G379" s="1">
        <f t="shared" si="199"/>
        <v>7.1039204651217908E-2</v>
      </c>
      <c r="H379" s="1">
        <f t="shared" si="199"/>
        <v>7.2820026569026142E-2</v>
      </c>
      <c r="I379" s="1">
        <f t="shared" si="199"/>
        <v>7.4600848486834348E-2</v>
      </c>
      <c r="J379" s="1">
        <f t="shared" si="199"/>
        <v>7.6381670404642554E-2</v>
      </c>
      <c r="K379" s="1">
        <f t="shared" si="199"/>
        <v>7.8162492322450788E-2</v>
      </c>
      <c r="L379" s="1">
        <f t="shared" si="199"/>
        <v>7.9943314240258995E-2</v>
      </c>
      <c r="M379" s="1">
        <f t="shared" si="199"/>
        <v>8.1724136158067229E-2</v>
      </c>
      <c r="N379" s="1">
        <f t="shared" si="199"/>
        <v>8.2363315356480754E-2</v>
      </c>
      <c r="O379" s="1">
        <f t="shared" si="199"/>
        <v>8.2769366311894743E-2</v>
      </c>
      <c r="P379" s="1">
        <f t="shared" si="199"/>
        <v>8.317541726730876E-2</v>
      </c>
      <c r="Q379" s="1">
        <f t="shared" si="199"/>
        <v>8.3581468222722777E-2</v>
      </c>
      <c r="R379" s="1">
        <f t="shared" si="199"/>
        <v>8.3987519178136794E-2</v>
      </c>
      <c r="S379" s="1">
        <f t="shared" si="199"/>
        <v>8.439357013355081E-2</v>
      </c>
      <c r="T379" s="1">
        <f t="shared" si="199"/>
        <v>8.4799621088964827E-2</v>
      </c>
      <c r="U379" s="1">
        <f t="shared" si="199"/>
        <v>8.5205672044378844E-2</v>
      </c>
      <c r="V379" s="1">
        <f t="shared" si="199"/>
        <v>8.4799621088964827E-2</v>
      </c>
      <c r="W379" s="1">
        <f t="shared" si="199"/>
        <v>8.439357013355081E-2</v>
      </c>
      <c r="X379" s="1">
        <f t="shared" si="199"/>
        <v>8.3987519178136794E-2</v>
      </c>
      <c r="Y379" s="1">
        <f t="shared" si="199"/>
        <v>8.3581468222722777E-2</v>
      </c>
      <c r="Z379" s="1">
        <f t="shared" si="199"/>
        <v>8.317541726730876E-2</v>
      </c>
      <c r="AA379" s="1">
        <f t="shared" si="199"/>
        <v>8.2769366311894743E-2</v>
      </c>
      <c r="AB379" s="1">
        <f t="shared" si="199"/>
        <v>8.2363315356480754E-2</v>
      </c>
      <c r="AC379" s="1">
        <f t="shared" si="199"/>
        <v>8.1724136158067229E-2</v>
      </c>
      <c r="AD379" s="1">
        <f t="shared" si="199"/>
        <v>7.9943314240258995E-2</v>
      </c>
      <c r="AE379" s="1">
        <f t="shared" si="199"/>
        <v>7.8162492322450788E-2</v>
      </c>
      <c r="AF379" s="1">
        <f t="shared" si="199"/>
        <v>7.6381670404642554E-2</v>
      </c>
      <c r="AG379" s="1">
        <f t="shared" si="199"/>
        <v>7.4600848486834348E-2</v>
      </c>
      <c r="AH379" s="1">
        <f t="shared" si="199"/>
        <v>7.2820026569026142E-2</v>
      </c>
      <c r="AI379" s="1">
        <f t="shared" si="199"/>
        <v>7.1039204651217908E-2</v>
      </c>
      <c r="AJ379" s="1">
        <f t="shared" si="199"/>
        <v>6.9258382733409701E-2</v>
      </c>
      <c r="AK379" s="1">
        <f t="shared" si="199"/>
        <v>6.575201028042138E-2</v>
      </c>
      <c r="AL379" s="1">
        <f t="shared" si="199"/>
        <v>6.2027520484502996E-2</v>
      </c>
      <c r="AM379" s="1">
        <f t="shared" si="199"/>
        <v>5.8303030688584639E-2</v>
      </c>
      <c r="AN379" s="1">
        <f t="shared" si="199"/>
        <v>5.4578540892666283E-2</v>
      </c>
      <c r="AO379" s="1">
        <f t="shared" si="199"/>
        <v>5.0854051096747899E-2</v>
      </c>
    </row>
    <row r="380" spans="2:41">
      <c r="B380" s="1">
        <f t="shared" ref="B380:AO380" si="200">$AN$110-B$108</f>
        <v>5.2690785790625472E-2</v>
      </c>
      <c r="C380" s="1">
        <f t="shared" si="200"/>
        <v>5.6415275586543828E-2</v>
      </c>
      <c r="D380" s="1">
        <f t="shared" si="200"/>
        <v>6.0139765382462185E-2</v>
      </c>
      <c r="E380" s="1">
        <f t="shared" si="200"/>
        <v>6.3864255178380569E-2</v>
      </c>
      <c r="F380" s="1">
        <f t="shared" si="200"/>
        <v>6.737062763136889E-2</v>
      </c>
      <c r="G380" s="1">
        <f t="shared" si="200"/>
        <v>6.9151449549177096E-2</v>
      </c>
      <c r="H380" s="1">
        <f t="shared" si="200"/>
        <v>7.093227146698533E-2</v>
      </c>
      <c r="I380" s="1">
        <f t="shared" si="200"/>
        <v>7.2713093384793537E-2</v>
      </c>
      <c r="J380" s="1">
        <f t="shared" si="200"/>
        <v>7.4493915302601743E-2</v>
      </c>
      <c r="K380" s="1">
        <f t="shared" si="200"/>
        <v>7.6274737220409977E-2</v>
      </c>
      <c r="L380" s="1">
        <f t="shared" si="200"/>
        <v>7.8055559138218183E-2</v>
      </c>
      <c r="M380" s="1">
        <f t="shared" si="200"/>
        <v>7.9836381056026418E-2</v>
      </c>
      <c r="N380" s="1">
        <f t="shared" si="200"/>
        <v>8.0475560254439943E-2</v>
      </c>
      <c r="O380" s="1">
        <f t="shared" si="200"/>
        <v>8.0881611209853932E-2</v>
      </c>
      <c r="P380" s="1">
        <f t="shared" si="200"/>
        <v>8.1287662165267949E-2</v>
      </c>
      <c r="Q380" s="1">
        <f t="shared" si="200"/>
        <v>8.1693713120681966E-2</v>
      </c>
      <c r="R380" s="1">
        <f t="shared" si="200"/>
        <v>8.2099764076095982E-2</v>
      </c>
      <c r="S380" s="1">
        <f t="shared" si="200"/>
        <v>8.2505815031509999E-2</v>
      </c>
      <c r="T380" s="1">
        <f t="shared" si="200"/>
        <v>8.2911865986924016E-2</v>
      </c>
      <c r="U380" s="1">
        <f t="shared" si="200"/>
        <v>8.3317916942338033E-2</v>
      </c>
      <c r="V380" s="1">
        <f t="shared" si="200"/>
        <v>8.2911865986924016E-2</v>
      </c>
      <c r="W380" s="1">
        <f t="shared" si="200"/>
        <v>8.2505815031509999E-2</v>
      </c>
      <c r="X380" s="1">
        <f t="shared" si="200"/>
        <v>8.2099764076095982E-2</v>
      </c>
      <c r="Y380" s="1">
        <f t="shared" si="200"/>
        <v>8.1693713120681966E-2</v>
      </c>
      <c r="Z380" s="1">
        <f t="shared" si="200"/>
        <v>8.1287662165267949E-2</v>
      </c>
      <c r="AA380" s="1">
        <f t="shared" si="200"/>
        <v>8.0881611209853932E-2</v>
      </c>
      <c r="AB380" s="1">
        <f t="shared" si="200"/>
        <v>8.0475560254439943E-2</v>
      </c>
      <c r="AC380" s="1">
        <f t="shared" si="200"/>
        <v>7.9836381056026418E-2</v>
      </c>
      <c r="AD380" s="1">
        <f t="shared" si="200"/>
        <v>7.8055559138218183E-2</v>
      </c>
      <c r="AE380" s="1">
        <f t="shared" si="200"/>
        <v>7.6274737220409977E-2</v>
      </c>
      <c r="AF380" s="1">
        <f t="shared" si="200"/>
        <v>7.4493915302601743E-2</v>
      </c>
      <c r="AG380" s="1">
        <f t="shared" si="200"/>
        <v>7.2713093384793537E-2</v>
      </c>
      <c r="AH380" s="1">
        <f t="shared" si="200"/>
        <v>7.093227146698533E-2</v>
      </c>
      <c r="AI380" s="1">
        <f t="shared" si="200"/>
        <v>6.9151449549177096E-2</v>
      </c>
      <c r="AJ380" s="1">
        <f t="shared" si="200"/>
        <v>6.737062763136889E-2</v>
      </c>
      <c r="AK380" s="1">
        <f t="shared" si="200"/>
        <v>6.3864255178380569E-2</v>
      </c>
      <c r="AL380" s="1">
        <f t="shared" si="200"/>
        <v>6.0139765382462185E-2</v>
      </c>
      <c r="AM380" s="1">
        <f t="shared" si="200"/>
        <v>5.6415275586543828E-2</v>
      </c>
      <c r="AN380" s="1">
        <f t="shared" si="200"/>
        <v>5.2690785790625472E-2</v>
      </c>
      <c r="AO380" s="1">
        <f t="shared" si="200"/>
        <v>4.8966295994707087E-2</v>
      </c>
    </row>
    <row r="381" spans="2:41">
      <c r="B381" s="1">
        <f t="shared" ref="B381:AO381" si="201">$AO$110-B$108</f>
        <v>5.0803030688584661E-2</v>
      </c>
      <c r="C381" s="1">
        <f t="shared" si="201"/>
        <v>5.4527520484503017E-2</v>
      </c>
      <c r="D381" s="1">
        <f t="shared" si="201"/>
        <v>5.8252010280421374E-2</v>
      </c>
      <c r="E381" s="1">
        <f t="shared" si="201"/>
        <v>6.1976500076339758E-2</v>
      </c>
      <c r="F381" s="1">
        <f t="shared" si="201"/>
        <v>6.5482872529328079E-2</v>
      </c>
      <c r="G381" s="1">
        <f t="shared" si="201"/>
        <v>6.7263694447136285E-2</v>
      </c>
      <c r="H381" s="1">
        <f t="shared" si="201"/>
        <v>6.9044516364944519E-2</v>
      </c>
      <c r="I381" s="1">
        <f t="shared" si="201"/>
        <v>7.0825338282752726E-2</v>
      </c>
      <c r="J381" s="1">
        <f t="shared" si="201"/>
        <v>7.2606160200560932E-2</v>
      </c>
      <c r="K381" s="1">
        <f t="shared" si="201"/>
        <v>7.4386982118369166E-2</v>
      </c>
      <c r="L381" s="1">
        <f t="shared" si="201"/>
        <v>7.6167804036177372E-2</v>
      </c>
      <c r="M381" s="1">
        <f t="shared" si="201"/>
        <v>7.7948625953985606E-2</v>
      </c>
      <c r="N381" s="1">
        <f t="shared" si="201"/>
        <v>7.8587805152399132E-2</v>
      </c>
      <c r="O381" s="1">
        <f t="shared" si="201"/>
        <v>7.8993856107813121E-2</v>
      </c>
      <c r="P381" s="1">
        <f t="shared" si="201"/>
        <v>7.9399907063227138E-2</v>
      </c>
      <c r="Q381" s="1">
        <f t="shared" si="201"/>
        <v>7.9805958018641154E-2</v>
      </c>
      <c r="R381" s="1">
        <f t="shared" si="201"/>
        <v>8.0212008974055171E-2</v>
      </c>
      <c r="S381" s="1">
        <f t="shared" si="201"/>
        <v>8.0618059929469188E-2</v>
      </c>
      <c r="T381" s="1">
        <f t="shared" si="201"/>
        <v>8.1024110884883205E-2</v>
      </c>
      <c r="U381" s="1">
        <f t="shared" si="201"/>
        <v>8.1430161840297222E-2</v>
      </c>
      <c r="V381" s="1">
        <f t="shared" si="201"/>
        <v>8.1024110884883205E-2</v>
      </c>
      <c r="W381" s="1">
        <f t="shared" si="201"/>
        <v>8.0618059929469188E-2</v>
      </c>
      <c r="X381" s="1">
        <f t="shared" si="201"/>
        <v>8.0212008974055171E-2</v>
      </c>
      <c r="Y381" s="1">
        <f t="shared" si="201"/>
        <v>7.9805958018641154E-2</v>
      </c>
      <c r="Z381" s="1">
        <f t="shared" si="201"/>
        <v>7.9399907063227138E-2</v>
      </c>
      <c r="AA381" s="1">
        <f t="shared" si="201"/>
        <v>7.8993856107813121E-2</v>
      </c>
      <c r="AB381" s="1">
        <f t="shared" si="201"/>
        <v>7.8587805152399132E-2</v>
      </c>
      <c r="AC381" s="1">
        <f t="shared" si="201"/>
        <v>7.7948625953985606E-2</v>
      </c>
      <c r="AD381" s="1">
        <f t="shared" si="201"/>
        <v>7.6167804036177372E-2</v>
      </c>
      <c r="AE381" s="1">
        <f t="shared" si="201"/>
        <v>7.4386982118369166E-2</v>
      </c>
      <c r="AF381" s="1">
        <f t="shared" si="201"/>
        <v>7.2606160200560932E-2</v>
      </c>
      <c r="AG381" s="1">
        <f t="shared" si="201"/>
        <v>7.0825338282752726E-2</v>
      </c>
      <c r="AH381" s="1">
        <f t="shared" si="201"/>
        <v>6.9044516364944519E-2</v>
      </c>
      <c r="AI381" s="1">
        <f t="shared" si="201"/>
        <v>6.7263694447136285E-2</v>
      </c>
      <c r="AJ381" s="1">
        <f t="shared" si="201"/>
        <v>6.5482872529328079E-2</v>
      </c>
      <c r="AK381" s="1">
        <f t="shared" si="201"/>
        <v>6.1976500076339758E-2</v>
      </c>
      <c r="AL381" s="1">
        <f t="shared" si="201"/>
        <v>5.8252010280421374E-2</v>
      </c>
      <c r="AM381" s="1">
        <f t="shared" si="201"/>
        <v>5.4527520484503017E-2</v>
      </c>
      <c r="AN381" s="1">
        <f t="shared" si="201"/>
        <v>5.0803030688584661E-2</v>
      </c>
      <c r="AO381" s="1">
        <f t="shared" si="201"/>
        <v>4.7078540892666276E-2</v>
      </c>
    </row>
    <row r="390" spans="1:41">
      <c r="A390" s="1" t="s">
        <v>125</v>
      </c>
    </row>
    <row r="391" spans="1:41">
      <c r="B391" s="1">
        <f t="shared" ref="B391:AO391" si="202">$B$111-B$109</f>
        <v>-2.5000000000000022E-2</v>
      </c>
      <c r="C391" s="1">
        <f t="shared" si="202"/>
        <v>-7.4999999999999956E-2</v>
      </c>
      <c r="D391" s="1">
        <f t="shared" si="202"/>
        <v>-0.125</v>
      </c>
      <c r="E391" s="1">
        <f t="shared" si="202"/>
        <v>-0.17499999999999993</v>
      </c>
      <c r="F391" s="1">
        <f t="shared" si="202"/>
        <v>-0.22499999999999998</v>
      </c>
      <c r="G391" s="1">
        <f t="shared" si="202"/>
        <v>-0.27500000000000002</v>
      </c>
      <c r="H391" s="1">
        <f t="shared" si="202"/>
        <v>-0.32499999999999996</v>
      </c>
      <c r="I391" s="1">
        <f t="shared" si="202"/>
        <v>-0.375</v>
      </c>
      <c r="J391" s="1">
        <f t="shared" si="202"/>
        <v>-0.42499999999999993</v>
      </c>
      <c r="K391" s="1">
        <f t="shared" si="202"/>
        <v>-0.47499999999999998</v>
      </c>
      <c r="L391" s="1">
        <f t="shared" si="202"/>
        <v>-0.52499999999999991</v>
      </c>
      <c r="M391" s="1">
        <f t="shared" si="202"/>
        <v>-0.57499999999999996</v>
      </c>
      <c r="N391" s="1">
        <f t="shared" si="202"/>
        <v>-0.625</v>
      </c>
      <c r="O391" s="1">
        <f t="shared" si="202"/>
        <v>-0.67500000000000004</v>
      </c>
      <c r="P391" s="1">
        <f t="shared" si="202"/>
        <v>-0.72499999999999998</v>
      </c>
      <c r="Q391" s="1">
        <f t="shared" si="202"/>
        <v>-0.77499999999999991</v>
      </c>
      <c r="R391" s="1">
        <f t="shared" si="202"/>
        <v>-0.82499999999999996</v>
      </c>
      <c r="S391" s="1">
        <f t="shared" si="202"/>
        <v>-0.875</v>
      </c>
      <c r="T391" s="1">
        <f t="shared" si="202"/>
        <v>-0.92499999999999993</v>
      </c>
      <c r="U391" s="1">
        <f t="shared" si="202"/>
        <v>-0.97499999999999976</v>
      </c>
      <c r="V391" s="1">
        <f t="shared" si="202"/>
        <v>-1.0249999999999999</v>
      </c>
      <c r="W391" s="1">
        <f t="shared" si="202"/>
        <v>-1.0749999999999997</v>
      </c>
      <c r="X391" s="1">
        <f t="shared" si="202"/>
        <v>-1.125</v>
      </c>
      <c r="Y391" s="1">
        <f t="shared" si="202"/>
        <v>-1.175</v>
      </c>
      <c r="Z391" s="1">
        <f t="shared" si="202"/>
        <v>-1.2250000000000001</v>
      </c>
      <c r="AA391" s="1">
        <f t="shared" si="202"/>
        <v>-1.2749999999999999</v>
      </c>
      <c r="AB391" s="1">
        <f t="shared" si="202"/>
        <v>-1.325</v>
      </c>
      <c r="AC391" s="1">
        <f t="shared" si="202"/>
        <v>-1.375</v>
      </c>
      <c r="AD391" s="1">
        <f t="shared" si="202"/>
        <v>-1.425</v>
      </c>
      <c r="AE391" s="1">
        <f t="shared" si="202"/>
        <v>-1.4750000000000001</v>
      </c>
      <c r="AF391" s="1">
        <f t="shared" si="202"/>
        <v>-1.5249999999999999</v>
      </c>
      <c r="AG391" s="1">
        <f t="shared" si="202"/>
        <v>-1.575</v>
      </c>
      <c r="AH391" s="1">
        <f t="shared" si="202"/>
        <v>-1.625</v>
      </c>
      <c r="AI391" s="1">
        <f t="shared" si="202"/>
        <v>-1.6749999999999998</v>
      </c>
      <c r="AJ391" s="1">
        <f t="shared" si="202"/>
        <v>-1.7250000000000001</v>
      </c>
      <c r="AK391" s="1">
        <f t="shared" si="202"/>
        <v>-1.7749999999999999</v>
      </c>
      <c r="AL391" s="1">
        <f t="shared" si="202"/>
        <v>-1.825</v>
      </c>
      <c r="AM391" s="1">
        <f t="shared" si="202"/>
        <v>-1.8749999999999996</v>
      </c>
      <c r="AN391" s="1">
        <f t="shared" si="202"/>
        <v>-1.9249999999999998</v>
      </c>
      <c r="AO391" s="1">
        <f t="shared" si="202"/>
        <v>-1.9750000000000001</v>
      </c>
    </row>
    <row r="392" spans="1:41">
      <c r="B392" s="1">
        <f t="shared" ref="B392:AO392" si="203">$C$111-B$109</f>
        <v>2.4999999999999911E-2</v>
      </c>
      <c r="C392" s="1">
        <f t="shared" si="203"/>
        <v>-2.5000000000000022E-2</v>
      </c>
      <c r="D392" s="1">
        <f t="shared" si="203"/>
        <v>-7.5000000000000067E-2</v>
      </c>
      <c r="E392" s="1">
        <f t="shared" si="203"/>
        <v>-0.125</v>
      </c>
      <c r="F392" s="1">
        <f t="shared" si="203"/>
        <v>-0.17500000000000004</v>
      </c>
      <c r="G392" s="1">
        <f t="shared" si="203"/>
        <v>-0.22500000000000009</v>
      </c>
      <c r="H392" s="1">
        <f t="shared" si="203"/>
        <v>-0.27500000000000002</v>
      </c>
      <c r="I392" s="1">
        <f t="shared" si="203"/>
        <v>-0.32500000000000007</v>
      </c>
      <c r="J392" s="1">
        <f t="shared" si="203"/>
        <v>-0.375</v>
      </c>
      <c r="K392" s="1">
        <f t="shared" si="203"/>
        <v>-0.42500000000000004</v>
      </c>
      <c r="L392" s="1">
        <f t="shared" si="203"/>
        <v>-0.47500000000000003</v>
      </c>
      <c r="M392" s="1">
        <f t="shared" si="203"/>
        <v>-0.52500000000000002</v>
      </c>
      <c r="N392" s="1">
        <f t="shared" si="203"/>
        <v>-0.57500000000000007</v>
      </c>
      <c r="O392" s="1">
        <f t="shared" si="203"/>
        <v>-0.625</v>
      </c>
      <c r="P392" s="1">
        <f t="shared" si="203"/>
        <v>-0.67500000000000004</v>
      </c>
      <c r="Q392" s="1">
        <f t="shared" si="203"/>
        <v>-0.72500000000000009</v>
      </c>
      <c r="R392" s="1">
        <f t="shared" si="203"/>
        <v>-0.77500000000000002</v>
      </c>
      <c r="S392" s="1">
        <f t="shared" si="203"/>
        <v>-0.82500000000000007</v>
      </c>
      <c r="T392" s="1">
        <f t="shared" si="203"/>
        <v>-0.875</v>
      </c>
      <c r="U392" s="1">
        <f t="shared" si="203"/>
        <v>-0.92499999999999982</v>
      </c>
      <c r="V392" s="1">
        <f t="shared" si="203"/>
        <v>-0.97500000000000009</v>
      </c>
      <c r="W392" s="1">
        <f t="shared" si="203"/>
        <v>-1.0249999999999997</v>
      </c>
      <c r="X392" s="1">
        <f t="shared" si="203"/>
        <v>-1.075</v>
      </c>
      <c r="Y392" s="1">
        <f t="shared" si="203"/>
        <v>-1.125</v>
      </c>
      <c r="Z392" s="1">
        <f t="shared" si="203"/>
        <v>-1.175</v>
      </c>
      <c r="AA392" s="1">
        <f t="shared" si="203"/>
        <v>-1.2250000000000001</v>
      </c>
      <c r="AB392" s="1">
        <f t="shared" si="203"/>
        <v>-1.2749999999999999</v>
      </c>
      <c r="AC392" s="1">
        <f t="shared" si="203"/>
        <v>-1.3250000000000002</v>
      </c>
      <c r="AD392" s="1">
        <f t="shared" si="203"/>
        <v>-1.375</v>
      </c>
      <c r="AE392" s="1">
        <f t="shared" si="203"/>
        <v>-1.425</v>
      </c>
      <c r="AF392" s="1">
        <f t="shared" si="203"/>
        <v>-1.4750000000000001</v>
      </c>
      <c r="AG392" s="1">
        <f t="shared" si="203"/>
        <v>-1.5249999999999999</v>
      </c>
      <c r="AH392" s="1">
        <f t="shared" si="203"/>
        <v>-1.5750000000000002</v>
      </c>
      <c r="AI392" s="1">
        <f t="shared" si="203"/>
        <v>-1.625</v>
      </c>
      <c r="AJ392" s="1">
        <f t="shared" si="203"/>
        <v>-1.675</v>
      </c>
      <c r="AK392" s="1">
        <f t="shared" si="203"/>
        <v>-1.7250000000000001</v>
      </c>
      <c r="AL392" s="1">
        <f t="shared" si="203"/>
        <v>-1.7749999999999999</v>
      </c>
      <c r="AM392" s="1">
        <f t="shared" si="203"/>
        <v>-1.8249999999999995</v>
      </c>
      <c r="AN392" s="1">
        <f t="shared" si="203"/>
        <v>-1.875</v>
      </c>
      <c r="AO392" s="1">
        <f t="shared" si="203"/>
        <v>-1.925</v>
      </c>
    </row>
    <row r="393" spans="1:41">
      <c r="B393" s="1">
        <f t="shared" ref="B393:AO393" si="204">$D$111-B$109</f>
        <v>7.4999999999999956E-2</v>
      </c>
      <c r="C393" s="1">
        <f t="shared" si="204"/>
        <v>2.5000000000000022E-2</v>
      </c>
      <c r="D393" s="1">
        <f t="shared" si="204"/>
        <v>-2.5000000000000022E-2</v>
      </c>
      <c r="E393" s="1">
        <f t="shared" si="204"/>
        <v>-7.4999999999999956E-2</v>
      </c>
      <c r="F393" s="1">
        <f t="shared" si="204"/>
        <v>-0.125</v>
      </c>
      <c r="G393" s="1">
        <f t="shared" si="204"/>
        <v>-0.17500000000000004</v>
      </c>
      <c r="H393" s="1">
        <f t="shared" si="204"/>
        <v>-0.22499999999999998</v>
      </c>
      <c r="I393" s="1">
        <f t="shared" si="204"/>
        <v>-0.27500000000000002</v>
      </c>
      <c r="J393" s="1">
        <f t="shared" si="204"/>
        <v>-0.32499999999999996</v>
      </c>
      <c r="K393" s="1">
        <f t="shared" si="204"/>
        <v>-0.375</v>
      </c>
      <c r="L393" s="1">
        <f t="shared" si="204"/>
        <v>-0.42499999999999999</v>
      </c>
      <c r="M393" s="1">
        <f t="shared" si="204"/>
        <v>-0.47499999999999998</v>
      </c>
      <c r="N393" s="1">
        <f t="shared" si="204"/>
        <v>-0.52500000000000002</v>
      </c>
      <c r="O393" s="1">
        <f t="shared" si="204"/>
        <v>-0.57499999999999996</v>
      </c>
      <c r="P393" s="1">
        <f t="shared" si="204"/>
        <v>-0.625</v>
      </c>
      <c r="Q393" s="1">
        <f t="shared" si="204"/>
        <v>-0.67500000000000004</v>
      </c>
      <c r="R393" s="1">
        <f t="shared" si="204"/>
        <v>-0.72499999999999998</v>
      </c>
      <c r="S393" s="1">
        <f t="shared" si="204"/>
        <v>-0.77500000000000002</v>
      </c>
      <c r="T393" s="1">
        <f t="shared" si="204"/>
        <v>-0.82499999999999996</v>
      </c>
      <c r="U393" s="1">
        <f t="shared" si="204"/>
        <v>-0.87499999999999978</v>
      </c>
      <c r="V393" s="1">
        <f t="shared" si="204"/>
        <v>-0.92500000000000004</v>
      </c>
      <c r="W393" s="1">
        <f t="shared" si="204"/>
        <v>-0.97499999999999964</v>
      </c>
      <c r="X393" s="1">
        <f t="shared" si="204"/>
        <v>-1.0249999999999999</v>
      </c>
      <c r="Y393" s="1">
        <f t="shared" si="204"/>
        <v>-1.075</v>
      </c>
      <c r="Z393" s="1">
        <f t="shared" si="204"/>
        <v>-1.125</v>
      </c>
      <c r="AA393" s="1">
        <f t="shared" si="204"/>
        <v>-1.175</v>
      </c>
      <c r="AB393" s="1">
        <f t="shared" si="204"/>
        <v>-1.2250000000000001</v>
      </c>
      <c r="AC393" s="1">
        <f t="shared" si="204"/>
        <v>-1.2749999999999999</v>
      </c>
      <c r="AD393" s="1">
        <f t="shared" si="204"/>
        <v>-1.325</v>
      </c>
      <c r="AE393" s="1">
        <f t="shared" si="204"/>
        <v>-1.375</v>
      </c>
      <c r="AF393" s="1">
        <f t="shared" si="204"/>
        <v>-1.425</v>
      </c>
      <c r="AG393" s="1">
        <f t="shared" si="204"/>
        <v>-1.4750000000000001</v>
      </c>
      <c r="AH393" s="1">
        <f t="shared" si="204"/>
        <v>-1.5249999999999999</v>
      </c>
      <c r="AI393" s="1">
        <f t="shared" si="204"/>
        <v>-1.575</v>
      </c>
      <c r="AJ393" s="1">
        <f t="shared" si="204"/>
        <v>-1.625</v>
      </c>
      <c r="AK393" s="1">
        <f t="shared" si="204"/>
        <v>-1.675</v>
      </c>
      <c r="AL393" s="1">
        <f t="shared" si="204"/>
        <v>-1.7250000000000001</v>
      </c>
      <c r="AM393" s="1">
        <f t="shared" si="204"/>
        <v>-1.7749999999999995</v>
      </c>
      <c r="AN393" s="1">
        <f t="shared" si="204"/>
        <v>-1.825</v>
      </c>
      <c r="AO393" s="1">
        <f t="shared" si="204"/>
        <v>-1.875</v>
      </c>
    </row>
    <row r="394" spans="1:41">
      <c r="B394" s="1">
        <f t="shared" ref="B394:AO394" si="205">$E$111-B$109</f>
        <v>0.125</v>
      </c>
      <c r="C394" s="1">
        <f t="shared" si="205"/>
        <v>7.5000000000000067E-2</v>
      </c>
      <c r="D394" s="1">
        <f t="shared" si="205"/>
        <v>2.5000000000000022E-2</v>
      </c>
      <c r="E394" s="1">
        <f t="shared" si="205"/>
        <v>-2.4999999999999911E-2</v>
      </c>
      <c r="F394" s="1">
        <f t="shared" si="205"/>
        <v>-7.4999999999999956E-2</v>
      </c>
      <c r="G394" s="1">
        <f t="shared" si="205"/>
        <v>-0.125</v>
      </c>
      <c r="H394" s="1">
        <f t="shared" si="205"/>
        <v>-0.17499999999999993</v>
      </c>
      <c r="I394" s="1">
        <f t="shared" si="205"/>
        <v>-0.22499999999999998</v>
      </c>
      <c r="J394" s="1">
        <f t="shared" si="205"/>
        <v>-0.27499999999999991</v>
      </c>
      <c r="K394" s="1">
        <f t="shared" si="205"/>
        <v>-0.32499999999999996</v>
      </c>
      <c r="L394" s="1">
        <f t="shared" si="205"/>
        <v>-0.37499999999999994</v>
      </c>
      <c r="M394" s="1">
        <f t="shared" si="205"/>
        <v>-0.42499999999999993</v>
      </c>
      <c r="N394" s="1">
        <f t="shared" si="205"/>
        <v>-0.47499999999999998</v>
      </c>
      <c r="O394" s="1">
        <f t="shared" si="205"/>
        <v>-0.52499999999999991</v>
      </c>
      <c r="P394" s="1">
        <f t="shared" si="205"/>
        <v>-0.57499999999999996</v>
      </c>
      <c r="Q394" s="1">
        <f t="shared" si="205"/>
        <v>-0.625</v>
      </c>
      <c r="R394" s="1">
        <f t="shared" si="205"/>
        <v>-0.67499999999999993</v>
      </c>
      <c r="S394" s="1">
        <f t="shared" si="205"/>
        <v>-0.72499999999999998</v>
      </c>
      <c r="T394" s="1">
        <f t="shared" si="205"/>
        <v>-0.77499999999999991</v>
      </c>
      <c r="U394" s="1">
        <f t="shared" si="205"/>
        <v>-0.82499999999999973</v>
      </c>
      <c r="V394" s="1">
        <f t="shared" si="205"/>
        <v>-0.875</v>
      </c>
      <c r="W394" s="1">
        <f t="shared" si="205"/>
        <v>-0.9249999999999996</v>
      </c>
      <c r="X394" s="1">
        <f t="shared" si="205"/>
        <v>-0.97499999999999998</v>
      </c>
      <c r="Y394" s="1">
        <f t="shared" si="205"/>
        <v>-1.0249999999999999</v>
      </c>
      <c r="Z394" s="1">
        <f t="shared" si="205"/>
        <v>-1.075</v>
      </c>
      <c r="AA394" s="1">
        <f t="shared" si="205"/>
        <v>-1.125</v>
      </c>
      <c r="AB394" s="1">
        <f t="shared" si="205"/>
        <v>-1.1749999999999998</v>
      </c>
      <c r="AC394" s="1">
        <f t="shared" si="205"/>
        <v>-1.2250000000000001</v>
      </c>
      <c r="AD394" s="1">
        <f t="shared" si="205"/>
        <v>-1.2749999999999999</v>
      </c>
      <c r="AE394" s="1">
        <f t="shared" si="205"/>
        <v>-1.325</v>
      </c>
      <c r="AF394" s="1">
        <f t="shared" si="205"/>
        <v>-1.375</v>
      </c>
      <c r="AG394" s="1">
        <f t="shared" si="205"/>
        <v>-1.4249999999999998</v>
      </c>
      <c r="AH394" s="1">
        <f t="shared" si="205"/>
        <v>-1.4750000000000001</v>
      </c>
      <c r="AI394" s="1">
        <f t="shared" si="205"/>
        <v>-1.5249999999999999</v>
      </c>
      <c r="AJ394" s="1">
        <f t="shared" si="205"/>
        <v>-1.575</v>
      </c>
      <c r="AK394" s="1">
        <f t="shared" si="205"/>
        <v>-1.625</v>
      </c>
      <c r="AL394" s="1">
        <f t="shared" si="205"/>
        <v>-1.6749999999999998</v>
      </c>
      <c r="AM394" s="1">
        <f t="shared" si="205"/>
        <v>-1.7249999999999994</v>
      </c>
      <c r="AN394" s="1">
        <f t="shared" si="205"/>
        <v>-1.7749999999999999</v>
      </c>
      <c r="AO394" s="1">
        <f t="shared" si="205"/>
        <v>-1.825</v>
      </c>
    </row>
    <row r="395" spans="1:41">
      <c r="B395" s="1">
        <f t="shared" ref="B395:AO395" si="206">$F$111-B$109</f>
        <v>0.17499999999999993</v>
      </c>
      <c r="C395" s="1">
        <f t="shared" si="206"/>
        <v>0.125</v>
      </c>
      <c r="D395" s="1">
        <f t="shared" si="206"/>
        <v>7.4999999999999956E-2</v>
      </c>
      <c r="E395" s="1">
        <f t="shared" si="206"/>
        <v>2.5000000000000022E-2</v>
      </c>
      <c r="F395" s="1">
        <f t="shared" si="206"/>
        <v>-2.5000000000000022E-2</v>
      </c>
      <c r="G395" s="1">
        <f t="shared" si="206"/>
        <v>-7.5000000000000067E-2</v>
      </c>
      <c r="H395" s="1">
        <f t="shared" si="206"/>
        <v>-0.125</v>
      </c>
      <c r="I395" s="1">
        <f t="shared" si="206"/>
        <v>-0.17500000000000004</v>
      </c>
      <c r="J395" s="1">
        <f t="shared" si="206"/>
        <v>-0.22499999999999998</v>
      </c>
      <c r="K395" s="1">
        <f t="shared" si="206"/>
        <v>-0.27500000000000002</v>
      </c>
      <c r="L395" s="1">
        <f t="shared" si="206"/>
        <v>-0.32500000000000001</v>
      </c>
      <c r="M395" s="1">
        <f t="shared" si="206"/>
        <v>-0.375</v>
      </c>
      <c r="N395" s="1">
        <f t="shared" si="206"/>
        <v>-0.42500000000000004</v>
      </c>
      <c r="O395" s="1">
        <f t="shared" si="206"/>
        <v>-0.47500000000000003</v>
      </c>
      <c r="P395" s="1">
        <f t="shared" si="206"/>
        <v>-0.52500000000000002</v>
      </c>
      <c r="Q395" s="1">
        <f t="shared" si="206"/>
        <v>-0.57499999999999996</v>
      </c>
      <c r="R395" s="1">
        <f t="shared" si="206"/>
        <v>-0.625</v>
      </c>
      <c r="S395" s="1">
        <f t="shared" si="206"/>
        <v>-0.67500000000000004</v>
      </c>
      <c r="T395" s="1">
        <f t="shared" si="206"/>
        <v>-0.72499999999999998</v>
      </c>
      <c r="U395" s="1">
        <f t="shared" si="206"/>
        <v>-0.7749999999999998</v>
      </c>
      <c r="V395" s="1">
        <f t="shared" si="206"/>
        <v>-0.82500000000000007</v>
      </c>
      <c r="W395" s="1">
        <f t="shared" si="206"/>
        <v>-0.87499999999999967</v>
      </c>
      <c r="X395" s="1">
        <f t="shared" si="206"/>
        <v>-0.92500000000000004</v>
      </c>
      <c r="Y395" s="1">
        <f t="shared" si="206"/>
        <v>-0.97500000000000009</v>
      </c>
      <c r="Z395" s="1">
        <f t="shared" si="206"/>
        <v>-1.0249999999999999</v>
      </c>
      <c r="AA395" s="1">
        <f t="shared" si="206"/>
        <v>-1.075</v>
      </c>
      <c r="AB395" s="1">
        <f t="shared" si="206"/>
        <v>-1.125</v>
      </c>
      <c r="AC395" s="1">
        <f t="shared" si="206"/>
        <v>-1.175</v>
      </c>
      <c r="AD395" s="1">
        <f t="shared" si="206"/>
        <v>-1.2250000000000001</v>
      </c>
      <c r="AE395" s="1">
        <f t="shared" si="206"/>
        <v>-1.2749999999999999</v>
      </c>
      <c r="AF395" s="1">
        <f t="shared" si="206"/>
        <v>-1.3250000000000002</v>
      </c>
      <c r="AG395" s="1">
        <f t="shared" si="206"/>
        <v>-1.375</v>
      </c>
      <c r="AH395" s="1">
        <f t="shared" si="206"/>
        <v>-1.425</v>
      </c>
      <c r="AI395" s="1">
        <f t="shared" si="206"/>
        <v>-1.4750000000000001</v>
      </c>
      <c r="AJ395" s="1">
        <f t="shared" si="206"/>
        <v>-1.5249999999999999</v>
      </c>
      <c r="AK395" s="1">
        <f t="shared" si="206"/>
        <v>-1.5750000000000002</v>
      </c>
      <c r="AL395" s="1">
        <f t="shared" si="206"/>
        <v>-1.625</v>
      </c>
      <c r="AM395" s="1">
        <f t="shared" si="206"/>
        <v>-1.6749999999999994</v>
      </c>
      <c r="AN395" s="1">
        <f t="shared" si="206"/>
        <v>-1.7250000000000001</v>
      </c>
      <c r="AO395" s="1">
        <f t="shared" si="206"/>
        <v>-1.7749999999999999</v>
      </c>
    </row>
    <row r="396" spans="1:41">
      <c r="B396" s="1">
        <f t="shared" ref="B396:AO396" si="207">$G$111-B$109</f>
        <v>0.22499999999999998</v>
      </c>
      <c r="C396" s="1">
        <f t="shared" si="207"/>
        <v>0.17500000000000004</v>
      </c>
      <c r="D396" s="1">
        <f t="shared" si="207"/>
        <v>0.125</v>
      </c>
      <c r="E396" s="1">
        <f t="shared" si="207"/>
        <v>7.5000000000000067E-2</v>
      </c>
      <c r="F396" s="1">
        <f t="shared" si="207"/>
        <v>2.5000000000000022E-2</v>
      </c>
      <c r="G396" s="1">
        <f t="shared" si="207"/>
        <v>-2.5000000000000022E-2</v>
      </c>
      <c r="H396" s="1">
        <f t="shared" si="207"/>
        <v>-7.4999999999999956E-2</v>
      </c>
      <c r="I396" s="1">
        <f t="shared" si="207"/>
        <v>-0.125</v>
      </c>
      <c r="J396" s="1">
        <f t="shared" si="207"/>
        <v>-0.17499999999999993</v>
      </c>
      <c r="K396" s="1">
        <f t="shared" si="207"/>
        <v>-0.22499999999999998</v>
      </c>
      <c r="L396" s="1">
        <f t="shared" si="207"/>
        <v>-0.27499999999999997</v>
      </c>
      <c r="M396" s="1">
        <f t="shared" si="207"/>
        <v>-0.32499999999999996</v>
      </c>
      <c r="N396" s="1">
        <f t="shared" si="207"/>
        <v>-0.375</v>
      </c>
      <c r="O396" s="1">
        <f t="shared" si="207"/>
        <v>-0.42499999999999999</v>
      </c>
      <c r="P396" s="1">
        <f t="shared" si="207"/>
        <v>-0.47499999999999998</v>
      </c>
      <c r="Q396" s="1">
        <f t="shared" si="207"/>
        <v>-0.52499999999999991</v>
      </c>
      <c r="R396" s="1">
        <f t="shared" si="207"/>
        <v>-0.57499999999999996</v>
      </c>
      <c r="S396" s="1">
        <f t="shared" si="207"/>
        <v>-0.625</v>
      </c>
      <c r="T396" s="1">
        <f t="shared" si="207"/>
        <v>-0.67499999999999993</v>
      </c>
      <c r="U396" s="1">
        <f t="shared" si="207"/>
        <v>-0.72499999999999976</v>
      </c>
      <c r="V396" s="1">
        <f t="shared" si="207"/>
        <v>-0.77500000000000002</v>
      </c>
      <c r="W396" s="1">
        <f t="shared" si="207"/>
        <v>-0.82499999999999962</v>
      </c>
      <c r="X396" s="1">
        <f t="shared" si="207"/>
        <v>-0.875</v>
      </c>
      <c r="Y396" s="1">
        <f t="shared" si="207"/>
        <v>-0.92500000000000004</v>
      </c>
      <c r="Z396" s="1">
        <f t="shared" si="207"/>
        <v>-0.97499999999999998</v>
      </c>
      <c r="AA396" s="1">
        <f t="shared" si="207"/>
        <v>-1.0249999999999999</v>
      </c>
      <c r="AB396" s="1">
        <f t="shared" si="207"/>
        <v>-1.075</v>
      </c>
      <c r="AC396" s="1">
        <f t="shared" si="207"/>
        <v>-1.125</v>
      </c>
      <c r="AD396" s="1">
        <f t="shared" si="207"/>
        <v>-1.175</v>
      </c>
      <c r="AE396" s="1">
        <f t="shared" si="207"/>
        <v>-1.2250000000000001</v>
      </c>
      <c r="AF396" s="1">
        <f t="shared" si="207"/>
        <v>-1.2749999999999999</v>
      </c>
      <c r="AG396" s="1">
        <f t="shared" si="207"/>
        <v>-1.325</v>
      </c>
      <c r="AH396" s="1">
        <f t="shared" si="207"/>
        <v>-1.375</v>
      </c>
      <c r="AI396" s="1">
        <f t="shared" si="207"/>
        <v>-1.4249999999999998</v>
      </c>
      <c r="AJ396" s="1">
        <f t="shared" si="207"/>
        <v>-1.4750000000000001</v>
      </c>
      <c r="AK396" s="1">
        <f t="shared" si="207"/>
        <v>-1.5249999999999999</v>
      </c>
      <c r="AL396" s="1">
        <f t="shared" si="207"/>
        <v>-1.575</v>
      </c>
      <c r="AM396" s="1">
        <f t="shared" si="207"/>
        <v>-1.6249999999999996</v>
      </c>
      <c r="AN396" s="1">
        <f t="shared" si="207"/>
        <v>-1.6749999999999998</v>
      </c>
      <c r="AO396" s="1">
        <f t="shared" si="207"/>
        <v>-1.7250000000000001</v>
      </c>
    </row>
    <row r="397" spans="1:41">
      <c r="B397" s="1">
        <f t="shared" ref="B397:AO397" si="208">$H$111-B$109</f>
        <v>0.27499999999999991</v>
      </c>
      <c r="C397" s="1">
        <f t="shared" si="208"/>
        <v>0.22499999999999998</v>
      </c>
      <c r="D397" s="1">
        <f t="shared" si="208"/>
        <v>0.17499999999999993</v>
      </c>
      <c r="E397" s="1">
        <f t="shared" si="208"/>
        <v>0.125</v>
      </c>
      <c r="F397" s="1">
        <f t="shared" si="208"/>
        <v>7.4999999999999956E-2</v>
      </c>
      <c r="G397" s="1">
        <f t="shared" si="208"/>
        <v>2.4999999999999911E-2</v>
      </c>
      <c r="H397" s="1">
        <f t="shared" si="208"/>
        <v>-2.5000000000000022E-2</v>
      </c>
      <c r="I397" s="1">
        <f t="shared" si="208"/>
        <v>-7.5000000000000067E-2</v>
      </c>
      <c r="J397" s="1">
        <f t="shared" si="208"/>
        <v>-0.125</v>
      </c>
      <c r="K397" s="1">
        <f t="shared" si="208"/>
        <v>-0.17500000000000004</v>
      </c>
      <c r="L397" s="1">
        <f t="shared" si="208"/>
        <v>-0.22500000000000003</v>
      </c>
      <c r="M397" s="1">
        <f t="shared" si="208"/>
        <v>-0.27500000000000002</v>
      </c>
      <c r="N397" s="1">
        <f t="shared" si="208"/>
        <v>-0.32500000000000007</v>
      </c>
      <c r="O397" s="1">
        <f t="shared" si="208"/>
        <v>-0.37500000000000006</v>
      </c>
      <c r="P397" s="1">
        <f t="shared" si="208"/>
        <v>-0.42500000000000004</v>
      </c>
      <c r="Q397" s="1">
        <f t="shared" si="208"/>
        <v>-0.47500000000000003</v>
      </c>
      <c r="R397" s="1">
        <f t="shared" si="208"/>
        <v>-0.52500000000000002</v>
      </c>
      <c r="S397" s="1">
        <f t="shared" si="208"/>
        <v>-0.57500000000000007</v>
      </c>
      <c r="T397" s="1">
        <f t="shared" si="208"/>
        <v>-0.625</v>
      </c>
      <c r="U397" s="1">
        <f t="shared" si="208"/>
        <v>-0.67499999999999982</v>
      </c>
      <c r="V397" s="1">
        <f t="shared" si="208"/>
        <v>-0.72500000000000009</v>
      </c>
      <c r="W397" s="1">
        <f t="shared" si="208"/>
        <v>-0.77499999999999969</v>
      </c>
      <c r="X397" s="1">
        <f t="shared" si="208"/>
        <v>-0.82500000000000007</v>
      </c>
      <c r="Y397" s="1">
        <f t="shared" si="208"/>
        <v>-0.875</v>
      </c>
      <c r="Z397" s="1">
        <f t="shared" si="208"/>
        <v>-0.92500000000000004</v>
      </c>
      <c r="AA397" s="1">
        <f t="shared" si="208"/>
        <v>-0.97500000000000009</v>
      </c>
      <c r="AB397" s="1">
        <f t="shared" si="208"/>
        <v>-1.0249999999999999</v>
      </c>
      <c r="AC397" s="1">
        <f t="shared" si="208"/>
        <v>-1.0750000000000002</v>
      </c>
      <c r="AD397" s="1">
        <f t="shared" si="208"/>
        <v>-1.125</v>
      </c>
      <c r="AE397" s="1">
        <f t="shared" si="208"/>
        <v>-1.175</v>
      </c>
      <c r="AF397" s="1">
        <f t="shared" si="208"/>
        <v>-1.2250000000000001</v>
      </c>
      <c r="AG397" s="1">
        <f t="shared" si="208"/>
        <v>-1.2749999999999999</v>
      </c>
      <c r="AH397" s="1">
        <f t="shared" si="208"/>
        <v>-1.3250000000000002</v>
      </c>
      <c r="AI397" s="1">
        <f t="shared" si="208"/>
        <v>-1.375</v>
      </c>
      <c r="AJ397" s="1">
        <f t="shared" si="208"/>
        <v>-1.425</v>
      </c>
      <c r="AK397" s="1">
        <f t="shared" si="208"/>
        <v>-1.4750000000000001</v>
      </c>
      <c r="AL397" s="1">
        <f t="shared" si="208"/>
        <v>-1.5249999999999999</v>
      </c>
      <c r="AM397" s="1">
        <f t="shared" si="208"/>
        <v>-1.5749999999999995</v>
      </c>
      <c r="AN397" s="1">
        <f t="shared" si="208"/>
        <v>-1.625</v>
      </c>
      <c r="AO397" s="1">
        <f t="shared" si="208"/>
        <v>-1.675</v>
      </c>
    </row>
    <row r="398" spans="1:41">
      <c r="B398" s="1">
        <f t="shared" ref="B398:AO398" si="209">$I$111-B$109</f>
        <v>0.32499999999999996</v>
      </c>
      <c r="C398" s="1">
        <f t="shared" si="209"/>
        <v>0.27500000000000002</v>
      </c>
      <c r="D398" s="1">
        <f t="shared" si="209"/>
        <v>0.22499999999999998</v>
      </c>
      <c r="E398" s="1">
        <f t="shared" si="209"/>
        <v>0.17500000000000004</v>
      </c>
      <c r="F398" s="1">
        <f t="shared" si="209"/>
        <v>0.125</v>
      </c>
      <c r="G398" s="1">
        <f t="shared" si="209"/>
        <v>7.4999999999999956E-2</v>
      </c>
      <c r="H398" s="1">
        <f t="shared" si="209"/>
        <v>2.5000000000000022E-2</v>
      </c>
      <c r="I398" s="1">
        <f t="shared" si="209"/>
        <v>-2.5000000000000022E-2</v>
      </c>
      <c r="J398" s="1">
        <f t="shared" si="209"/>
        <v>-7.4999999999999956E-2</v>
      </c>
      <c r="K398" s="1">
        <f t="shared" si="209"/>
        <v>-0.125</v>
      </c>
      <c r="L398" s="1">
        <f t="shared" si="209"/>
        <v>-0.17499999999999999</v>
      </c>
      <c r="M398" s="1">
        <f t="shared" si="209"/>
        <v>-0.22499999999999998</v>
      </c>
      <c r="N398" s="1">
        <f t="shared" si="209"/>
        <v>-0.27500000000000002</v>
      </c>
      <c r="O398" s="1">
        <f t="shared" si="209"/>
        <v>-0.32500000000000001</v>
      </c>
      <c r="P398" s="1">
        <f t="shared" si="209"/>
        <v>-0.375</v>
      </c>
      <c r="Q398" s="1">
        <f t="shared" si="209"/>
        <v>-0.42499999999999999</v>
      </c>
      <c r="R398" s="1">
        <f t="shared" si="209"/>
        <v>-0.47499999999999998</v>
      </c>
      <c r="S398" s="1">
        <f t="shared" si="209"/>
        <v>-0.52500000000000002</v>
      </c>
      <c r="T398" s="1">
        <f t="shared" si="209"/>
        <v>-0.57499999999999996</v>
      </c>
      <c r="U398" s="1">
        <f t="shared" si="209"/>
        <v>-0.62499999999999978</v>
      </c>
      <c r="V398" s="1">
        <f t="shared" si="209"/>
        <v>-0.67500000000000004</v>
      </c>
      <c r="W398" s="1">
        <f t="shared" si="209"/>
        <v>-0.72499999999999964</v>
      </c>
      <c r="X398" s="1">
        <f t="shared" si="209"/>
        <v>-0.77500000000000002</v>
      </c>
      <c r="Y398" s="1">
        <f t="shared" si="209"/>
        <v>-0.82499999999999996</v>
      </c>
      <c r="Z398" s="1">
        <f t="shared" si="209"/>
        <v>-0.875</v>
      </c>
      <c r="AA398" s="1">
        <f t="shared" si="209"/>
        <v>-0.92500000000000004</v>
      </c>
      <c r="AB398" s="1">
        <f t="shared" si="209"/>
        <v>-0.97499999999999998</v>
      </c>
      <c r="AC398" s="1">
        <f t="shared" si="209"/>
        <v>-1.0249999999999999</v>
      </c>
      <c r="AD398" s="1">
        <f t="shared" si="209"/>
        <v>-1.075</v>
      </c>
      <c r="AE398" s="1">
        <f t="shared" si="209"/>
        <v>-1.125</v>
      </c>
      <c r="AF398" s="1">
        <f t="shared" si="209"/>
        <v>-1.175</v>
      </c>
      <c r="AG398" s="1">
        <f t="shared" si="209"/>
        <v>-1.2250000000000001</v>
      </c>
      <c r="AH398" s="1">
        <f t="shared" si="209"/>
        <v>-1.2749999999999999</v>
      </c>
      <c r="AI398" s="1">
        <f t="shared" si="209"/>
        <v>-1.325</v>
      </c>
      <c r="AJ398" s="1">
        <f t="shared" si="209"/>
        <v>-1.375</v>
      </c>
      <c r="AK398" s="1">
        <f t="shared" si="209"/>
        <v>-1.425</v>
      </c>
      <c r="AL398" s="1">
        <f t="shared" si="209"/>
        <v>-1.4750000000000001</v>
      </c>
      <c r="AM398" s="1">
        <f t="shared" si="209"/>
        <v>-1.5249999999999995</v>
      </c>
      <c r="AN398" s="1">
        <f t="shared" si="209"/>
        <v>-1.575</v>
      </c>
      <c r="AO398" s="1">
        <f t="shared" si="209"/>
        <v>-1.625</v>
      </c>
    </row>
    <row r="399" spans="1:41">
      <c r="B399" s="1">
        <f t="shared" ref="B399:AO399" si="210">$J$111-B$109</f>
        <v>0.375</v>
      </c>
      <c r="C399" s="1">
        <f t="shared" si="210"/>
        <v>0.32500000000000007</v>
      </c>
      <c r="D399" s="1">
        <f t="shared" si="210"/>
        <v>0.27500000000000002</v>
      </c>
      <c r="E399" s="1">
        <f t="shared" si="210"/>
        <v>0.22500000000000009</v>
      </c>
      <c r="F399" s="1">
        <f t="shared" si="210"/>
        <v>0.17500000000000004</v>
      </c>
      <c r="G399" s="1">
        <f t="shared" si="210"/>
        <v>0.125</v>
      </c>
      <c r="H399" s="1">
        <f t="shared" si="210"/>
        <v>7.5000000000000067E-2</v>
      </c>
      <c r="I399" s="1">
        <f t="shared" si="210"/>
        <v>2.5000000000000022E-2</v>
      </c>
      <c r="J399" s="1">
        <f t="shared" si="210"/>
        <v>-2.4999999999999911E-2</v>
      </c>
      <c r="K399" s="1">
        <f t="shared" si="210"/>
        <v>-7.4999999999999956E-2</v>
      </c>
      <c r="L399" s="1">
        <f t="shared" si="210"/>
        <v>-0.12499999999999994</v>
      </c>
      <c r="M399" s="1">
        <f t="shared" si="210"/>
        <v>-0.17499999999999993</v>
      </c>
      <c r="N399" s="1">
        <f t="shared" si="210"/>
        <v>-0.22499999999999998</v>
      </c>
      <c r="O399" s="1">
        <f t="shared" si="210"/>
        <v>-0.27499999999999997</v>
      </c>
      <c r="P399" s="1">
        <f t="shared" si="210"/>
        <v>-0.32499999999999996</v>
      </c>
      <c r="Q399" s="1">
        <f t="shared" si="210"/>
        <v>-0.37499999999999994</v>
      </c>
      <c r="R399" s="1">
        <f t="shared" si="210"/>
        <v>-0.42499999999999993</v>
      </c>
      <c r="S399" s="1">
        <f t="shared" si="210"/>
        <v>-0.47499999999999998</v>
      </c>
      <c r="T399" s="1">
        <f t="shared" si="210"/>
        <v>-0.52499999999999991</v>
      </c>
      <c r="U399" s="1">
        <f t="shared" si="210"/>
        <v>-0.57499999999999973</v>
      </c>
      <c r="V399" s="1">
        <f t="shared" si="210"/>
        <v>-0.625</v>
      </c>
      <c r="W399" s="1">
        <f t="shared" si="210"/>
        <v>-0.6749999999999996</v>
      </c>
      <c r="X399" s="1">
        <f t="shared" si="210"/>
        <v>-0.72499999999999998</v>
      </c>
      <c r="Y399" s="1">
        <f t="shared" si="210"/>
        <v>-0.77499999999999991</v>
      </c>
      <c r="Z399" s="1">
        <f t="shared" si="210"/>
        <v>-0.82499999999999996</v>
      </c>
      <c r="AA399" s="1">
        <f t="shared" si="210"/>
        <v>-0.875</v>
      </c>
      <c r="AB399" s="1">
        <f t="shared" si="210"/>
        <v>-0.92499999999999993</v>
      </c>
      <c r="AC399" s="1">
        <f t="shared" si="210"/>
        <v>-0.97499999999999998</v>
      </c>
      <c r="AD399" s="1">
        <f t="shared" si="210"/>
        <v>-1.0249999999999999</v>
      </c>
      <c r="AE399" s="1">
        <f t="shared" si="210"/>
        <v>-1.075</v>
      </c>
      <c r="AF399" s="1">
        <f t="shared" si="210"/>
        <v>-1.125</v>
      </c>
      <c r="AG399" s="1">
        <f t="shared" si="210"/>
        <v>-1.1749999999999998</v>
      </c>
      <c r="AH399" s="1">
        <f t="shared" si="210"/>
        <v>-1.2250000000000001</v>
      </c>
      <c r="AI399" s="1">
        <f t="shared" si="210"/>
        <v>-1.2749999999999999</v>
      </c>
      <c r="AJ399" s="1">
        <f t="shared" si="210"/>
        <v>-1.325</v>
      </c>
      <c r="AK399" s="1">
        <f t="shared" si="210"/>
        <v>-1.375</v>
      </c>
      <c r="AL399" s="1">
        <f t="shared" si="210"/>
        <v>-1.4249999999999998</v>
      </c>
      <c r="AM399" s="1">
        <f t="shared" si="210"/>
        <v>-1.4749999999999994</v>
      </c>
      <c r="AN399" s="1">
        <f t="shared" si="210"/>
        <v>-1.5249999999999999</v>
      </c>
      <c r="AO399" s="1">
        <f t="shared" si="210"/>
        <v>-1.575</v>
      </c>
    </row>
    <row r="400" spans="1:41">
      <c r="B400" s="1">
        <f t="shared" ref="B400:AO400" si="211">$K$111-B$109</f>
        <v>0.42499999999999993</v>
      </c>
      <c r="C400" s="1">
        <f t="shared" si="211"/>
        <v>0.375</v>
      </c>
      <c r="D400" s="1">
        <f t="shared" si="211"/>
        <v>0.32499999999999996</v>
      </c>
      <c r="E400" s="1">
        <f t="shared" si="211"/>
        <v>0.27500000000000002</v>
      </c>
      <c r="F400" s="1">
        <f t="shared" si="211"/>
        <v>0.22499999999999998</v>
      </c>
      <c r="G400" s="1">
        <f t="shared" si="211"/>
        <v>0.17499999999999993</v>
      </c>
      <c r="H400" s="1">
        <f t="shared" si="211"/>
        <v>0.125</v>
      </c>
      <c r="I400" s="1">
        <f t="shared" si="211"/>
        <v>7.4999999999999956E-2</v>
      </c>
      <c r="J400" s="1">
        <f t="shared" si="211"/>
        <v>2.5000000000000022E-2</v>
      </c>
      <c r="K400" s="1">
        <f t="shared" si="211"/>
        <v>-2.5000000000000022E-2</v>
      </c>
      <c r="L400" s="1">
        <f t="shared" si="211"/>
        <v>-7.5000000000000011E-2</v>
      </c>
      <c r="M400" s="1">
        <f t="shared" si="211"/>
        <v>-0.125</v>
      </c>
      <c r="N400" s="1">
        <f t="shared" si="211"/>
        <v>-0.17500000000000004</v>
      </c>
      <c r="O400" s="1">
        <f t="shared" si="211"/>
        <v>-0.22500000000000003</v>
      </c>
      <c r="P400" s="1">
        <f t="shared" si="211"/>
        <v>-0.27500000000000002</v>
      </c>
      <c r="Q400" s="1">
        <f t="shared" si="211"/>
        <v>-0.32500000000000001</v>
      </c>
      <c r="R400" s="1">
        <f t="shared" si="211"/>
        <v>-0.375</v>
      </c>
      <c r="S400" s="1">
        <f t="shared" si="211"/>
        <v>-0.42500000000000004</v>
      </c>
      <c r="T400" s="1">
        <f t="shared" si="211"/>
        <v>-0.47500000000000003</v>
      </c>
      <c r="U400" s="1">
        <f t="shared" si="211"/>
        <v>-0.5249999999999998</v>
      </c>
      <c r="V400" s="1">
        <f t="shared" si="211"/>
        <v>-0.57500000000000007</v>
      </c>
      <c r="W400" s="1">
        <f t="shared" si="211"/>
        <v>-0.62499999999999967</v>
      </c>
      <c r="X400" s="1">
        <f t="shared" si="211"/>
        <v>-0.67500000000000004</v>
      </c>
      <c r="Y400" s="1">
        <f t="shared" si="211"/>
        <v>-0.72500000000000009</v>
      </c>
      <c r="Z400" s="1">
        <f t="shared" si="211"/>
        <v>-0.77500000000000002</v>
      </c>
      <c r="AA400" s="1">
        <f t="shared" si="211"/>
        <v>-0.82499999999999996</v>
      </c>
      <c r="AB400" s="1">
        <f t="shared" si="211"/>
        <v>-0.875</v>
      </c>
      <c r="AC400" s="1">
        <f t="shared" si="211"/>
        <v>-0.92500000000000004</v>
      </c>
      <c r="AD400" s="1">
        <f t="shared" si="211"/>
        <v>-0.97500000000000009</v>
      </c>
      <c r="AE400" s="1">
        <f t="shared" si="211"/>
        <v>-1.0249999999999999</v>
      </c>
      <c r="AF400" s="1">
        <f t="shared" si="211"/>
        <v>-1.0750000000000002</v>
      </c>
      <c r="AG400" s="1">
        <f t="shared" si="211"/>
        <v>-1.125</v>
      </c>
      <c r="AH400" s="1">
        <f t="shared" si="211"/>
        <v>-1.175</v>
      </c>
      <c r="AI400" s="1">
        <f t="shared" si="211"/>
        <v>-1.2250000000000001</v>
      </c>
      <c r="AJ400" s="1">
        <f t="shared" si="211"/>
        <v>-1.2749999999999999</v>
      </c>
      <c r="AK400" s="1">
        <f t="shared" si="211"/>
        <v>-1.3250000000000002</v>
      </c>
      <c r="AL400" s="1">
        <f t="shared" si="211"/>
        <v>-1.375</v>
      </c>
      <c r="AM400" s="1">
        <f t="shared" si="211"/>
        <v>-1.4249999999999994</v>
      </c>
      <c r="AN400" s="1">
        <f t="shared" si="211"/>
        <v>-1.4750000000000001</v>
      </c>
      <c r="AO400" s="1">
        <f t="shared" si="211"/>
        <v>-1.5249999999999999</v>
      </c>
    </row>
    <row r="401" spans="2:41">
      <c r="B401" s="1">
        <f t="shared" ref="B401:AO401" si="212">$L$111-B$109</f>
        <v>0.47499999999999998</v>
      </c>
      <c r="C401" s="1">
        <f t="shared" si="212"/>
        <v>0.42500000000000004</v>
      </c>
      <c r="D401" s="1">
        <f t="shared" si="212"/>
        <v>0.375</v>
      </c>
      <c r="E401" s="1">
        <f t="shared" si="212"/>
        <v>0.32500000000000007</v>
      </c>
      <c r="F401" s="1">
        <f t="shared" si="212"/>
        <v>0.27500000000000002</v>
      </c>
      <c r="G401" s="1">
        <f t="shared" si="212"/>
        <v>0.22499999999999998</v>
      </c>
      <c r="H401" s="1">
        <f t="shared" si="212"/>
        <v>0.17500000000000004</v>
      </c>
      <c r="I401" s="1">
        <f t="shared" si="212"/>
        <v>0.125</v>
      </c>
      <c r="J401" s="1">
        <f t="shared" si="212"/>
        <v>7.5000000000000067E-2</v>
      </c>
      <c r="K401" s="1">
        <f t="shared" si="212"/>
        <v>2.5000000000000022E-2</v>
      </c>
      <c r="L401" s="1">
        <f t="shared" si="212"/>
        <v>-2.4999999999999967E-2</v>
      </c>
      <c r="M401" s="1">
        <f t="shared" si="212"/>
        <v>-7.4999999999999956E-2</v>
      </c>
      <c r="N401" s="1">
        <f t="shared" si="212"/>
        <v>-0.125</v>
      </c>
      <c r="O401" s="1">
        <f t="shared" si="212"/>
        <v>-0.17499999999999999</v>
      </c>
      <c r="P401" s="1">
        <f t="shared" si="212"/>
        <v>-0.22499999999999998</v>
      </c>
      <c r="Q401" s="1">
        <f t="shared" si="212"/>
        <v>-0.27499999999999997</v>
      </c>
      <c r="R401" s="1">
        <f t="shared" si="212"/>
        <v>-0.32499999999999996</v>
      </c>
      <c r="S401" s="1">
        <f t="shared" si="212"/>
        <v>-0.375</v>
      </c>
      <c r="T401" s="1">
        <f t="shared" si="212"/>
        <v>-0.42499999999999999</v>
      </c>
      <c r="U401" s="1">
        <f t="shared" si="212"/>
        <v>-0.47499999999999976</v>
      </c>
      <c r="V401" s="1">
        <f t="shared" si="212"/>
        <v>-0.52500000000000002</v>
      </c>
      <c r="W401" s="1">
        <f t="shared" si="212"/>
        <v>-0.57499999999999962</v>
      </c>
      <c r="X401" s="1">
        <f t="shared" si="212"/>
        <v>-0.625</v>
      </c>
      <c r="Y401" s="1">
        <f t="shared" si="212"/>
        <v>-0.67500000000000004</v>
      </c>
      <c r="Z401" s="1">
        <f t="shared" si="212"/>
        <v>-0.72499999999999998</v>
      </c>
      <c r="AA401" s="1">
        <f t="shared" si="212"/>
        <v>-0.77499999999999991</v>
      </c>
      <c r="AB401" s="1">
        <f t="shared" si="212"/>
        <v>-0.82499999999999996</v>
      </c>
      <c r="AC401" s="1">
        <f t="shared" si="212"/>
        <v>-0.875</v>
      </c>
      <c r="AD401" s="1">
        <f t="shared" si="212"/>
        <v>-0.92500000000000004</v>
      </c>
      <c r="AE401" s="1">
        <f t="shared" si="212"/>
        <v>-0.97499999999999998</v>
      </c>
      <c r="AF401" s="1">
        <f t="shared" si="212"/>
        <v>-1.0249999999999999</v>
      </c>
      <c r="AG401" s="1">
        <f t="shared" si="212"/>
        <v>-1.075</v>
      </c>
      <c r="AH401" s="1">
        <f t="shared" si="212"/>
        <v>-1.125</v>
      </c>
      <c r="AI401" s="1">
        <f t="shared" si="212"/>
        <v>-1.1749999999999998</v>
      </c>
      <c r="AJ401" s="1">
        <f t="shared" si="212"/>
        <v>-1.2250000000000001</v>
      </c>
      <c r="AK401" s="1">
        <f t="shared" si="212"/>
        <v>-1.2749999999999999</v>
      </c>
      <c r="AL401" s="1">
        <f t="shared" si="212"/>
        <v>-1.325</v>
      </c>
      <c r="AM401" s="1">
        <f t="shared" si="212"/>
        <v>-1.3749999999999996</v>
      </c>
      <c r="AN401" s="1">
        <f t="shared" si="212"/>
        <v>-1.4249999999999998</v>
      </c>
      <c r="AO401" s="1">
        <f t="shared" si="212"/>
        <v>-1.4750000000000001</v>
      </c>
    </row>
    <row r="402" spans="2:41">
      <c r="B402" s="1">
        <f t="shared" ref="B402:AO402" si="213">$M$111-B$109</f>
        <v>0.52499999999999991</v>
      </c>
      <c r="C402" s="1">
        <f t="shared" si="213"/>
        <v>0.47499999999999998</v>
      </c>
      <c r="D402" s="1">
        <f t="shared" si="213"/>
        <v>0.42499999999999993</v>
      </c>
      <c r="E402" s="1">
        <f t="shared" si="213"/>
        <v>0.375</v>
      </c>
      <c r="F402" s="1">
        <f t="shared" si="213"/>
        <v>0.32499999999999996</v>
      </c>
      <c r="G402" s="1">
        <f t="shared" si="213"/>
        <v>0.27499999999999991</v>
      </c>
      <c r="H402" s="1">
        <f t="shared" si="213"/>
        <v>0.22499999999999998</v>
      </c>
      <c r="I402" s="1">
        <f t="shared" si="213"/>
        <v>0.17499999999999993</v>
      </c>
      <c r="J402" s="1">
        <f t="shared" si="213"/>
        <v>0.125</v>
      </c>
      <c r="K402" s="1">
        <f t="shared" si="213"/>
        <v>7.4999999999999956E-2</v>
      </c>
      <c r="L402" s="1">
        <f t="shared" si="213"/>
        <v>2.4999999999999967E-2</v>
      </c>
      <c r="M402" s="1">
        <f t="shared" si="213"/>
        <v>-2.5000000000000022E-2</v>
      </c>
      <c r="N402" s="1">
        <f t="shared" si="213"/>
        <v>-7.5000000000000067E-2</v>
      </c>
      <c r="O402" s="1">
        <f t="shared" si="213"/>
        <v>-0.12500000000000006</v>
      </c>
      <c r="P402" s="1">
        <f t="shared" si="213"/>
        <v>-0.17500000000000004</v>
      </c>
      <c r="Q402" s="1">
        <f t="shared" si="213"/>
        <v>-0.22500000000000003</v>
      </c>
      <c r="R402" s="1">
        <f t="shared" si="213"/>
        <v>-0.27500000000000002</v>
      </c>
      <c r="S402" s="1">
        <f t="shared" si="213"/>
        <v>-0.32500000000000007</v>
      </c>
      <c r="T402" s="1">
        <f t="shared" si="213"/>
        <v>-0.37500000000000006</v>
      </c>
      <c r="U402" s="1">
        <f t="shared" si="213"/>
        <v>-0.42499999999999982</v>
      </c>
      <c r="V402" s="1">
        <f t="shared" si="213"/>
        <v>-0.47500000000000003</v>
      </c>
      <c r="W402" s="1">
        <f t="shared" si="213"/>
        <v>-0.52499999999999969</v>
      </c>
      <c r="X402" s="1">
        <f t="shared" si="213"/>
        <v>-0.57500000000000007</v>
      </c>
      <c r="Y402" s="1">
        <f t="shared" si="213"/>
        <v>-0.625</v>
      </c>
      <c r="Z402" s="1">
        <f t="shared" si="213"/>
        <v>-0.67500000000000004</v>
      </c>
      <c r="AA402" s="1">
        <f t="shared" si="213"/>
        <v>-0.72500000000000009</v>
      </c>
      <c r="AB402" s="1">
        <f t="shared" si="213"/>
        <v>-0.77500000000000002</v>
      </c>
      <c r="AC402" s="1">
        <f t="shared" si="213"/>
        <v>-0.82500000000000007</v>
      </c>
      <c r="AD402" s="1">
        <f t="shared" si="213"/>
        <v>-0.875</v>
      </c>
      <c r="AE402" s="1">
        <f t="shared" si="213"/>
        <v>-0.92500000000000004</v>
      </c>
      <c r="AF402" s="1">
        <f t="shared" si="213"/>
        <v>-0.97500000000000009</v>
      </c>
      <c r="AG402" s="1">
        <f t="shared" si="213"/>
        <v>-1.0249999999999999</v>
      </c>
      <c r="AH402" s="1">
        <f t="shared" si="213"/>
        <v>-1.0750000000000002</v>
      </c>
      <c r="AI402" s="1">
        <f t="shared" si="213"/>
        <v>-1.125</v>
      </c>
      <c r="AJ402" s="1">
        <f t="shared" si="213"/>
        <v>-1.175</v>
      </c>
      <c r="AK402" s="1">
        <f t="shared" si="213"/>
        <v>-1.2250000000000001</v>
      </c>
      <c r="AL402" s="1">
        <f t="shared" si="213"/>
        <v>-1.2749999999999999</v>
      </c>
      <c r="AM402" s="1">
        <f t="shared" si="213"/>
        <v>-1.3249999999999995</v>
      </c>
      <c r="AN402" s="1">
        <f t="shared" si="213"/>
        <v>-1.375</v>
      </c>
      <c r="AO402" s="1">
        <f t="shared" si="213"/>
        <v>-1.425</v>
      </c>
    </row>
    <row r="403" spans="2:41">
      <c r="B403" s="1">
        <f t="shared" ref="B403:AO403" si="214">$N$111-B$109</f>
        <v>0.57499999999999996</v>
      </c>
      <c r="C403" s="1">
        <f t="shared" si="214"/>
        <v>0.52500000000000002</v>
      </c>
      <c r="D403" s="1">
        <f t="shared" si="214"/>
        <v>0.47499999999999998</v>
      </c>
      <c r="E403" s="1">
        <f t="shared" si="214"/>
        <v>0.42500000000000004</v>
      </c>
      <c r="F403" s="1">
        <f t="shared" si="214"/>
        <v>0.375</v>
      </c>
      <c r="G403" s="1">
        <f t="shared" si="214"/>
        <v>0.32499999999999996</v>
      </c>
      <c r="H403" s="1">
        <f t="shared" si="214"/>
        <v>0.27500000000000002</v>
      </c>
      <c r="I403" s="1">
        <f t="shared" si="214"/>
        <v>0.22499999999999998</v>
      </c>
      <c r="J403" s="1">
        <f t="shared" si="214"/>
        <v>0.17500000000000004</v>
      </c>
      <c r="K403" s="1">
        <f t="shared" si="214"/>
        <v>0.125</v>
      </c>
      <c r="L403" s="1">
        <f t="shared" si="214"/>
        <v>7.5000000000000011E-2</v>
      </c>
      <c r="M403" s="1">
        <f t="shared" si="214"/>
        <v>2.5000000000000022E-2</v>
      </c>
      <c r="N403" s="1">
        <f t="shared" si="214"/>
        <v>-2.5000000000000022E-2</v>
      </c>
      <c r="O403" s="1">
        <f t="shared" si="214"/>
        <v>-7.5000000000000011E-2</v>
      </c>
      <c r="P403" s="1">
        <f t="shared" si="214"/>
        <v>-0.125</v>
      </c>
      <c r="Q403" s="1">
        <f t="shared" si="214"/>
        <v>-0.17499999999999999</v>
      </c>
      <c r="R403" s="1">
        <f t="shared" si="214"/>
        <v>-0.22500000000000001</v>
      </c>
      <c r="S403" s="1">
        <f t="shared" si="214"/>
        <v>-0.27500000000000002</v>
      </c>
      <c r="T403" s="1">
        <f t="shared" si="214"/>
        <v>-0.32500000000000001</v>
      </c>
      <c r="U403" s="1">
        <f t="shared" si="214"/>
        <v>-0.37499999999999978</v>
      </c>
      <c r="V403" s="1">
        <f t="shared" si="214"/>
        <v>-0.42499999999999999</v>
      </c>
      <c r="W403" s="1">
        <f t="shared" si="214"/>
        <v>-0.47499999999999964</v>
      </c>
      <c r="X403" s="1">
        <f t="shared" si="214"/>
        <v>-0.52500000000000002</v>
      </c>
      <c r="Y403" s="1">
        <f t="shared" si="214"/>
        <v>-0.57499999999999996</v>
      </c>
      <c r="Z403" s="1">
        <f t="shared" si="214"/>
        <v>-0.625</v>
      </c>
      <c r="AA403" s="1">
        <f t="shared" si="214"/>
        <v>-0.67500000000000004</v>
      </c>
      <c r="AB403" s="1">
        <f t="shared" si="214"/>
        <v>-0.72499999999999998</v>
      </c>
      <c r="AC403" s="1">
        <f t="shared" si="214"/>
        <v>-0.77500000000000002</v>
      </c>
      <c r="AD403" s="1">
        <f t="shared" si="214"/>
        <v>-0.82499999999999996</v>
      </c>
      <c r="AE403" s="1">
        <f t="shared" si="214"/>
        <v>-0.875</v>
      </c>
      <c r="AF403" s="1">
        <f t="shared" si="214"/>
        <v>-0.92500000000000004</v>
      </c>
      <c r="AG403" s="1">
        <f t="shared" si="214"/>
        <v>-0.97499999999999998</v>
      </c>
      <c r="AH403" s="1">
        <f t="shared" si="214"/>
        <v>-1.0249999999999999</v>
      </c>
      <c r="AI403" s="1">
        <f t="shared" si="214"/>
        <v>-1.075</v>
      </c>
      <c r="AJ403" s="1">
        <f t="shared" si="214"/>
        <v>-1.125</v>
      </c>
      <c r="AK403" s="1">
        <f t="shared" si="214"/>
        <v>-1.175</v>
      </c>
      <c r="AL403" s="1">
        <f t="shared" si="214"/>
        <v>-1.2250000000000001</v>
      </c>
      <c r="AM403" s="1">
        <f t="shared" si="214"/>
        <v>-1.2749999999999995</v>
      </c>
      <c r="AN403" s="1">
        <f t="shared" si="214"/>
        <v>-1.325</v>
      </c>
      <c r="AO403" s="1">
        <f t="shared" si="214"/>
        <v>-1.375</v>
      </c>
    </row>
    <row r="404" spans="2:41">
      <c r="B404" s="1">
        <f t="shared" ref="B404:AO404" si="215">$O$111-B$109</f>
        <v>0.625</v>
      </c>
      <c r="C404" s="1">
        <f t="shared" si="215"/>
        <v>0.57500000000000007</v>
      </c>
      <c r="D404" s="1">
        <f t="shared" si="215"/>
        <v>0.52500000000000002</v>
      </c>
      <c r="E404" s="1">
        <f t="shared" si="215"/>
        <v>0.47500000000000009</v>
      </c>
      <c r="F404" s="1">
        <f t="shared" si="215"/>
        <v>0.42500000000000004</v>
      </c>
      <c r="G404" s="1">
        <f t="shared" si="215"/>
        <v>0.375</v>
      </c>
      <c r="H404" s="1">
        <f t="shared" si="215"/>
        <v>0.32500000000000007</v>
      </c>
      <c r="I404" s="1">
        <f t="shared" si="215"/>
        <v>0.27500000000000002</v>
      </c>
      <c r="J404" s="1">
        <f t="shared" si="215"/>
        <v>0.22500000000000009</v>
      </c>
      <c r="K404" s="1">
        <f t="shared" si="215"/>
        <v>0.17500000000000004</v>
      </c>
      <c r="L404" s="1">
        <f t="shared" si="215"/>
        <v>0.12500000000000006</v>
      </c>
      <c r="M404" s="1">
        <f t="shared" si="215"/>
        <v>7.5000000000000067E-2</v>
      </c>
      <c r="N404" s="1">
        <f t="shared" si="215"/>
        <v>2.5000000000000022E-2</v>
      </c>
      <c r="O404" s="1">
        <f t="shared" si="215"/>
        <v>-2.4999999999999967E-2</v>
      </c>
      <c r="P404" s="1">
        <f t="shared" si="215"/>
        <v>-7.4999999999999956E-2</v>
      </c>
      <c r="Q404" s="1">
        <f t="shared" si="215"/>
        <v>-0.12499999999999994</v>
      </c>
      <c r="R404" s="1">
        <f t="shared" si="215"/>
        <v>-0.17499999999999996</v>
      </c>
      <c r="S404" s="1">
        <f t="shared" si="215"/>
        <v>-0.22499999999999995</v>
      </c>
      <c r="T404" s="1">
        <f t="shared" si="215"/>
        <v>-0.27499999999999997</v>
      </c>
      <c r="U404" s="1">
        <f t="shared" si="215"/>
        <v>-0.32499999999999973</v>
      </c>
      <c r="V404" s="1">
        <f t="shared" si="215"/>
        <v>-0.37499999999999994</v>
      </c>
      <c r="W404" s="1">
        <f t="shared" si="215"/>
        <v>-0.4249999999999996</v>
      </c>
      <c r="X404" s="1">
        <f t="shared" si="215"/>
        <v>-0.47499999999999998</v>
      </c>
      <c r="Y404" s="1">
        <f t="shared" si="215"/>
        <v>-0.52499999999999991</v>
      </c>
      <c r="Z404" s="1">
        <f t="shared" si="215"/>
        <v>-0.57499999999999996</v>
      </c>
      <c r="AA404" s="1">
        <f t="shared" si="215"/>
        <v>-0.625</v>
      </c>
      <c r="AB404" s="1">
        <f t="shared" si="215"/>
        <v>-0.67499999999999993</v>
      </c>
      <c r="AC404" s="1">
        <f t="shared" si="215"/>
        <v>-0.72499999999999998</v>
      </c>
      <c r="AD404" s="1">
        <f t="shared" si="215"/>
        <v>-0.77499999999999991</v>
      </c>
      <c r="AE404" s="1">
        <f t="shared" si="215"/>
        <v>-0.82499999999999996</v>
      </c>
      <c r="AF404" s="1">
        <f t="shared" si="215"/>
        <v>-0.875</v>
      </c>
      <c r="AG404" s="1">
        <f t="shared" si="215"/>
        <v>-0.92499999999999993</v>
      </c>
      <c r="AH404" s="1">
        <f t="shared" si="215"/>
        <v>-0.97499999999999998</v>
      </c>
      <c r="AI404" s="1">
        <f t="shared" si="215"/>
        <v>-1.0249999999999999</v>
      </c>
      <c r="AJ404" s="1">
        <f t="shared" si="215"/>
        <v>-1.075</v>
      </c>
      <c r="AK404" s="1">
        <f t="shared" si="215"/>
        <v>-1.125</v>
      </c>
      <c r="AL404" s="1">
        <f t="shared" si="215"/>
        <v>-1.1749999999999998</v>
      </c>
      <c r="AM404" s="1">
        <f t="shared" si="215"/>
        <v>-1.2249999999999994</v>
      </c>
      <c r="AN404" s="1">
        <f t="shared" si="215"/>
        <v>-1.2749999999999999</v>
      </c>
      <c r="AO404" s="1">
        <f t="shared" si="215"/>
        <v>-1.325</v>
      </c>
    </row>
    <row r="405" spans="2:41">
      <c r="B405" s="1">
        <f t="shared" ref="B405:AO405" si="216">$P$111-B$109</f>
        <v>0.67499999999999993</v>
      </c>
      <c r="C405" s="1">
        <f t="shared" si="216"/>
        <v>0.625</v>
      </c>
      <c r="D405" s="1">
        <f t="shared" si="216"/>
        <v>0.57499999999999996</v>
      </c>
      <c r="E405" s="1">
        <f t="shared" si="216"/>
        <v>0.52500000000000002</v>
      </c>
      <c r="F405" s="1">
        <f t="shared" si="216"/>
        <v>0.47499999999999998</v>
      </c>
      <c r="G405" s="1">
        <f t="shared" si="216"/>
        <v>0.42499999999999993</v>
      </c>
      <c r="H405" s="1">
        <f t="shared" si="216"/>
        <v>0.375</v>
      </c>
      <c r="I405" s="1">
        <f t="shared" si="216"/>
        <v>0.32499999999999996</v>
      </c>
      <c r="J405" s="1">
        <f t="shared" si="216"/>
        <v>0.27500000000000002</v>
      </c>
      <c r="K405" s="1">
        <f t="shared" si="216"/>
        <v>0.22499999999999998</v>
      </c>
      <c r="L405" s="1">
        <f t="shared" si="216"/>
        <v>0.17499999999999999</v>
      </c>
      <c r="M405" s="1">
        <f t="shared" si="216"/>
        <v>0.125</v>
      </c>
      <c r="N405" s="1">
        <f t="shared" si="216"/>
        <v>7.4999999999999956E-2</v>
      </c>
      <c r="O405" s="1">
        <f t="shared" si="216"/>
        <v>2.4999999999999967E-2</v>
      </c>
      <c r="P405" s="1">
        <f t="shared" si="216"/>
        <v>-2.5000000000000022E-2</v>
      </c>
      <c r="Q405" s="1">
        <f t="shared" si="216"/>
        <v>-7.5000000000000011E-2</v>
      </c>
      <c r="R405" s="1">
        <f t="shared" si="216"/>
        <v>-0.12500000000000003</v>
      </c>
      <c r="S405" s="1">
        <f t="shared" si="216"/>
        <v>-0.17500000000000002</v>
      </c>
      <c r="T405" s="1">
        <f t="shared" si="216"/>
        <v>-0.22500000000000003</v>
      </c>
      <c r="U405" s="1">
        <f t="shared" si="216"/>
        <v>-0.2749999999999998</v>
      </c>
      <c r="V405" s="1">
        <f t="shared" si="216"/>
        <v>-0.32500000000000001</v>
      </c>
      <c r="W405" s="1">
        <f t="shared" si="216"/>
        <v>-0.37499999999999967</v>
      </c>
      <c r="X405" s="1">
        <f t="shared" si="216"/>
        <v>-0.42500000000000004</v>
      </c>
      <c r="Y405" s="1">
        <f t="shared" si="216"/>
        <v>-0.47500000000000003</v>
      </c>
      <c r="Z405" s="1">
        <f t="shared" si="216"/>
        <v>-0.52500000000000002</v>
      </c>
      <c r="AA405" s="1">
        <f t="shared" si="216"/>
        <v>-0.57499999999999996</v>
      </c>
      <c r="AB405" s="1">
        <f t="shared" si="216"/>
        <v>-0.625</v>
      </c>
      <c r="AC405" s="1">
        <f t="shared" si="216"/>
        <v>-0.67500000000000004</v>
      </c>
      <c r="AD405" s="1">
        <f t="shared" si="216"/>
        <v>-0.72500000000000009</v>
      </c>
      <c r="AE405" s="1">
        <f t="shared" si="216"/>
        <v>-0.77500000000000002</v>
      </c>
      <c r="AF405" s="1">
        <f t="shared" si="216"/>
        <v>-0.82500000000000007</v>
      </c>
      <c r="AG405" s="1">
        <f t="shared" si="216"/>
        <v>-0.875</v>
      </c>
      <c r="AH405" s="1">
        <f t="shared" si="216"/>
        <v>-0.92500000000000004</v>
      </c>
      <c r="AI405" s="1">
        <f t="shared" si="216"/>
        <v>-0.97499999999999998</v>
      </c>
      <c r="AJ405" s="1">
        <f t="shared" si="216"/>
        <v>-1.0249999999999999</v>
      </c>
      <c r="AK405" s="1">
        <f t="shared" si="216"/>
        <v>-1.0750000000000002</v>
      </c>
      <c r="AL405" s="1">
        <f t="shared" si="216"/>
        <v>-1.125</v>
      </c>
      <c r="AM405" s="1">
        <f t="shared" si="216"/>
        <v>-1.1749999999999994</v>
      </c>
      <c r="AN405" s="1">
        <f t="shared" si="216"/>
        <v>-1.2250000000000001</v>
      </c>
      <c r="AO405" s="1">
        <f t="shared" si="216"/>
        <v>-1.2749999999999999</v>
      </c>
    </row>
    <row r="406" spans="2:41">
      <c r="B406" s="1">
        <f t="shared" ref="B406:AO406" si="217">$Q$111-B$109</f>
        <v>0.72499999999999998</v>
      </c>
      <c r="C406" s="1">
        <f t="shared" si="217"/>
        <v>0.67500000000000004</v>
      </c>
      <c r="D406" s="1">
        <f t="shared" si="217"/>
        <v>0.625</v>
      </c>
      <c r="E406" s="1">
        <f t="shared" si="217"/>
        <v>0.57500000000000007</v>
      </c>
      <c r="F406" s="1">
        <f t="shared" si="217"/>
        <v>0.52500000000000002</v>
      </c>
      <c r="G406" s="1">
        <f t="shared" si="217"/>
        <v>0.47499999999999998</v>
      </c>
      <c r="H406" s="1">
        <f t="shared" si="217"/>
        <v>0.42500000000000004</v>
      </c>
      <c r="I406" s="1">
        <f t="shared" si="217"/>
        <v>0.375</v>
      </c>
      <c r="J406" s="1">
        <f t="shared" si="217"/>
        <v>0.32500000000000007</v>
      </c>
      <c r="K406" s="1">
        <f t="shared" si="217"/>
        <v>0.27500000000000002</v>
      </c>
      <c r="L406" s="1">
        <f t="shared" si="217"/>
        <v>0.22500000000000001</v>
      </c>
      <c r="M406" s="1">
        <f t="shared" si="217"/>
        <v>0.17500000000000002</v>
      </c>
      <c r="N406" s="1">
        <f t="shared" si="217"/>
        <v>0.12499999999999997</v>
      </c>
      <c r="O406" s="1">
        <f t="shared" si="217"/>
        <v>7.4999999999999983E-2</v>
      </c>
      <c r="P406" s="1">
        <f t="shared" si="217"/>
        <v>2.4999999999999994E-2</v>
      </c>
      <c r="Q406" s="1">
        <f t="shared" si="217"/>
        <v>-2.4999999999999994E-2</v>
      </c>
      <c r="R406" s="1">
        <f t="shared" si="217"/>
        <v>-7.5000000000000011E-2</v>
      </c>
      <c r="S406" s="1">
        <f t="shared" si="217"/>
        <v>-0.125</v>
      </c>
      <c r="T406" s="1">
        <f t="shared" si="217"/>
        <v>-0.17499999999999999</v>
      </c>
      <c r="U406" s="1">
        <f t="shared" si="217"/>
        <v>-0.22499999999999978</v>
      </c>
      <c r="V406" s="1">
        <f t="shared" si="217"/>
        <v>-0.27500000000000002</v>
      </c>
      <c r="W406" s="1">
        <f t="shared" si="217"/>
        <v>-0.32499999999999962</v>
      </c>
      <c r="X406" s="1">
        <f t="shared" si="217"/>
        <v>-0.375</v>
      </c>
      <c r="Y406" s="1">
        <f t="shared" si="217"/>
        <v>-0.42500000000000004</v>
      </c>
      <c r="Z406" s="1">
        <f t="shared" si="217"/>
        <v>-0.47499999999999998</v>
      </c>
      <c r="AA406" s="1">
        <f t="shared" si="217"/>
        <v>-0.52500000000000002</v>
      </c>
      <c r="AB406" s="1">
        <f t="shared" si="217"/>
        <v>-0.57499999999999996</v>
      </c>
      <c r="AC406" s="1">
        <f t="shared" si="217"/>
        <v>-0.625</v>
      </c>
      <c r="AD406" s="1">
        <f t="shared" si="217"/>
        <v>-0.67500000000000004</v>
      </c>
      <c r="AE406" s="1">
        <f t="shared" si="217"/>
        <v>-0.72499999999999998</v>
      </c>
      <c r="AF406" s="1">
        <f t="shared" si="217"/>
        <v>-0.77500000000000002</v>
      </c>
      <c r="AG406" s="1">
        <f t="shared" si="217"/>
        <v>-0.82499999999999996</v>
      </c>
      <c r="AH406" s="1">
        <f t="shared" si="217"/>
        <v>-0.875</v>
      </c>
      <c r="AI406" s="1">
        <f t="shared" si="217"/>
        <v>-0.92499999999999993</v>
      </c>
      <c r="AJ406" s="1">
        <f t="shared" si="217"/>
        <v>-0.97499999999999998</v>
      </c>
      <c r="AK406" s="1">
        <f t="shared" si="217"/>
        <v>-1.0250000000000001</v>
      </c>
      <c r="AL406" s="1">
        <f t="shared" si="217"/>
        <v>-1.075</v>
      </c>
      <c r="AM406" s="1">
        <f t="shared" si="217"/>
        <v>-1.1249999999999996</v>
      </c>
      <c r="AN406" s="1">
        <f t="shared" si="217"/>
        <v>-1.175</v>
      </c>
      <c r="AO406" s="1">
        <f t="shared" si="217"/>
        <v>-1.2250000000000001</v>
      </c>
    </row>
    <row r="407" spans="2:41">
      <c r="B407" s="1">
        <f t="shared" ref="B407:AO407" si="218">$R$111-B$109</f>
        <v>0.77499999999999991</v>
      </c>
      <c r="C407" s="1">
        <f t="shared" si="218"/>
        <v>0.72500000000000009</v>
      </c>
      <c r="D407" s="1">
        <f t="shared" si="218"/>
        <v>0.67500000000000004</v>
      </c>
      <c r="E407" s="1">
        <f t="shared" si="218"/>
        <v>0.625</v>
      </c>
      <c r="F407" s="1">
        <f t="shared" si="218"/>
        <v>0.57499999999999996</v>
      </c>
      <c r="G407" s="1">
        <f t="shared" si="218"/>
        <v>0.52499999999999991</v>
      </c>
      <c r="H407" s="1">
        <f t="shared" si="218"/>
        <v>0.47500000000000003</v>
      </c>
      <c r="I407" s="1">
        <f t="shared" si="218"/>
        <v>0.42499999999999999</v>
      </c>
      <c r="J407" s="1">
        <f t="shared" si="218"/>
        <v>0.37500000000000006</v>
      </c>
      <c r="K407" s="1">
        <f t="shared" si="218"/>
        <v>0.32500000000000001</v>
      </c>
      <c r="L407" s="1">
        <f t="shared" si="218"/>
        <v>0.27500000000000002</v>
      </c>
      <c r="M407" s="1">
        <f t="shared" si="218"/>
        <v>0.22500000000000003</v>
      </c>
      <c r="N407" s="1">
        <f t="shared" si="218"/>
        <v>0.17499999999999999</v>
      </c>
      <c r="O407" s="1">
        <f t="shared" si="218"/>
        <v>0.125</v>
      </c>
      <c r="P407" s="1">
        <f t="shared" si="218"/>
        <v>7.5000000000000011E-2</v>
      </c>
      <c r="Q407" s="1">
        <f t="shared" si="218"/>
        <v>2.5000000000000022E-2</v>
      </c>
      <c r="R407" s="1">
        <f t="shared" si="218"/>
        <v>-2.4999999999999994E-2</v>
      </c>
      <c r="S407" s="1">
        <f t="shared" si="218"/>
        <v>-7.4999999999999983E-2</v>
      </c>
      <c r="T407" s="1">
        <f t="shared" si="218"/>
        <v>-0.12499999999999999</v>
      </c>
      <c r="U407" s="1">
        <f t="shared" si="218"/>
        <v>-0.17499999999999977</v>
      </c>
      <c r="V407" s="1">
        <f t="shared" si="218"/>
        <v>-0.22499999999999998</v>
      </c>
      <c r="W407" s="1">
        <f t="shared" si="218"/>
        <v>-0.27499999999999963</v>
      </c>
      <c r="X407" s="1">
        <f t="shared" si="218"/>
        <v>-0.32499999999999996</v>
      </c>
      <c r="Y407" s="1">
        <f t="shared" si="218"/>
        <v>-0.375</v>
      </c>
      <c r="Z407" s="1">
        <f t="shared" si="218"/>
        <v>-0.42499999999999999</v>
      </c>
      <c r="AA407" s="1">
        <f t="shared" si="218"/>
        <v>-0.47499999999999998</v>
      </c>
      <c r="AB407" s="1">
        <f t="shared" si="218"/>
        <v>-0.52499999999999991</v>
      </c>
      <c r="AC407" s="1">
        <f t="shared" si="218"/>
        <v>-0.57499999999999996</v>
      </c>
      <c r="AD407" s="1">
        <f t="shared" si="218"/>
        <v>-0.625</v>
      </c>
      <c r="AE407" s="1">
        <f t="shared" si="218"/>
        <v>-0.67500000000000004</v>
      </c>
      <c r="AF407" s="1">
        <f t="shared" si="218"/>
        <v>-0.72500000000000009</v>
      </c>
      <c r="AG407" s="1">
        <f t="shared" si="218"/>
        <v>-0.77499999999999991</v>
      </c>
      <c r="AH407" s="1">
        <f t="shared" si="218"/>
        <v>-0.82499999999999996</v>
      </c>
      <c r="AI407" s="1">
        <f t="shared" si="218"/>
        <v>-0.875</v>
      </c>
      <c r="AJ407" s="1">
        <f t="shared" si="218"/>
        <v>-0.92500000000000004</v>
      </c>
      <c r="AK407" s="1">
        <f t="shared" si="218"/>
        <v>-0.97500000000000009</v>
      </c>
      <c r="AL407" s="1">
        <f t="shared" si="218"/>
        <v>-1.0249999999999999</v>
      </c>
      <c r="AM407" s="1">
        <f t="shared" si="218"/>
        <v>-1.0749999999999995</v>
      </c>
      <c r="AN407" s="1">
        <f t="shared" si="218"/>
        <v>-1.125</v>
      </c>
      <c r="AO407" s="1">
        <f t="shared" si="218"/>
        <v>-1.175</v>
      </c>
    </row>
    <row r="408" spans="2:41">
      <c r="B408" s="1">
        <f t="shared" ref="B408:AO408" si="219">$S$111-B$109</f>
        <v>0.82499999999999996</v>
      </c>
      <c r="C408" s="1">
        <f t="shared" si="219"/>
        <v>0.77500000000000002</v>
      </c>
      <c r="D408" s="1">
        <f t="shared" si="219"/>
        <v>0.72499999999999998</v>
      </c>
      <c r="E408" s="1">
        <f t="shared" si="219"/>
        <v>0.67500000000000004</v>
      </c>
      <c r="F408" s="1">
        <f t="shared" si="219"/>
        <v>0.625</v>
      </c>
      <c r="G408" s="1">
        <f t="shared" si="219"/>
        <v>0.57499999999999996</v>
      </c>
      <c r="H408" s="1">
        <f t="shared" si="219"/>
        <v>0.52500000000000002</v>
      </c>
      <c r="I408" s="1">
        <f t="shared" si="219"/>
        <v>0.47499999999999998</v>
      </c>
      <c r="J408" s="1">
        <f t="shared" si="219"/>
        <v>0.42500000000000004</v>
      </c>
      <c r="K408" s="1">
        <f t="shared" si="219"/>
        <v>0.375</v>
      </c>
      <c r="L408" s="1">
        <f t="shared" si="219"/>
        <v>0.32500000000000001</v>
      </c>
      <c r="M408" s="1">
        <f t="shared" si="219"/>
        <v>0.27500000000000002</v>
      </c>
      <c r="N408" s="1">
        <f t="shared" si="219"/>
        <v>0.22499999999999998</v>
      </c>
      <c r="O408" s="1">
        <f t="shared" si="219"/>
        <v>0.17499999999999999</v>
      </c>
      <c r="P408" s="1">
        <f t="shared" si="219"/>
        <v>0.125</v>
      </c>
      <c r="Q408" s="1">
        <f t="shared" si="219"/>
        <v>7.5000000000000011E-2</v>
      </c>
      <c r="R408" s="1">
        <f t="shared" si="219"/>
        <v>2.4999999999999994E-2</v>
      </c>
      <c r="S408" s="1">
        <f t="shared" si="219"/>
        <v>-2.4999999999999994E-2</v>
      </c>
      <c r="T408" s="1">
        <f t="shared" si="219"/>
        <v>-7.4999999999999997E-2</v>
      </c>
      <c r="U408" s="1">
        <f t="shared" si="219"/>
        <v>-0.12499999999999978</v>
      </c>
      <c r="V408" s="1">
        <f t="shared" si="219"/>
        <v>-0.17499999999999999</v>
      </c>
      <c r="W408" s="1">
        <f t="shared" si="219"/>
        <v>-0.22499999999999964</v>
      </c>
      <c r="X408" s="1">
        <f t="shared" si="219"/>
        <v>-0.27500000000000002</v>
      </c>
      <c r="Y408" s="1">
        <f t="shared" si="219"/>
        <v>-0.32500000000000001</v>
      </c>
      <c r="Z408" s="1">
        <f t="shared" si="219"/>
        <v>-0.375</v>
      </c>
      <c r="AA408" s="1">
        <f t="shared" si="219"/>
        <v>-0.42499999999999999</v>
      </c>
      <c r="AB408" s="1">
        <f t="shared" si="219"/>
        <v>-0.47499999999999998</v>
      </c>
      <c r="AC408" s="1">
        <f t="shared" si="219"/>
        <v>-0.52500000000000002</v>
      </c>
      <c r="AD408" s="1">
        <f t="shared" si="219"/>
        <v>-0.57499999999999996</v>
      </c>
      <c r="AE408" s="1">
        <f t="shared" si="219"/>
        <v>-0.625</v>
      </c>
      <c r="AF408" s="1">
        <f t="shared" si="219"/>
        <v>-0.67500000000000004</v>
      </c>
      <c r="AG408" s="1">
        <f t="shared" si="219"/>
        <v>-0.72499999999999998</v>
      </c>
      <c r="AH408" s="1">
        <f t="shared" si="219"/>
        <v>-0.77500000000000002</v>
      </c>
      <c r="AI408" s="1">
        <f t="shared" si="219"/>
        <v>-0.82499999999999996</v>
      </c>
      <c r="AJ408" s="1">
        <f t="shared" si="219"/>
        <v>-0.875</v>
      </c>
      <c r="AK408" s="1">
        <f t="shared" si="219"/>
        <v>-0.92500000000000004</v>
      </c>
      <c r="AL408" s="1">
        <f t="shared" si="219"/>
        <v>-0.97499999999999998</v>
      </c>
      <c r="AM408" s="1">
        <f t="shared" si="219"/>
        <v>-1.0249999999999995</v>
      </c>
      <c r="AN408" s="1">
        <f t="shared" si="219"/>
        <v>-1.075</v>
      </c>
      <c r="AO408" s="1">
        <f t="shared" si="219"/>
        <v>-1.125</v>
      </c>
    </row>
    <row r="409" spans="2:41">
      <c r="B409" s="1">
        <f t="shared" ref="B409:AO409" si="220">$T$111-B$109</f>
        <v>0.875</v>
      </c>
      <c r="C409" s="1">
        <f t="shared" si="220"/>
        <v>0.82499999999999996</v>
      </c>
      <c r="D409" s="1">
        <f t="shared" si="220"/>
        <v>0.77499999999999991</v>
      </c>
      <c r="E409" s="1">
        <f t="shared" si="220"/>
        <v>0.72500000000000009</v>
      </c>
      <c r="F409" s="1">
        <f t="shared" si="220"/>
        <v>0.67500000000000004</v>
      </c>
      <c r="G409" s="1">
        <f t="shared" si="220"/>
        <v>0.625</v>
      </c>
      <c r="H409" s="1">
        <f t="shared" si="220"/>
        <v>0.57499999999999996</v>
      </c>
      <c r="I409" s="1">
        <f t="shared" si="220"/>
        <v>0.52499999999999991</v>
      </c>
      <c r="J409" s="1">
        <f t="shared" si="220"/>
        <v>0.47500000000000003</v>
      </c>
      <c r="K409" s="1">
        <f t="shared" si="220"/>
        <v>0.42499999999999999</v>
      </c>
      <c r="L409" s="1">
        <f t="shared" si="220"/>
        <v>0.375</v>
      </c>
      <c r="M409" s="1">
        <f t="shared" si="220"/>
        <v>0.32500000000000001</v>
      </c>
      <c r="N409" s="1">
        <f t="shared" si="220"/>
        <v>0.27499999999999997</v>
      </c>
      <c r="O409" s="1">
        <f t="shared" si="220"/>
        <v>0.22499999999999998</v>
      </c>
      <c r="P409" s="1">
        <f t="shared" si="220"/>
        <v>0.17499999999999999</v>
      </c>
      <c r="Q409" s="1">
        <f t="shared" si="220"/>
        <v>0.125</v>
      </c>
      <c r="R409" s="1">
        <f t="shared" si="220"/>
        <v>7.4999999999999983E-2</v>
      </c>
      <c r="S409" s="1">
        <f t="shared" si="220"/>
        <v>2.4999999999999994E-2</v>
      </c>
      <c r="T409" s="1">
        <f t="shared" si="220"/>
        <v>-2.5000000000000008E-2</v>
      </c>
      <c r="U409" s="1">
        <f t="shared" si="220"/>
        <v>-7.4999999999999789E-2</v>
      </c>
      <c r="V409" s="1">
        <f t="shared" si="220"/>
        <v>-0.125</v>
      </c>
      <c r="W409" s="1">
        <f t="shared" si="220"/>
        <v>-0.17499999999999966</v>
      </c>
      <c r="X409" s="1">
        <f t="shared" si="220"/>
        <v>-0.22500000000000001</v>
      </c>
      <c r="Y409" s="1">
        <f t="shared" si="220"/>
        <v>-0.27500000000000002</v>
      </c>
      <c r="Z409" s="1">
        <f t="shared" si="220"/>
        <v>-0.32500000000000001</v>
      </c>
      <c r="AA409" s="1">
        <f t="shared" si="220"/>
        <v>-0.375</v>
      </c>
      <c r="AB409" s="1">
        <f t="shared" si="220"/>
        <v>-0.42499999999999999</v>
      </c>
      <c r="AC409" s="1">
        <f t="shared" si="220"/>
        <v>-0.47500000000000003</v>
      </c>
      <c r="AD409" s="1">
        <f t="shared" si="220"/>
        <v>-0.52500000000000002</v>
      </c>
      <c r="AE409" s="1">
        <f t="shared" si="220"/>
        <v>-0.57499999999999996</v>
      </c>
      <c r="AF409" s="1">
        <f t="shared" si="220"/>
        <v>-0.625</v>
      </c>
      <c r="AG409" s="1">
        <f t="shared" si="220"/>
        <v>-0.67500000000000004</v>
      </c>
      <c r="AH409" s="1">
        <f t="shared" si="220"/>
        <v>-0.72500000000000009</v>
      </c>
      <c r="AI409" s="1">
        <f t="shared" si="220"/>
        <v>-0.77499999999999991</v>
      </c>
      <c r="AJ409" s="1">
        <f t="shared" si="220"/>
        <v>-0.82499999999999996</v>
      </c>
      <c r="AK409" s="1">
        <f t="shared" si="220"/>
        <v>-0.875</v>
      </c>
      <c r="AL409" s="1">
        <f t="shared" si="220"/>
        <v>-0.92500000000000004</v>
      </c>
      <c r="AM409" s="1">
        <f t="shared" si="220"/>
        <v>-0.97499999999999942</v>
      </c>
      <c r="AN409" s="1">
        <f t="shared" si="220"/>
        <v>-1.0249999999999999</v>
      </c>
      <c r="AO409" s="1">
        <f t="shared" si="220"/>
        <v>-1.075</v>
      </c>
    </row>
    <row r="410" spans="2:41">
      <c r="B410" s="1">
        <f t="shared" ref="B410:AO410" si="221">$U$111-B$109</f>
        <v>0.92499999999999982</v>
      </c>
      <c r="C410" s="1">
        <f t="shared" si="221"/>
        <v>0.87499999999999989</v>
      </c>
      <c r="D410" s="1">
        <f t="shared" si="221"/>
        <v>0.82499999999999984</v>
      </c>
      <c r="E410" s="1">
        <f t="shared" si="221"/>
        <v>0.77499999999999991</v>
      </c>
      <c r="F410" s="1">
        <f t="shared" si="221"/>
        <v>0.72499999999999987</v>
      </c>
      <c r="G410" s="1">
        <f t="shared" si="221"/>
        <v>0.67499999999999982</v>
      </c>
      <c r="H410" s="1">
        <f t="shared" si="221"/>
        <v>0.62499999999999989</v>
      </c>
      <c r="I410" s="1">
        <f t="shared" si="221"/>
        <v>0.57499999999999984</v>
      </c>
      <c r="J410" s="1">
        <f t="shared" si="221"/>
        <v>0.52499999999999991</v>
      </c>
      <c r="K410" s="1">
        <f t="shared" si="221"/>
        <v>0.47499999999999987</v>
      </c>
      <c r="L410" s="1">
        <f t="shared" si="221"/>
        <v>0.42499999999999988</v>
      </c>
      <c r="M410" s="1">
        <f t="shared" si="221"/>
        <v>0.37499999999999989</v>
      </c>
      <c r="N410" s="1">
        <f t="shared" si="221"/>
        <v>0.32499999999999984</v>
      </c>
      <c r="O410" s="1">
        <f t="shared" si="221"/>
        <v>0.27499999999999986</v>
      </c>
      <c r="P410" s="1">
        <f t="shared" si="221"/>
        <v>0.22499999999999989</v>
      </c>
      <c r="Q410" s="1">
        <f t="shared" si="221"/>
        <v>0.17499999999999991</v>
      </c>
      <c r="R410" s="1">
        <f t="shared" si="221"/>
        <v>0.12499999999999989</v>
      </c>
      <c r="S410" s="1">
        <f t="shared" si="221"/>
        <v>7.49999999999999E-2</v>
      </c>
      <c r="T410" s="1">
        <f t="shared" si="221"/>
        <v>2.499999999999989E-2</v>
      </c>
      <c r="U410" s="1">
        <f t="shared" si="221"/>
        <v>-2.499999999999989E-2</v>
      </c>
      <c r="V410" s="1">
        <f t="shared" si="221"/>
        <v>-7.5000000000000122E-2</v>
      </c>
      <c r="W410" s="1">
        <f t="shared" si="221"/>
        <v>-0.12499999999999975</v>
      </c>
      <c r="X410" s="1">
        <f t="shared" si="221"/>
        <v>-0.1750000000000001</v>
      </c>
      <c r="Y410" s="1">
        <f t="shared" si="221"/>
        <v>-0.22500000000000012</v>
      </c>
      <c r="Z410" s="1">
        <f t="shared" si="221"/>
        <v>-0.27500000000000013</v>
      </c>
      <c r="AA410" s="1">
        <f t="shared" si="221"/>
        <v>-0.32500000000000012</v>
      </c>
      <c r="AB410" s="1">
        <f t="shared" si="221"/>
        <v>-0.37500000000000011</v>
      </c>
      <c r="AC410" s="1">
        <f t="shared" si="221"/>
        <v>-0.42500000000000016</v>
      </c>
      <c r="AD410" s="1">
        <f t="shared" si="221"/>
        <v>-0.47500000000000014</v>
      </c>
      <c r="AE410" s="1">
        <f t="shared" si="221"/>
        <v>-0.52500000000000013</v>
      </c>
      <c r="AF410" s="1">
        <f t="shared" si="221"/>
        <v>-0.57500000000000018</v>
      </c>
      <c r="AG410" s="1">
        <f t="shared" si="221"/>
        <v>-0.62500000000000011</v>
      </c>
      <c r="AH410" s="1">
        <f t="shared" si="221"/>
        <v>-0.67500000000000016</v>
      </c>
      <c r="AI410" s="1">
        <f t="shared" si="221"/>
        <v>-0.72500000000000009</v>
      </c>
      <c r="AJ410" s="1">
        <f t="shared" si="221"/>
        <v>-0.77500000000000013</v>
      </c>
      <c r="AK410" s="1">
        <f t="shared" si="221"/>
        <v>-0.82500000000000018</v>
      </c>
      <c r="AL410" s="1">
        <f t="shared" si="221"/>
        <v>-0.87500000000000011</v>
      </c>
      <c r="AM410" s="1">
        <f t="shared" si="221"/>
        <v>-0.9249999999999996</v>
      </c>
      <c r="AN410" s="1">
        <f t="shared" si="221"/>
        <v>-0.97500000000000009</v>
      </c>
      <c r="AO410" s="1">
        <f t="shared" si="221"/>
        <v>-1.0250000000000001</v>
      </c>
    </row>
    <row r="411" spans="2:41">
      <c r="B411" s="1">
        <f t="shared" ref="B411:AO411" si="222">$V$111-B$109</f>
        <v>0.97499999999999987</v>
      </c>
      <c r="C411" s="1">
        <f t="shared" si="222"/>
        <v>0.92499999999999993</v>
      </c>
      <c r="D411" s="1">
        <f t="shared" si="222"/>
        <v>0.87499999999999989</v>
      </c>
      <c r="E411" s="1">
        <f t="shared" si="222"/>
        <v>0.82499999999999996</v>
      </c>
      <c r="F411" s="1">
        <f t="shared" si="222"/>
        <v>0.77499999999999991</v>
      </c>
      <c r="G411" s="1">
        <f t="shared" si="222"/>
        <v>0.72499999999999987</v>
      </c>
      <c r="H411" s="1">
        <f t="shared" si="222"/>
        <v>0.67499999999999993</v>
      </c>
      <c r="I411" s="1">
        <f t="shared" si="222"/>
        <v>0.62499999999999989</v>
      </c>
      <c r="J411" s="1">
        <f t="shared" si="222"/>
        <v>0.57499999999999996</v>
      </c>
      <c r="K411" s="1">
        <f t="shared" si="222"/>
        <v>0.52499999999999991</v>
      </c>
      <c r="L411" s="1">
        <f t="shared" si="222"/>
        <v>0.47499999999999992</v>
      </c>
      <c r="M411" s="1">
        <f t="shared" si="222"/>
        <v>0.42499999999999993</v>
      </c>
      <c r="N411" s="1">
        <f t="shared" si="222"/>
        <v>0.37499999999999989</v>
      </c>
      <c r="O411" s="1">
        <f t="shared" si="222"/>
        <v>0.3249999999999999</v>
      </c>
      <c r="P411" s="1">
        <f t="shared" si="222"/>
        <v>0.27499999999999991</v>
      </c>
      <c r="Q411" s="1">
        <f t="shared" si="222"/>
        <v>0.22499999999999989</v>
      </c>
      <c r="R411" s="1">
        <f t="shared" si="222"/>
        <v>0.17499999999999988</v>
      </c>
      <c r="S411" s="1">
        <f t="shared" si="222"/>
        <v>0.12499999999999989</v>
      </c>
      <c r="T411" s="1">
        <f t="shared" si="222"/>
        <v>7.49999999999999E-2</v>
      </c>
      <c r="U411" s="1">
        <f t="shared" si="222"/>
        <v>2.5000000000000112E-2</v>
      </c>
      <c r="V411" s="1">
        <f t="shared" si="222"/>
        <v>-2.5000000000000112E-2</v>
      </c>
      <c r="W411" s="1">
        <f t="shared" si="222"/>
        <v>-7.4999999999999761E-2</v>
      </c>
      <c r="X411" s="1">
        <f t="shared" si="222"/>
        <v>-0.12500000000000011</v>
      </c>
      <c r="Y411" s="1">
        <f t="shared" si="222"/>
        <v>-0.17500000000000013</v>
      </c>
      <c r="Z411" s="1">
        <f t="shared" si="222"/>
        <v>-0.22500000000000012</v>
      </c>
      <c r="AA411" s="1">
        <f t="shared" si="222"/>
        <v>-0.27500000000000008</v>
      </c>
      <c r="AB411" s="1">
        <f t="shared" si="222"/>
        <v>-0.32500000000000007</v>
      </c>
      <c r="AC411" s="1">
        <f t="shared" si="222"/>
        <v>-0.37500000000000011</v>
      </c>
      <c r="AD411" s="1">
        <f t="shared" si="222"/>
        <v>-0.4250000000000001</v>
      </c>
      <c r="AE411" s="1">
        <f t="shared" si="222"/>
        <v>-0.47500000000000009</v>
      </c>
      <c r="AF411" s="1">
        <f t="shared" si="222"/>
        <v>-0.52500000000000013</v>
      </c>
      <c r="AG411" s="1">
        <f t="shared" si="222"/>
        <v>-0.57500000000000007</v>
      </c>
      <c r="AH411" s="1">
        <f t="shared" si="222"/>
        <v>-0.62500000000000011</v>
      </c>
      <c r="AI411" s="1">
        <f t="shared" si="222"/>
        <v>-0.67500000000000004</v>
      </c>
      <c r="AJ411" s="1">
        <f t="shared" si="222"/>
        <v>-0.72500000000000009</v>
      </c>
      <c r="AK411" s="1">
        <f t="shared" si="222"/>
        <v>-0.77500000000000013</v>
      </c>
      <c r="AL411" s="1">
        <f t="shared" si="222"/>
        <v>-0.82500000000000007</v>
      </c>
      <c r="AM411" s="1">
        <f t="shared" si="222"/>
        <v>-0.87499999999999956</v>
      </c>
      <c r="AN411" s="1">
        <f t="shared" si="222"/>
        <v>-0.92500000000000004</v>
      </c>
      <c r="AO411" s="1">
        <f t="shared" si="222"/>
        <v>-0.97500000000000009</v>
      </c>
    </row>
    <row r="412" spans="2:41">
      <c r="B412" s="1">
        <f t="shared" ref="B412:AO412" si="223">$W$111-B$109</f>
        <v>1.0249999999999997</v>
      </c>
      <c r="C412" s="1">
        <f t="shared" si="223"/>
        <v>0.97499999999999987</v>
      </c>
      <c r="D412" s="1">
        <f t="shared" si="223"/>
        <v>0.92499999999999982</v>
      </c>
      <c r="E412" s="1">
        <f t="shared" si="223"/>
        <v>0.87499999999999989</v>
      </c>
      <c r="F412" s="1">
        <f t="shared" si="223"/>
        <v>0.82499999999999984</v>
      </c>
      <c r="G412" s="1">
        <f t="shared" si="223"/>
        <v>0.7749999999999998</v>
      </c>
      <c r="H412" s="1">
        <f t="shared" si="223"/>
        <v>0.72499999999999987</v>
      </c>
      <c r="I412" s="1">
        <f t="shared" si="223"/>
        <v>0.67499999999999982</v>
      </c>
      <c r="J412" s="1">
        <f t="shared" si="223"/>
        <v>0.62499999999999989</v>
      </c>
      <c r="K412" s="1">
        <f t="shared" si="223"/>
        <v>0.57499999999999984</v>
      </c>
      <c r="L412" s="1">
        <f t="shared" si="223"/>
        <v>0.5249999999999998</v>
      </c>
      <c r="M412" s="1">
        <f t="shared" si="223"/>
        <v>0.47499999999999987</v>
      </c>
      <c r="N412" s="1">
        <f t="shared" si="223"/>
        <v>0.42499999999999982</v>
      </c>
      <c r="O412" s="1">
        <f t="shared" si="223"/>
        <v>0.37499999999999978</v>
      </c>
      <c r="P412" s="1">
        <f t="shared" si="223"/>
        <v>0.32499999999999984</v>
      </c>
      <c r="Q412" s="1">
        <f t="shared" si="223"/>
        <v>0.2749999999999998</v>
      </c>
      <c r="R412" s="1">
        <f t="shared" si="223"/>
        <v>0.22499999999999981</v>
      </c>
      <c r="S412" s="1">
        <f t="shared" si="223"/>
        <v>0.17499999999999982</v>
      </c>
      <c r="T412" s="1">
        <f t="shared" si="223"/>
        <v>0.12499999999999982</v>
      </c>
      <c r="U412" s="1">
        <f t="shared" si="223"/>
        <v>7.5000000000000039E-2</v>
      </c>
      <c r="V412" s="1">
        <f t="shared" si="223"/>
        <v>2.4999999999999814E-2</v>
      </c>
      <c r="W412" s="1">
        <f t="shared" si="223"/>
        <v>-2.4999999999999828E-2</v>
      </c>
      <c r="X412" s="1">
        <f t="shared" si="223"/>
        <v>-7.5000000000000178E-2</v>
      </c>
      <c r="Y412" s="1">
        <f t="shared" si="223"/>
        <v>-0.12500000000000019</v>
      </c>
      <c r="Z412" s="1">
        <f t="shared" si="223"/>
        <v>-0.17500000000000018</v>
      </c>
      <c r="AA412" s="1">
        <f t="shared" si="223"/>
        <v>-0.22500000000000017</v>
      </c>
      <c r="AB412" s="1">
        <f t="shared" si="223"/>
        <v>-0.27500000000000013</v>
      </c>
      <c r="AC412" s="1">
        <f t="shared" si="223"/>
        <v>-0.32500000000000018</v>
      </c>
      <c r="AD412" s="1">
        <f t="shared" si="223"/>
        <v>-0.37500000000000022</v>
      </c>
      <c r="AE412" s="1">
        <f t="shared" si="223"/>
        <v>-0.42500000000000016</v>
      </c>
      <c r="AF412" s="1">
        <f t="shared" si="223"/>
        <v>-0.4750000000000002</v>
      </c>
      <c r="AG412" s="1">
        <f t="shared" si="223"/>
        <v>-0.52500000000000013</v>
      </c>
      <c r="AH412" s="1">
        <f t="shared" si="223"/>
        <v>-0.57500000000000018</v>
      </c>
      <c r="AI412" s="1">
        <f t="shared" si="223"/>
        <v>-0.62500000000000011</v>
      </c>
      <c r="AJ412" s="1">
        <f t="shared" si="223"/>
        <v>-0.67500000000000016</v>
      </c>
      <c r="AK412" s="1">
        <f t="shared" si="223"/>
        <v>-0.7250000000000002</v>
      </c>
      <c r="AL412" s="1">
        <f t="shared" si="223"/>
        <v>-0.77500000000000013</v>
      </c>
      <c r="AM412" s="1">
        <f t="shared" si="223"/>
        <v>-0.82499999999999962</v>
      </c>
      <c r="AN412" s="1">
        <f t="shared" si="223"/>
        <v>-0.87500000000000011</v>
      </c>
      <c r="AO412" s="1">
        <f t="shared" si="223"/>
        <v>-0.92500000000000016</v>
      </c>
    </row>
    <row r="413" spans="2:41">
      <c r="B413" s="1">
        <f t="shared" ref="B413:AO413" si="224">$X$111-B$109</f>
        <v>1.0749999999999997</v>
      </c>
      <c r="C413" s="1">
        <f t="shared" si="224"/>
        <v>1.0249999999999999</v>
      </c>
      <c r="D413" s="1">
        <f t="shared" si="224"/>
        <v>0.97499999999999976</v>
      </c>
      <c r="E413" s="1">
        <f t="shared" si="224"/>
        <v>0.92499999999999982</v>
      </c>
      <c r="F413" s="1">
        <f t="shared" si="224"/>
        <v>0.87499999999999978</v>
      </c>
      <c r="G413" s="1">
        <f t="shared" si="224"/>
        <v>0.82499999999999973</v>
      </c>
      <c r="H413" s="1">
        <f t="shared" si="224"/>
        <v>0.7749999999999998</v>
      </c>
      <c r="I413" s="1">
        <f t="shared" si="224"/>
        <v>0.72499999999999976</v>
      </c>
      <c r="J413" s="1">
        <f t="shared" si="224"/>
        <v>0.67499999999999982</v>
      </c>
      <c r="K413" s="1">
        <f t="shared" si="224"/>
        <v>0.62499999999999978</v>
      </c>
      <c r="L413" s="1">
        <f t="shared" si="224"/>
        <v>0.57499999999999984</v>
      </c>
      <c r="M413" s="1">
        <f t="shared" si="224"/>
        <v>0.5249999999999998</v>
      </c>
      <c r="N413" s="1">
        <f t="shared" si="224"/>
        <v>0.47499999999999981</v>
      </c>
      <c r="O413" s="1">
        <f t="shared" si="224"/>
        <v>0.42499999999999982</v>
      </c>
      <c r="P413" s="1">
        <f t="shared" si="224"/>
        <v>0.37499999999999983</v>
      </c>
      <c r="Q413" s="1">
        <f t="shared" si="224"/>
        <v>0.32499999999999984</v>
      </c>
      <c r="R413" s="1">
        <f t="shared" si="224"/>
        <v>0.2749999999999998</v>
      </c>
      <c r="S413" s="1">
        <f t="shared" si="224"/>
        <v>0.22499999999999981</v>
      </c>
      <c r="T413" s="1">
        <f t="shared" si="224"/>
        <v>0.17499999999999982</v>
      </c>
      <c r="U413" s="1">
        <f t="shared" si="224"/>
        <v>0.12500000000000006</v>
      </c>
      <c r="V413" s="1">
        <f t="shared" si="224"/>
        <v>7.4999999999999817E-2</v>
      </c>
      <c r="W413" s="1">
        <f t="shared" si="224"/>
        <v>2.5000000000000175E-2</v>
      </c>
      <c r="X413" s="1">
        <f t="shared" si="224"/>
        <v>-2.5000000000000175E-2</v>
      </c>
      <c r="Y413" s="1">
        <f t="shared" si="224"/>
        <v>-7.5000000000000192E-2</v>
      </c>
      <c r="Z413" s="1">
        <f t="shared" si="224"/>
        <v>-0.12500000000000017</v>
      </c>
      <c r="AA413" s="1">
        <f t="shared" si="224"/>
        <v>-0.17500000000000016</v>
      </c>
      <c r="AB413" s="1">
        <f t="shared" si="224"/>
        <v>-0.22500000000000014</v>
      </c>
      <c r="AC413" s="1">
        <f t="shared" si="224"/>
        <v>-0.27500000000000019</v>
      </c>
      <c r="AD413" s="1">
        <f t="shared" si="224"/>
        <v>-0.32500000000000018</v>
      </c>
      <c r="AE413" s="1">
        <f t="shared" si="224"/>
        <v>-0.37500000000000017</v>
      </c>
      <c r="AF413" s="1">
        <f t="shared" si="224"/>
        <v>-0.42500000000000021</v>
      </c>
      <c r="AG413" s="1">
        <f t="shared" si="224"/>
        <v>-0.47500000000000014</v>
      </c>
      <c r="AH413" s="1">
        <f t="shared" si="224"/>
        <v>-0.52500000000000024</v>
      </c>
      <c r="AI413" s="1">
        <f t="shared" si="224"/>
        <v>-0.57500000000000018</v>
      </c>
      <c r="AJ413" s="1">
        <f t="shared" si="224"/>
        <v>-0.62500000000000022</v>
      </c>
      <c r="AK413" s="1">
        <f t="shared" si="224"/>
        <v>-0.67500000000000027</v>
      </c>
      <c r="AL413" s="1">
        <f t="shared" si="224"/>
        <v>-0.7250000000000002</v>
      </c>
      <c r="AM413" s="1">
        <f t="shared" si="224"/>
        <v>-0.77499999999999969</v>
      </c>
      <c r="AN413" s="1">
        <f t="shared" si="224"/>
        <v>-0.82500000000000018</v>
      </c>
      <c r="AO413" s="1">
        <f t="shared" si="224"/>
        <v>-0.87500000000000022</v>
      </c>
    </row>
    <row r="414" spans="2:41">
      <c r="B414" s="1">
        <f t="shared" ref="B414:AO414" si="225">$Y$111-B$109</f>
        <v>1.125</v>
      </c>
      <c r="C414" s="1">
        <f t="shared" si="225"/>
        <v>1.075</v>
      </c>
      <c r="D414" s="1">
        <f t="shared" si="225"/>
        <v>1.0249999999999999</v>
      </c>
      <c r="E414" s="1">
        <f t="shared" si="225"/>
        <v>0.97500000000000009</v>
      </c>
      <c r="F414" s="1">
        <f t="shared" si="225"/>
        <v>0.92500000000000004</v>
      </c>
      <c r="G414" s="1">
        <f t="shared" si="225"/>
        <v>0.875</v>
      </c>
      <c r="H414" s="1">
        <f t="shared" si="225"/>
        <v>0.82499999999999996</v>
      </c>
      <c r="I414" s="1">
        <f t="shared" si="225"/>
        <v>0.77499999999999991</v>
      </c>
      <c r="J414" s="1">
        <f t="shared" si="225"/>
        <v>0.72500000000000009</v>
      </c>
      <c r="K414" s="1">
        <f t="shared" si="225"/>
        <v>0.67500000000000004</v>
      </c>
      <c r="L414" s="1">
        <f t="shared" si="225"/>
        <v>0.625</v>
      </c>
      <c r="M414" s="1">
        <f t="shared" si="225"/>
        <v>0.57499999999999996</v>
      </c>
      <c r="N414" s="1">
        <f t="shared" si="225"/>
        <v>0.52499999999999991</v>
      </c>
      <c r="O414" s="1">
        <f t="shared" si="225"/>
        <v>0.47499999999999998</v>
      </c>
      <c r="P414" s="1">
        <f t="shared" si="225"/>
        <v>0.42499999999999999</v>
      </c>
      <c r="Q414" s="1">
        <f t="shared" si="225"/>
        <v>0.375</v>
      </c>
      <c r="R414" s="1">
        <f t="shared" si="225"/>
        <v>0.32499999999999996</v>
      </c>
      <c r="S414" s="1">
        <f t="shared" si="225"/>
        <v>0.27500000000000002</v>
      </c>
      <c r="T414" s="1">
        <f t="shared" si="225"/>
        <v>0.22499999999999998</v>
      </c>
      <c r="U414" s="1">
        <f t="shared" si="225"/>
        <v>0.17500000000000021</v>
      </c>
      <c r="V414" s="1">
        <f t="shared" si="225"/>
        <v>0.12499999999999999</v>
      </c>
      <c r="W414" s="1">
        <f t="shared" si="225"/>
        <v>7.5000000000000344E-2</v>
      </c>
      <c r="X414" s="1">
        <f t="shared" si="225"/>
        <v>2.4999999999999994E-2</v>
      </c>
      <c r="Y414" s="1">
        <f t="shared" si="225"/>
        <v>-2.5000000000000022E-2</v>
      </c>
      <c r="Z414" s="1">
        <f t="shared" si="225"/>
        <v>-7.5000000000000011E-2</v>
      </c>
      <c r="AA414" s="1">
        <f t="shared" si="225"/>
        <v>-0.125</v>
      </c>
      <c r="AB414" s="1">
        <f t="shared" si="225"/>
        <v>-0.17499999999999999</v>
      </c>
      <c r="AC414" s="1">
        <f t="shared" si="225"/>
        <v>-0.22500000000000003</v>
      </c>
      <c r="AD414" s="1">
        <f t="shared" si="225"/>
        <v>-0.27500000000000002</v>
      </c>
      <c r="AE414" s="1">
        <f t="shared" si="225"/>
        <v>-0.32500000000000001</v>
      </c>
      <c r="AF414" s="1">
        <f t="shared" si="225"/>
        <v>-0.37500000000000006</v>
      </c>
      <c r="AG414" s="1">
        <f t="shared" si="225"/>
        <v>-0.42499999999999999</v>
      </c>
      <c r="AH414" s="1">
        <f t="shared" si="225"/>
        <v>-0.47500000000000003</v>
      </c>
      <c r="AI414" s="1">
        <f t="shared" si="225"/>
        <v>-0.52499999999999991</v>
      </c>
      <c r="AJ414" s="1">
        <f t="shared" si="225"/>
        <v>-0.57499999999999996</v>
      </c>
      <c r="AK414" s="1">
        <f t="shared" si="225"/>
        <v>-0.625</v>
      </c>
      <c r="AL414" s="1">
        <f t="shared" si="225"/>
        <v>-0.67500000000000004</v>
      </c>
      <c r="AM414" s="1">
        <f t="shared" si="225"/>
        <v>-0.72499999999999942</v>
      </c>
      <c r="AN414" s="1">
        <f t="shared" si="225"/>
        <v>-0.77499999999999991</v>
      </c>
      <c r="AO414" s="1">
        <f t="shared" si="225"/>
        <v>-0.82499999999999996</v>
      </c>
    </row>
    <row r="415" spans="2:41">
      <c r="B415" s="1">
        <f t="shared" ref="B415:AO415" si="226">$Z$111-B$109</f>
        <v>1.175</v>
      </c>
      <c r="C415" s="1">
        <f t="shared" si="226"/>
        <v>1.125</v>
      </c>
      <c r="D415" s="1">
        <f t="shared" si="226"/>
        <v>1.075</v>
      </c>
      <c r="E415" s="1">
        <f t="shared" si="226"/>
        <v>1.0250000000000001</v>
      </c>
      <c r="F415" s="1">
        <f t="shared" si="226"/>
        <v>0.97499999999999998</v>
      </c>
      <c r="G415" s="1">
        <f t="shared" si="226"/>
        <v>0.92499999999999993</v>
      </c>
      <c r="H415" s="1">
        <f t="shared" si="226"/>
        <v>0.875</v>
      </c>
      <c r="I415" s="1">
        <f t="shared" si="226"/>
        <v>0.82499999999999996</v>
      </c>
      <c r="J415" s="1">
        <f t="shared" si="226"/>
        <v>0.77500000000000002</v>
      </c>
      <c r="K415" s="1">
        <f t="shared" si="226"/>
        <v>0.72499999999999998</v>
      </c>
      <c r="L415" s="1">
        <f t="shared" si="226"/>
        <v>0.67500000000000004</v>
      </c>
      <c r="M415" s="1">
        <f t="shared" si="226"/>
        <v>0.625</v>
      </c>
      <c r="N415" s="1">
        <f t="shared" si="226"/>
        <v>0.57499999999999996</v>
      </c>
      <c r="O415" s="1">
        <f t="shared" si="226"/>
        <v>0.52500000000000002</v>
      </c>
      <c r="P415" s="1">
        <f t="shared" si="226"/>
        <v>0.47499999999999998</v>
      </c>
      <c r="Q415" s="1">
        <f t="shared" si="226"/>
        <v>0.42500000000000004</v>
      </c>
      <c r="R415" s="1">
        <f t="shared" si="226"/>
        <v>0.375</v>
      </c>
      <c r="S415" s="1">
        <f t="shared" si="226"/>
        <v>0.32500000000000001</v>
      </c>
      <c r="T415" s="1">
        <f t="shared" si="226"/>
        <v>0.27500000000000002</v>
      </c>
      <c r="U415" s="1">
        <f t="shared" si="226"/>
        <v>0.22500000000000023</v>
      </c>
      <c r="V415" s="1">
        <f t="shared" si="226"/>
        <v>0.17499999999999999</v>
      </c>
      <c r="W415" s="1">
        <f t="shared" si="226"/>
        <v>0.12500000000000036</v>
      </c>
      <c r="X415" s="1">
        <f t="shared" si="226"/>
        <v>7.5000000000000011E-2</v>
      </c>
      <c r="Y415" s="1">
        <f t="shared" si="226"/>
        <v>2.4999999999999994E-2</v>
      </c>
      <c r="Z415" s="1">
        <f t="shared" si="226"/>
        <v>-2.4999999999999994E-2</v>
      </c>
      <c r="AA415" s="1">
        <f t="shared" si="226"/>
        <v>-7.4999999999999983E-2</v>
      </c>
      <c r="AB415" s="1">
        <f t="shared" si="226"/>
        <v>-0.12499999999999997</v>
      </c>
      <c r="AC415" s="1">
        <f t="shared" si="226"/>
        <v>-0.17500000000000002</v>
      </c>
      <c r="AD415" s="1">
        <f t="shared" si="226"/>
        <v>-0.22500000000000001</v>
      </c>
      <c r="AE415" s="1">
        <f t="shared" si="226"/>
        <v>-0.27500000000000002</v>
      </c>
      <c r="AF415" s="1">
        <f t="shared" si="226"/>
        <v>-0.32500000000000007</v>
      </c>
      <c r="AG415" s="1">
        <f t="shared" si="226"/>
        <v>-0.375</v>
      </c>
      <c r="AH415" s="1">
        <f t="shared" si="226"/>
        <v>-0.42500000000000004</v>
      </c>
      <c r="AI415" s="1">
        <f t="shared" si="226"/>
        <v>-0.47499999999999998</v>
      </c>
      <c r="AJ415" s="1">
        <f t="shared" si="226"/>
        <v>-0.52500000000000002</v>
      </c>
      <c r="AK415" s="1">
        <f t="shared" si="226"/>
        <v>-0.57500000000000007</v>
      </c>
      <c r="AL415" s="1">
        <f t="shared" si="226"/>
        <v>-0.625</v>
      </c>
      <c r="AM415" s="1">
        <f t="shared" si="226"/>
        <v>-0.67499999999999949</v>
      </c>
      <c r="AN415" s="1">
        <f t="shared" si="226"/>
        <v>-0.72499999999999998</v>
      </c>
      <c r="AO415" s="1">
        <f t="shared" si="226"/>
        <v>-0.77500000000000002</v>
      </c>
    </row>
    <row r="416" spans="2:41">
      <c r="B416" s="1">
        <f t="shared" ref="B416:AO416" si="227">$AA$111-B$109</f>
        <v>1.2250000000000001</v>
      </c>
      <c r="C416" s="1">
        <f t="shared" si="227"/>
        <v>1.175</v>
      </c>
      <c r="D416" s="1">
        <f t="shared" si="227"/>
        <v>1.125</v>
      </c>
      <c r="E416" s="1">
        <f t="shared" si="227"/>
        <v>1.0750000000000002</v>
      </c>
      <c r="F416" s="1">
        <f t="shared" si="227"/>
        <v>1.0249999999999999</v>
      </c>
      <c r="G416" s="1">
        <f t="shared" si="227"/>
        <v>0.97499999999999998</v>
      </c>
      <c r="H416" s="1">
        <f t="shared" si="227"/>
        <v>0.92500000000000004</v>
      </c>
      <c r="I416" s="1">
        <f t="shared" si="227"/>
        <v>0.875</v>
      </c>
      <c r="J416" s="1">
        <f t="shared" si="227"/>
        <v>0.82500000000000007</v>
      </c>
      <c r="K416" s="1">
        <f t="shared" si="227"/>
        <v>0.77500000000000002</v>
      </c>
      <c r="L416" s="1">
        <f t="shared" si="227"/>
        <v>0.72500000000000009</v>
      </c>
      <c r="M416" s="1">
        <f t="shared" si="227"/>
        <v>0.67500000000000004</v>
      </c>
      <c r="N416" s="1">
        <f t="shared" si="227"/>
        <v>0.625</v>
      </c>
      <c r="O416" s="1">
        <f t="shared" si="227"/>
        <v>0.57499999999999996</v>
      </c>
      <c r="P416" s="1">
        <f t="shared" si="227"/>
        <v>0.52500000000000002</v>
      </c>
      <c r="Q416" s="1">
        <f t="shared" si="227"/>
        <v>0.47500000000000003</v>
      </c>
      <c r="R416" s="1">
        <f t="shared" si="227"/>
        <v>0.42500000000000004</v>
      </c>
      <c r="S416" s="1">
        <f t="shared" si="227"/>
        <v>0.375</v>
      </c>
      <c r="T416" s="1">
        <f t="shared" si="227"/>
        <v>0.32500000000000001</v>
      </c>
      <c r="U416" s="1">
        <f t="shared" si="227"/>
        <v>0.27500000000000024</v>
      </c>
      <c r="V416" s="1">
        <f t="shared" si="227"/>
        <v>0.22500000000000003</v>
      </c>
      <c r="W416" s="1">
        <f t="shared" si="227"/>
        <v>0.17500000000000038</v>
      </c>
      <c r="X416" s="1">
        <f t="shared" si="227"/>
        <v>0.12500000000000003</v>
      </c>
      <c r="Y416" s="1">
        <f t="shared" si="227"/>
        <v>7.5000000000000011E-2</v>
      </c>
      <c r="Z416" s="1">
        <f t="shared" si="227"/>
        <v>2.5000000000000022E-2</v>
      </c>
      <c r="AA416" s="1">
        <f t="shared" si="227"/>
        <v>-2.4999999999999967E-2</v>
      </c>
      <c r="AB416" s="1">
        <f t="shared" si="227"/>
        <v>-7.4999999999999956E-2</v>
      </c>
      <c r="AC416" s="1">
        <f t="shared" si="227"/>
        <v>-0.125</v>
      </c>
      <c r="AD416" s="1">
        <f t="shared" si="227"/>
        <v>-0.17499999999999999</v>
      </c>
      <c r="AE416" s="1">
        <f t="shared" si="227"/>
        <v>-0.22499999999999998</v>
      </c>
      <c r="AF416" s="1">
        <f t="shared" si="227"/>
        <v>-0.27500000000000002</v>
      </c>
      <c r="AG416" s="1">
        <f t="shared" si="227"/>
        <v>-0.32499999999999996</v>
      </c>
      <c r="AH416" s="1">
        <f t="shared" si="227"/>
        <v>-0.375</v>
      </c>
      <c r="AI416" s="1">
        <f t="shared" si="227"/>
        <v>-0.42499999999999993</v>
      </c>
      <c r="AJ416" s="1">
        <f t="shared" si="227"/>
        <v>-0.47499999999999998</v>
      </c>
      <c r="AK416" s="1">
        <f t="shared" si="227"/>
        <v>-0.52500000000000002</v>
      </c>
      <c r="AL416" s="1">
        <f t="shared" si="227"/>
        <v>-0.57499999999999996</v>
      </c>
      <c r="AM416" s="1">
        <f t="shared" si="227"/>
        <v>-0.62499999999999944</v>
      </c>
      <c r="AN416" s="1">
        <f t="shared" si="227"/>
        <v>-0.67499999999999993</v>
      </c>
      <c r="AO416" s="1">
        <f t="shared" si="227"/>
        <v>-0.72499999999999998</v>
      </c>
    </row>
    <row r="417" spans="2:41">
      <c r="B417" s="1">
        <f t="shared" ref="B417:AO417" si="228">$AB$111-B$109</f>
        <v>1.2749999999999999</v>
      </c>
      <c r="C417" s="1">
        <f t="shared" si="228"/>
        <v>1.2250000000000001</v>
      </c>
      <c r="D417" s="1">
        <f t="shared" si="228"/>
        <v>1.1749999999999998</v>
      </c>
      <c r="E417" s="1">
        <f t="shared" si="228"/>
        <v>1.125</v>
      </c>
      <c r="F417" s="1">
        <f t="shared" si="228"/>
        <v>1.075</v>
      </c>
      <c r="G417" s="1">
        <f t="shared" si="228"/>
        <v>1.0249999999999999</v>
      </c>
      <c r="H417" s="1">
        <f t="shared" si="228"/>
        <v>0.97499999999999998</v>
      </c>
      <c r="I417" s="1">
        <f t="shared" si="228"/>
        <v>0.92499999999999993</v>
      </c>
      <c r="J417" s="1">
        <f t="shared" si="228"/>
        <v>0.875</v>
      </c>
      <c r="K417" s="1">
        <f t="shared" si="228"/>
        <v>0.82499999999999996</v>
      </c>
      <c r="L417" s="1">
        <f t="shared" si="228"/>
        <v>0.77499999999999991</v>
      </c>
      <c r="M417" s="1">
        <f t="shared" si="228"/>
        <v>0.72499999999999998</v>
      </c>
      <c r="N417" s="1">
        <f t="shared" si="228"/>
        <v>0.67499999999999993</v>
      </c>
      <c r="O417" s="1">
        <f t="shared" si="228"/>
        <v>0.625</v>
      </c>
      <c r="P417" s="1">
        <f t="shared" si="228"/>
        <v>0.57499999999999996</v>
      </c>
      <c r="Q417" s="1">
        <f t="shared" si="228"/>
        <v>0.52499999999999991</v>
      </c>
      <c r="R417" s="1">
        <f t="shared" si="228"/>
        <v>0.47499999999999998</v>
      </c>
      <c r="S417" s="1">
        <f t="shared" si="228"/>
        <v>0.42499999999999993</v>
      </c>
      <c r="T417" s="1">
        <f t="shared" si="228"/>
        <v>0.37499999999999994</v>
      </c>
      <c r="U417" s="1">
        <f t="shared" si="228"/>
        <v>0.32500000000000018</v>
      </c>
      <c r="V417" s="1">
        <f t="shared" si="228"/>
        <v>0.27499999999999997</v>
      </c>
      <c r="W417" s="1">
        <f t="shared" si="228"/>
        <v>0.22500000000000031</v>
      </c>
      <c r="X417" s="1">
        <f t="shared" si="228"/>
        <v>0.17499999999999996</v>
      </c>
      <c r="Y417" s="1">
        <f t="shared" si="228"/>
        <v>0.12499999999999994</v>
      </c>
      <c r="Z417" s="1">
        <f t="shared" si="228"/>
        <v>7.4999999999999956E-2</v>
      </c>
      <c r="AA417" s="1">
        <f t="shared" si="228"/>
        <v>2.4999999999999967E-2</v>
      </c>
      <c r="AB417" s="1">
        <f t="shared" si="228"/>
        <v>-2.5000000000000022E-2</v>
      </c>
      <c r="AC417" s="1">
        <f t="shared" si="228"/>
        <v>-7.5000000000000067E-2</v>
      </c>
      <c r="AD417" s="1">
        <f t="shared" si="228"/>
        <v>-0.12500000000000006</v>
      </c>
      <c r="AE417" s="1">
        <f t="shared" si="228"/>
        <v>-0.17500000000000004</v>
      </c>
      <c r="AF417" s="1">
        <f t="shared" si="228"/>
        <v>-0.22500000000000009</v>
      </c>
      <c r="AG417" s="1">
        <f t="shared" si="228"/>
        <v>-0.27500000000000002</v>
      </c>
      <c r="AH417" s="1">
        <f t="shared" si="228"/>
        <v>-0.32500000000000007</v>
      </c>
      <c r="AI417" s="1">
        <f t="shared" si="228"/>
        <v>-0.375</v>
      </c>
      <c r="AJ417" s="1">
        <f t="shared" si="228"/>
        <v>-0.42500000000000004</v>
      </c>
      <c r="AK417" s="1">
        <f t="shared" si="228"/>
        <v>-0.47500000000000009</v>
      </c>
      <c r="AL417" s="1">
        <f t="shared" si="228"/>
        <v>-0.52500000000000002</v>
      </c>
      <c r="AM417" s="1">
        <f t="shared" si="228"/>
        <v>-0.57499999999999951</v>
      </c>
      <c r="AN417" s="1">
        <f t="shared" si="228"/>
        <v>-0.625</v>
      </c>
      <c r="AO417" s="1">
        <f t="shared" si="228"/>
        <v>-0.67500000000000004</v>
      </c>
    </row>
    <row r="418" spans="2:41">
      <c r="B418" s="1">
        <f t="shared" ref="B418:AO418" si="229">$AC$111-B$109</f>
        <v>1.325</v>
      </c>
      <c r="C418" s="1">
        <f t="shared" si="229"/>
        <v>1.2749999999999999</v>
      </c>
      <c r="D418" s="1">
        <f t="shared" si="229"/>
        <v>1.2250000000000001</v>
      </c>
      <c r="E418" s="1">
        <f t="shared" si="229"/>
        <v>1.175</v>
      </c>
      <c r="F418" s="1">
        <f t="shared" si="229"/>
        <v>1.125</v>
      </c>
      <c r="G418" s="1">
        <f t="shared" si="229"/>
        <v>1.075</v>
      </c>
      <c r="H418" s="1">
        <f t="shared" si="229"/>
        <v>1.0249999999999999</v>
      </c>
      <c r="I418" s="1">
        <f t="shared" si="229"/>
        <v>0.97499999999999998</v>
      </c>
      <c r="J418" s="1">
        <f t="shared" si="229"/>
        <v>0.92500000000000004</v>
      </c>
      <c r="K418" s="1">
        <f t="shared" si="229"/>
        <v>0.875</v>
      </c>
      <c r="L418" s="1">
        <f t="shared" si="229"/>
        <v>0.82499999999999996</v>
      </c>
      <c r="M418" s="1">
        <f t="shared" si="229"/>
        <v>0.77500000000000002</v>
      </c>
      <c r="N418" s="1">
        <f t="shared" si="229"/>
        <v>0.72499999999999998</v>
      </c>
      <c r="O418" s="1">
        <f t="shared" si="229"/>
        <v>0.67500000000000004</v>
      </c>
      <c r="P418" s="1">
        <f t="shared" si="229"/>
        <v>0.625</v>
      </c>
      <c r="Q418" s="1">
        <f t="shared" si="229"/>
        <v>0.57499999999999996</v>
      </c>
      <c r="R418" s="1">
        <f t="shared" si="229"/>
        <v>0.52500000000000002</v>
      </c>
      <c r="S418" s="1">
        <f t="shared" si="229"/>
        <v>0.47499999999999998</v>
      </c>
      <c r="T418" s="1">
        <f t="shared" si="229"/>
        <v>0.42499999999999999</v>
      </c>
      <c r="U418" s="1">
        <f t="shared" si="229"/>
        <v>0.37500000000000022</v>
      </c>
      <c r="V418" s="1">
        <f t="shared" si="229"/>
        <v>0.32500000000000001</v>
      </c>
      <c r="W418" s="1">
        <f t="shared" si="229"/>
        <v>0.27500000000000036</v>
      </c>
      <c r="X418" s="1">
        <f t="shared" si="229"/>
        <v>0.22500000000000001</v>
      </c>
      <c r="Y418" s="1">
        <f t="shared" si="229"/>
        <v>0.17499999999999999</v>
      </c>
      <c r="Z418" s="1">
        <f t="shared" si="229"/>
        <v>0.125</v>
      </c>
      <c r="AA418" s="1">
        <f t="shared" si="229"/>
        <v>7.5000000000000011E-2</v>
      </c>
      <c r="AB418" s="1">
        <f t="shared" si="229"/>
        <v>2.5000000000000022E-2</v>
      </c>
      <c r="AC418" s="1">
        <f t="shared" si="229"/>
        <v>-2.5000000000000022E-2</v>
      </c>
      <c r="AD418" s="1">
        <f t="shared" si="229"/>
        <v>-7.5000000000000011E-2</v>
      </c>
      <c r="AE418" s="1">
        <f t="shared" si="229"/>
        <v>-0.125</v>
      </c>
      <c r="AF418" s="1">
        <f t="shared" si="229"/>
        <v>-0.17500000000000004</v>
      </c>
      <c r="AG418" s="1">
        <f t="shared" si="229"/>
        <v>-0.22499999999999998</v>
      </c>
      <c r="AH418" s="1">
        <f t="shared" si="229"/>
        <v>-0.27500000000000002</v>
      </c>
      <c r="AI418" s="1">
        <f t="shared" si="229"/>
        <v>-0.32499999999999996</v>
      </c>
      <c r="AJ418" s="1">
        <f t="shared" si="229"/>
        <v>-0.375</v>
      </c>
      <c r="AK418" s="1">
        <f t="shared" si="229"/>
        <v>-0.42500000000000004</v>
      </c>
      <c r="AL418" s="1">
        <f t="shared" si="229"/>
        <v>-0.47499999999999998</v>
      </c>
      <c r="AM418" s="1">
        <f t="shared" si="229"/>
        <v>-0.52499999999999947</v>
      </c>
      <c r="AN418" s="1">
        <f t="shared" si="229"/>
        <v>-0.57499999999999996</v>
      </c>
      <c r="AO418" s="1">
        <f t="shared" si="229"/>
        <v>-0.625</v>
      </c>
    </row>
    <row r="419" spans="2:41">
      <c r="B419" s="1">
        <f t="shared" ref="B419:AO419" si="230">$AD$111-B$109</f>
        <v>1.375</v>
      </c>
      <c r="C419" s="1">
        <f t="shared" si="230"/>
        <v>1.3250000000000002</v>
      </c>
      <c r="D419" s="1">
        <f t="shared" si="230"/>
        <v>1.2749999999999999</v>
      </c>
      <c r="E419" s="1">
        <f t="shared" si="230"/>
        <v>1.2250000000000001</v>
      </c>
      <c r="F419" s="1">
        <f t="shared" si="230"/>
        <v>1.175</v>
      </c>
      <c r="G419" s="1">
        <f t="shared" si="230"/>
        <v>1.125</v>
      </c>
      <c r="H419" s="1">
        <f t="shared" si="230"/>
        <v>1.0750000000000002</v>
      </c>
      <c r="I419" s="1">
        <f t="shared" si="230"/>
        <v>1.0249999999999999</v>
      </c>
      <c r="J419" s="1">
        <f t="shared" si="230"/>
        <v>0.97500000000000009</v>
      </c>
      <c r="K419" s="1">
        <f t="shared" si="230"/>
        <v>0.92500000000000004</v>
      </c>
      <c r="L419" s="1">
        <f t="shared" si="230"/>
        <v>0.875</v>
      </c>
      <c r="M419" s="1">
        <f t="shared" si="230"/>
        <v>0.82500000000000007</v>
      </c>
      <c r="N419" s="1">
        <f t="shared" si="230"/>
        <v>0.77500000000000002</v>
      </c>
      <c r="O419" s="1">
        <f t="shared" si="230"/>
        <v>0.72500000000000009</v>
      </c>
      <c r="P419" s="1">
        <f t="shared" si="230"/>
        <v>0.67500000000000004</v>
      </c>
      <c r="Q419" s="1">
        <f t="shared" si="230"/>
        <v>0.625</v>
      </c>
      <c r="R419" s="1">
        <f t="shared" si="230"/>
        <v>0.57500000000000007</v>
      </c>
      <c r="S419" s="1">
        <f t="shared" si="230"/>
        <v>0.52500000000000002</v>
      </c>
      <c r="T419" s="1">
        <f t="shared" si="230"/>
        <v>0.47500000000000003</v>
      </c>
      <c r="U419" s="1">
        <f t="shared" si="230"/>
        <v>0.42500000000000027</v>
      </c>
      <c r="V419" s="1">
        <f t="shared" si="230"/>
        <v>0.37500000000000006</v>
      </c>
      <c r="W419" s="1">
        <f t="shared" si="230"/>
        <v>0.3250000000000004</v>
      </c>
      <c r="X419" s="1">
        <f t="shared" si="230"/>
        <v>0.27500000000000002</v>
      </c>
      <c r="Y419" s="1">
        <f t="shared" si="230"/>
        <v>0.22500000000000003</v>
      </c>
      <c r="Z419" s="1">
        <f t="shared" si="230"/>
        <v>0.17500000000000004</v>
      </c>
      <c r="AA419" s="1">
        <f t="shared" si="230"/>
        <v>0.12500000000000006</v>
      </c>
      <c r="AB419" s="1">
        <f t="shared" si="230"/>
        <v>7.5000000000000067E-2</v>
      </c>
      <c r="AC419" s="1">
        <f t="shared" si="230"/>
        <v>2.5000000000000022E-2</v>
      </c>
      <c r="AD419" s="1">
        <f t="shared" si="230"/>
        <v>-2.4999999999999967E-2</v>
      </c>
      <c r="AE419" s="1">
        <f t="shared" si="230"/>
        <v>-7.4999999999999956E-2</v>
      </c>
      <c r="AF419" s="1">
        <f t="shared" si="230"/>
        <v>-0.125</v>
      </c>
      <c r="AG419" s="1">
        <f t="shared" si="230"/>
        <v>-0.17499999999999993</v>
      </c>
      <c r="AH419" s="1">
        <f t="shared" si="230"/>
        <v>-0.22499999999999998</v>
      </c>
      <c r="AI419" s="1">
        <f t="shared" si="230"/>
        <v>-0.27499999999999991</v>
      </c>
      <c r="AJ419" s="1">
        <f t="shared" si="230"/>
        <v>-0.32499999999999996</v>
      </c>
      <c r="AK419" s="1">
        <f t="shared" si="230"/>
        <v>-0.375</v>
      </c>
      <c r="AL419" s="1">
        <f t="shared" si="230"/>
        <v>-0.42499999999999993</v>
      </c>
      <c r="AM419" s="1">
        <f t="shared" si="230"/>
        <v>-0.47499999999999942</v>
      </c>
      <c r="AN419" s="1">
        <f t="shared" si="230"/>
        <v>-0.52499999999999991</v>
      </c>
      <c r="AO419" s="1">
        <f t="shared" si="230"/>
        <v>-0.57499999999999996</v>
      </c>
    </row>
    <row r="420" spans="2:41">
      <c r="B420" s="1">
        <f t="shared" ref="B420:AO420" si="231">$AE$111-B$109</f>
        <v>1.4249999999999998</v>
      </c>
      <c r="C420" s="1">
        <f t="shared" si="231"/>
        <v>1.375</v>
      </c>
      <c r="D420" s="1">
        <f t="shared" si="231"/>
        <v>1.325</v>
      </c>
      <c r="E420" s="1">
        <f t="shared" si="231"/>
        <v>1.2749999999999999</v>
      </c>
      <c r="F420" s="1">
        <f t="shared" si="231"/>
        <v>1.2250000000000001</v>
      </c>
      <c r="G420" s="1">
        <f t="shared" si="231"/>
        <v>1.1749999999999998</v>
      </c>
      <c r="H420" s="1">
        <f t="shared" si="231"/>
        <v>1.125</v>
      </c>
      <c r="I420" s="1">
        <f t="shared" si="231"/>
        <v>1.075</v>
      </c>
      <c r="J420" s="1">
        <f t="shared" si="231"/>
        <v>1.0249999999999999</v>
      </c>
      <c r="K420" s="1">
        <f t="shared" si="231"/>
        <v>0.97499999999999998</v>
      </c>
      <c r="L420" s="1">
        <f t="shared" si="231"/>
        <v>0.92500000000000004</v>
      </c>
      <c r="M420" s="1">
        <f t="shared" si="231"/>
        <v>0.875</v>
      </c>
      <c r="N420" s="1">
        <f t="shared" si="231"/>
        <v>0.82499999999999996</v>
      </c>
      <c r="O420" s="1">
        <f t="shared" si="231"/>
        <v>0.77499999999999991</v>
      </c>
      <c r="P420" s="1">
        <f t="shared" si="231"/>
        <v>0.72499999999999998</v>
      </c>
      <c r="Q420" s="1">
        <f t="shared" si="231"/>
        <v>0.67500000000000004</v>
      </c>
      <c r="R420" s="1">
        <f t="shared" si="231"/>
        <v>0.625</v>
      </c>
      <c r="S420" s="1">
        <f t="shared" si="231"/>
        <v>0.57499999999999996</v>
      </c>
      <c r="T420" s="1">
        <f t="shared" si="231"/>
        <v>0.52500000000000002</v>
      </c>
      <c r="U420" s="1">
        <f t="shared" si="231"/>
        <v>0.4750000000000002</v>
      </c>
      <c r="V420" s="1">
        <f t="shared" si="231"/>
        <v>0.42499999999999999</v>
      </c>
      <c r="W420" s="1">
        <f t="shared" si="231"/>
        <v>0.37500000000000033</v>
      </c>
      <c r="X420" s="1">
        <f t="shared" si="231"/>
        <v>0.32499999999999996</v>
      </c>
      <c r="Y420" s="1">
        <f t="shared" si="231"/>
        <v>0.27499999999999997</v>
      </c>
      <c r="Z420" s="1">
        <f t="shared" si="231"/>
        <v>0.22499999999999998</v>
      </c>
      <c r="AA420" s="1">
        <f t="shared" si="231"/>
        <v>0.17499999999999999</v>
      </c>
      <c r="AB420" s="1">
        <f t="shared" si="231"/>
        <v>0.125</v>
      </c>
      <c r="AC420" s="1">
        <f t="shared" si="231"/>
        <v>7.4999999999999956E-2</v>
      </c>
      <c r="AD420" s="1">
        <f t="shared" si="231"/>
        <v>2.4999999999999967E-2</v>
      </c>
      <c r="AE420" s="1">
        <f t="shared" si="231"/>
        <v>-2.5000000000000022E-2</v>
      </c>
      <c r="AF420" s="1">
        <f t="shared" si="231"/>
        <v>-7.5000000000000067E-2</v>
      </c>
      <c r="AG420" s="1">
        <f t="shared" si="231"/>
        <v>-0.125</v>
      </c>
      <c r="AH420" s="1">
        <f t="shared" si="231"/>
        <v>-0.17500000000000004</v>
      </c>
      <c r="AI420" s="1">
        <f t="shared" si="231"/>
        <v>-0.22499999999999998</v>
      </c>
      <c r="AJ420" s="1">
        <f t="shared" si="231"/>
        <v>-0.27500000000000002</v>
      </c>
      <c r="AK420" s="1">
        <f t="shared" si="231"/>
        <v>-0.32500000000000007</v>
      </c>
      <c r="AL420" s="1">
        <f t="shared" si="231"/>
        <v>-0.375</v>
      </c>
      <c r="AM420" s="1">
        <f t="shared" si="231"/>
        <v>-0.42499999999999949</v>
      </c>
      <c r="AN420" s="1">
        <f t="shared" si="231"/>
        <v>-0.47499999999999998</v>
      </c>
      <c r="AO420" s="1">
        <f t="shared" si="231"/>
        <v>-0.52500000000000002</v>
      </c>
    </row>
    <row r="421" spans="2:41">
      <c r="B421" s="1">
        <f t="shared" ref="B421:AO421" si="232">$AF$111-B$109</f>
        <v>1.4750000000000001</v>
      </c>
      <c r="C421" s="1">
        <f t="shared" si="232"/>
        <v>1.425</v>
      </c>
      <c r="D421" s="1">
        <f t="shared" si="232"/>
        <v>1.375</v>
      </c>
      <c r="E421" s="1">
        <f t="shared" si="232"/>
        <v>1.3250000000000002</v>
      </c>
      <c r="F421" s="1">
        <f t="shared" si="232"/>
        <v>1.2749999999999999</v>
      </c>
      <c r="G421" s="1">
        <f t="shared" si="232"/>
        <v>1.2250000000000001</v>
      </c>
      <c r="H421" s="1">
        <f t="shared" si="232"/>
        <v>1.175</v>
      </c>
      <c r="I421" s="1">
        <f t="shared" si="232"/>
        <v>1.125</v>
      </c>
      <c r="J421" s="1">
        <f t="shared" si="232"/>
        <v>1.0750000000000002</v>
      </c>
      <c r="K421" s="1">
        <f t="shared" si="232"/>
        <v>1.0249999999999999</v>
      </c>
      <c r="L421" s="1">
        <f t="shared" si="232"/>
        <v>0.97500000000000009</v>
      </c>
      <c r="M421" s="1">
        <f t="shared" si="232"/>
        <v>0.92500000000000004</v>
      </c>
      <c r="N421" s="1">
        <f t="shared" si="232"/>
        <v>0.875</v>
      </c>
      <c r="O421" s="1">
        <f t="shared" si="232"/>
        <v>0.82499999999999996</v>
      </c>
      <c r="P421" s="1">
        <f t="shared" si="232"/>
        <v>0.77500000000000002</v>
      </c>
      <c r="Q421" s="1">
        <f t="shared" si="232"/>
        <v>0.72500000000000009</v>
      </c>
      <c r="R421" s="1">
        <f t="shared" si="232"/>
        <v>0.67500000000000004</v>
      </c>
      <c r="S421" s="1">
        <f t="shared" si="232"/>
        <v>0.625</v>
      </c>
      <c r="T421" s="1">
        <f t="shared" si="232"/>
        <v>0.57500000000000007</v>
      </c>
      <c r="U421" s="1">
        <f t="shared" si="232"/>
        <v>0.52500000000000024</v>
      </c>
      <c r="V421" s="1">
        <f t="shared" si="232"/>
        <v>0.47500000000000003</v>
      </c>
      <c r="W421" s="1">
        <f t="shared" si="232"/>
        <v>0.42500000000000038</v>
      </c>
      <c r="X421" s="1">
        <f t="shared" si="232"/>
        <v>0.375</v>
      </c>
      <c r="Y421" s="1">
        <f t="shared" si="232"/>
        <v>0.32500000000000001</v>
      </c>
      <c r="Z421" s="1">
        <f t="shared" si="232"/>
        <v>0.27500000000000002</v>
      </c>
      <c r="AA421" s="1">
        <f t="shared" si="232"/>
        <v>0.22500000000000003</v>
      </c>
      <c r="AB421" s="1">
        <f t="shared" si="232"/>
        <v>0.17500000000000004</v>
      </c>
      <c r="AC421" s="1">
        <f t="shared" si="232"/>
        <v>0.125</v>
      </c>
      <c r="AD421" s="1">
        <f t="shared" si="232"/>
        <v>7.5000000000000011E-2</v>
      </c>
      <c r="AE421" s="1">
        <f t="shared" si="232"/>
        <v>2.5000000000000022E-2</v>
      </c>
      <c r="AF421" s="1">
        <f t="shared" si="232"/>
        <v>-2.5000000000000022E-2</v>
      </c>
      <c r="AG421" s="1">
        <f t="shared" si="232"/>
        <v>-7.4999999999999956E-2</v>
      </c>
      <c r="AH421" s="1">
        <f t="shared" si="232"/>
        <v>-0.125</v>
      </c>
      <c r="AI421" s="1">
        <f t="shared" si="232"/>
        <v>-0.17499999999999993</v>
      </c>
      <c r="AJ421" s="1">
        <f t="shared" si="232"/>
        <v>-0.22499999999999998</v>
      </c>
      <c r="AK421" s="1">
        <f t="shared" si="232"/>
        <v>-0.27500000000000002</v>
      </c>
      <c r="AL421" s="1">
        <f t="shared" si="232"/>
        <v>-0.32499999999999996</v>
      </c>
      <c r="AM421" s="1">
        <f t="shared" si="232"/>
        <v>-0.37499999999999944</v>
      </c>
      <c r="AN421" s="1">
        <f t="shared" si="232"/>
        <v>-0.42499999999999993</v>
      </c>
      <c r="AO421" s="1">
        <f t="shared" si="232"/>
        <v>-0.47499999999999998</v>
      </c>
    </row>
    <row r="422" spans="2:41">
      <c r="B422" s="1">
        <f t="shared" ref="B422:AO422" si="233">$AG$111-B$109</f>
        <v>1.5249999999999999</v>
      </c>
      <c r="C422" s="1">
        <f t="shared" si="233"/>
        <v>1.4750000000000001</v>
      </c>
      <c r="D422" s="1">
        <f t="shared" si="233"/>
        <v>1.4249999999999998</v>
      </c>
      <c r="E422" s="1">
        <f t="shared" si="233"/>
        <v>1.375</v>
      </c>
      <c r="F422" s="1">
        <f t="shared" si="233"/>
        <v>1.325</v>
      </c>
      <c r="G422" s="1">
        <f t="shared" si="233"/>
        <v>1.2749999999999999</v>
      </c>
      <c r="H422" s="1">
        <f t="shared" si="233"/>
        <v>1.2250000000000001</v>
      </c>
      <c r="I422" s="1">
        <f t="shared" si="233"/>
        <v>1.1749999999999998</v>
      </c>
      <c r="J422" s="1">
        <f t="shared" si="233"/>
        <v>1.125</v>
      </c>
      <c r="K422" s="1">
        <f t="shared" si="233"/>
        <v>1.075</v>
      </c>
      <c r="L422" s="1">
        <f t="shared" si="233"/>
        <v>1.0249999999999999</v>
      </c>
      <c r="M422" s="1">
        <f t="shared" si="233"/>
        <v>0.97499999999999998</v>
      </c>
      <c r="N422" s="1">
        <f t="shared" si="233"/>
        <v>0.92499999999999993</v>
      </c>
      <c r="O422" s="1">
        <f t="shared" si="233"/>
        <v>0.875</v>
      </c>
      <c r="P422" s="1">
        <f t="shared" si="233"/>
        <v>0.82499999999999996</v>
      </c>
      <c r="Q422" s="1">
        <f t="shared" si="233"/>
        <v>0.77499999999999991</v>
      </c>
      <c r="R422" s="1">
        <f t="shared" si="233"/>
        <v>0.72499999999999998</v>
      </c>
      <c r="S422" s="1">
        <f t="shared" si="233"/>
        <v>0.67499999999999993</v>
      </c>
      <c r="T422" s="1">
        <f t="shared" si="233"/>
        <v>0.625</v>
      </c>
      <c r="U422" s="1">
        <f t="shared" si="233"/>
        <v>0.57500000000000018</v>
      </c>
      <c r="V422" s="1">
        <f t="shared" si="233"/>
        <v>0.52499999999999991</v>
      </c>
      <c r="W422" s="1">
        <f t="shared" si="233"/>
        <v>0.47500000000000031</v>
      </c>
      <c r="X422" s="1">
        <f t="shared" si="233"/>
        <v>0.42499999999999993</v>
      </c>
      <c r="Y422" s="1">
        <f t="shared" si="233"/>
        <v>0.37499999999999994</v>
      </c>
      <c r="Z422" s="1">
        <f t="shared" si="233"/>
        <v>0.32499999999999996</v>
      </c>
      <c r="AA422" s="1">
        <f t="shared" si="233"/>
        <v>0.27499999999999997</v>
      </c>
      <c r="AB422" s="1">
        <f t="shared" si="233"/>
        <v>0.22499999999999998</v>
      </c>
      <c r="AC422" s="1">
        <f t="shared" si="233"/>
        <v>0.17499999999999993</v>
      </c>
      <c r="AD422" s="1">
        <f t="shared" si="233"/>
        <v>0.12499999999999994</v>
      </c>
      <c r="AE422" s="1">
        <f t="shared" si="233"/>
        <v>7.4999999999999956E-2</v>
      </c>
      <c r="AF422" s="1">
        <f t="shared" si="233"/>
        <v>2.4999999999999911E-2</v>
      </c>
      <c r="AG422" s="1">
        <f t="shared" si="233"/>
        <v>-2.5000000000000022E-2</v>
      </c>
      <c r="AH422" s="1">
        <f t="shared" si="233"/>
        <v>-7.5000000000000067E-2</v>
      </c>
      <c r="AI422" s="1">
        <f t="shared" si="233"/>
        <v>-0.125</v>
      </c>
      <c r="AJ422" s="1">
        <f t="shared" si="233"/>
        <v>-0.17500000000000004</v>
      </c>
      <c r="AK422" s="1">
        <f t="shared" si="233"/>
        <v>-0.22500000000000009</v>
      </c>
      <c r="AL422" s="1">
        <f t="shared" si="233"/>
        <v>-0.27500000000000002</v>
      </c>
      <c r="AM422" s="1">
        <f t="shared" si="233"/>
        <v>-0.32499999999999951</v>
      </c>
      <c r="AN422" s="1">
        <f t="shared" si="233"/>
        <v>-0.375</v>
      </c>
      <c r="AO422" s="1">
        <f t="shared" si="233"/>
        <v>-0.42500000000000004</v>
      </c>
    </row>
    <row r="423" spans="2:41">
      <c r="B423" s="1">
        <f t="shared" ref="B423:AO423" si="234">$AH$111-B$109</f>
        <v>1.575</v>
      </c>
      <c r="C423" s="1">
        <f t="shared" si="234"/>
        <v>1.5249999999999999</v>
      </c>
      <c r="D423" s="1">
        <f t="shared" si="234"/>
        <v>1.4750000000000001</v>
      </c>
      <c r="E423" s="1">
        <f t="shared" si="234"/>
        <v>1.425</v>
      </c>
      <c r="F423" s="1">
        <f t="shared" si="234"/>
        <v>1.375</v>
      </c>
      <c r="G423" s="1">
        <f t="shared" si="234"/>
        <v>1.325</v>
      </c>
      <c r="H423" s="1">
        <f t="shared" si="234"/>
        <v>1.2749999999999999</v>
      </c>
      <c r="I423" s="1">
        <f t="shared" si="234"/>
        <v>1.2250000000000001</v>
      </c>
      <c r="J423" s="1">
        <f t="shared" si="234"/>
        <v>1.175</v>
      </c>
      <c r="K423" s="1">
        <f t="shared" si="234"/>
        <v>1.125</v>
      </c>
      <c r="L423" s="1">
        <f t="shared" si="234"/>
        <v>1.075</v>
      </c>
      <c r="M423" s="1">
        <f t="shared" si="234"/>
        <v>1.0249999999999999</v>
      </c>
      <c r="N423" s="1">
        <f t="shared" si="234"/>
        <v>0.97499999999999998</v>
      </c>
      <c r="O423" s="1">
        <f t="shared" si="234"/>
        <v>0.92500000000000004</v>
      </c>
      <c r="P423" s="1">
        <f t="shared" si="234"/>
        <v>0.875</v>
      </c>
      <c r="Q423" s="1">
        <f t="shared" si="234"/>
        <v>0.82499999999999996</v>
      </c>
      <c r="R423" s="1">
        <f t="shared" si="234"/>
        <v>0.77500000000000002</v>
      </c>
      <c r="S423" s="1">
        <f t="shared" si="234"/>
        <v>0.72499999999999998</v>
      </c>
      <c r="T423" s="1">
        <f t="shared" si="234"/>
        <v>0.67500000000000004</v>
      </c>
      <c r="U423" s="1">
        <f t="shared" si="234"/>
        <v>0.62500000000000022</v>
      </c>
      <c r="V423" s="1">
        <f t="shared" si="234"/>
        <v>0.57499999999999996</v>
      </c>
      <c r="W423" s="1">
        <f t="shared" si="234"/>
        <v>0.52500000000000036</v>
      </c>
      <c r="X423" s="1">
        <f t="shared" si="234"/>
        <v>0.47499999999999998</v>
      </c>
      <c r="Y423" s="1">
        <f t="shared" si="234"/>
        <v>0.42499999999999999</v>
      </c>
      <c r="Z423" s="1">
        <f t="shared" si="234"/>
        <v>0.375</v>
      </c>
      <c r="AA423" s="1">
        <f t="shared" si="234"/>
        <v>0.32500000000000001</v>
      </c>
      <c r="AB423" s="1">
        <f t="shared" si="234"/>
        <v>0.27500000000000002</v>
      </c>
      <c r="AC423" s="1">
        <f t="shared" si="234"/>
        <v>0.22499999999999998</v>
      </c>
      <c r="AD423" s="1">
        <f t="shared" si="234"/>
        <v>0.17499999999999999</v>
      </c>
      <c r="AE423" s="1">
        <f t="shared" si="234"/>
        <v>0.125</v>
      </c>
      <c r="AF423" s="1">
        <f t="shared" si="234"/>
        <v>7.4999999999999956E-2</v>
      </c>
      <c r="AG423" s="1">
        <f t="shared" si="234"/>
        <v>2.5000000000000022E-2</v>
      </c>
      <c r="AH423" s="1">
        <f t="shared" si="234"/>
        <v>-2.5000000000000022E-2</v>
      </c>
      <c r="AI423" s="1">
        <f t="shared" si="234"/>
        <v>-7.4999999999999956E-2</v>
      </c>
      <c r="AJ423" s="1">
        <f t="shared" si="234"/>
        <v>-0.125</v>
      </c>
      <c r="AK423" s="1">
        <f t="shared" si="234"/>
        <v>-0.17500000000000004</v>
      </c>
      <c r="AL423" s="1">
        <f t="shared" si="234"/>
        <v>-0.22499999999999998</v>
      </c>
      <c r="AM423" s="1">
        <f t="shared" si="234"/>
        <v>-0.27499999999999947</v>
      </c>
      <c r="AN423" s="1">
        <f t="shared" si="234"/>
        <v>-0.32499999999999996</v>
      </c>
      <c r="AO423" s="1">
        <f t="shared" si="234"/>
        <v>-0.375</v>
      </c>
    </row>
    <row r="424" spans="2:41">
      <c r="B424" s="1">
        <f t="shared" ref="B424:AO424" si="235">$AI$111-B$109</f>
        <v>1.625</v>
      </c>
      <c r="C424" s="1">
        <f t="shared" si="235"/>
        <v>1.5750000000000002</v>
      </c>
      <c r="D424" s="1">
        <f t="shared" si="235"/>
        <v>1.5249999999999999</v>
      </c>
      <c r="E424" s="1">
        <f t="shared" si="235"/>
        <v>1.4750000000000001</v>
      </c>
      <c r="F424" s="1">
        <f t="shared" si="235"/>
        <v>1.425</v>
      </c>
      <c r="G424" s="1">
        <f t="shared" si="235"/>
        <v>1.375</v>
      </c>
      <c r="H424" s="1">
        <f t="shared" si="235"/>
        <v>1.3250000000000002</v>
      </c>
      <c r="I424" s="1">
        <f t="shared" si="235"/>
        <v>1.2749999999999999</v>
      </c>
      <c r="J424" s="1">
        <f t="shared" si="235"/>
        <v>1.2250000000000001</v>
      </c>
      <c r="K424" s="1">
        <f t="shared" si="235"/>
        <v>1.175</v>
      </c>
      <c r="L424" s="1">
        <f t="shared" si="235"/>
        <v>1.125</v>
      </c>
      <c r="M424" s="1">
        <f t="shared" si="235"/>
        <v>1.0750000000000002</v>
      </c>
      <c r="N424" s="1">
        <f t="shared" si="235"/>
        <v>1.0249999999999999</v>
      </c>
      <c r="O424" s="1">
        <f t="shared" si="235"/>
        <v>0.97500000000000009</v>
      </c>
      <c r="P424" s="1">
        <f t="shared" si="235"/>
        <v>0.92500000000000004</v>
      </c>
      <c r="Q424" s="1">
        <f t="shared" si="235"/>
        <v>0.875</v>
      </c>
      <c r="R424" s="1">
        <f t="shared" si="235"/>
        <v>0.82500000000000007</v>
      </c>
      <c r="S424" s="1">
        <f t="shared" si="235"/>
        <v>0.77500000000000002</v>
      </c>
      <c r="T424" s="1">
        <f t="shared" si="235"/>
        <v>0.72500000000000009</v>
      </c>
      <c r="U424" s="1">
        <f t="shared" si="235"/>
        <v>0.67500000000000027</v>
      </c>
      <c r="V424" s="1">
        <f t="shared" si="235"/>
        <v>0.625</v>
      </c>
      <c r="W424" s="1">
        <f t="shared" si="235"/>
        <v>0.5750000000000004</v>
      </c>
      <c r="X424" s="1">
        <f t="shared" si="235"/>
        <v>0.52500000000000002</v>
      </c>
      <c r="Y424" s="1">
        <f t="shared" si="235"/>
        <v>0.47500000000000003</v>
      </c>
      <c r="Z424" s="1">
        <f t="shared" si="235"/>
        <v>0.42500000000000004</v>
      </c>
      <c r="AA424" s="1">
        <f t="shared" si="235"/>
        <v>0.37500000000000006</v>
      </c>
      <c r="AB424" s="1">
        <f t="shared" si="235"/>
        <v>0.32500000000000007</v>
      </c>
      <c r="AC424" s="1">
        <f t="shared" si="235"/>
        <v>0.27500000000000002</v>
      </c>
      <c r="AD424" s="1">
        <f t="shared" si="235"/>
        <v>0.22500000000000003</v>
      </c>
      <c r="AE424" s="1">
        <f t="shared" si="235"/>
        <v>0.17500000000000004</v>
      </c>
      <c r="AF424" s="1">
        <f t="shared" si="235"/>
        <v>0.125</v>
      </c>
      <c r="AG424" s="1">
        <f t="shared" si="235"/>
        <v>7.5000000000000067E-2</v>
      </c>
      <c r="AH424" s="1">
        <f t="shared" si="235"/>
        <v>2.5000000000000022E-2</v>
      </c>
      <c r="AI424" s="1">
        <f t="shared" si="235"/>
        <v>-2.4999999999999911E-2</v>
      </c>
      <c r="AJ424" s="1">
        <f t="shared" si="235"/>
        <v>-7.4999999999999956E-2</v>
      </c>
      <c r="AK424" s="1">
        <f t="shared" si="235"/>
        <v>-0.125</v>
      </c>
      <c r="AL424" s="1">
        <f t="shared" si="235"/>
        <v>-0.17499999999999993</v>
      </c>
      <c r="AM424" s="1">
        <f t="shared" si="235"/>
        <v>-0.22499999999999942</v>
      </c>
      <c r="AN424" s="1">
        <f t="shared" si="235"/>
        <v>-0.27499999999999991</v>
      </c>
      <c r="AO424" s="1">
        <f t="shared" si="235"/>
        <v>-0.32499999999999996</v>
      </c>
    </row>
    <row r="425" spans="2:41" ht="12" customHeight="1">
      <c r="B425" s="1">
        <f t="shared" ref="B425:AO425" si="236">$AJ$111-B$109</f>
        <v>1.6749999999999998</v>
      </c>
      <c r="C425" s="1">
        <f t="shared" si="236"/>
        <v>1.625</v>
      </c>
      <c r="D425" s="1">
        <f t="shared" si="236"/>
        <v>1.575</v>
      </c>
      <c r="E425" s="1">
        <f t="shared" si="236"/>
        <v>1.5249999999999999</v>
      </c>
      <c r="F425" s="1">
        <f t="shared" si="236"/>
        <v>1.4750000000000001</v>
      </c>
      <c r="G425" s="1">
        <f t="shared" si="236"/>
        <v>1.4249999999999998</v>
      </c>
      <c r="H425" s="1">
        <f t="shared" si="236"/>
        <v>1.375</v>
      </c>
      <c r="I425" s="1">
        <f t="shared" si="236"/>
        <v>1.325</v>
      </c>
      <c r="J425" s="1">
        <f t="shared" si="236"/>
        <v>1.2749999999999999</v>
      </c>
      <c r="K425" s="1">
        <f t="shared" si="236"/>
        <v>1.2250000000000001</v>
      </c>
      <c r="L425" s="1">
        <f t="shared" si="236"/>
        <v>1.175</v>
      </c>
      <c r="M425" s="1">
        <f t="shared" si="236"/>
        <v>1.125</v>
      </c>
      <c r="N425" s="1">
        <f t="shared" si="236"/>
        <v>1.075</v>
      </c>
      <c r="O425" s="1">
        <f t="shared" si="236"/>
        <v>1.0249999999999999</v>
      </c>
      <c r="P425" s="1">
        <f t="shared" si="236"/>
        <v>0.97499999999999998</v>
      </c>
      <c r="Q425" s="1">
        <f t="shared" si="236"/>
        <v>0.92500000000000004</v>
      </c>
      <c r="R425" s="1">
        <f t="shared" si="236"/>
        <v>0.875</v>
      </c>
      <c r="S425" s="1">
        <f t="shared" si="236"/>
        <v>0.82499999999999996</v>
      </c>
      <c r="T425" s="1">
        <f t="shared" si="236"/>
        <v>0.77500000000000002</v>
      </c>
      <c r="U425" s="1">
        <f t="shared" si="236"/>
        <v>0.7250000000000002</v>
      </c>
      <c r="V425" s="1">
        <f t="shared" si="236"/>
        <v>0.67499999999999993</v>
      </c>
      <c r="W425" s="1">
        <f t="shared" si="236"/>
        <v>0.62500000000000033</v>
      </c>
      <c r="X425" s="1">
        <f t="shared" si="236"/>
        <v>0.57499999999999996</v>
      </c>
      <c r="Y425" s="1">
        <f t="shared" si="236"/>
        <v>0.52499999999999991</v>
      </c>
      <c r="Z425" s="1">
        <f t="shared" si="236"/>
        <v>0.47499999999999998</v>
      </c>
      <c r="AA425" s="1">
        <f t="shared" si="236"/>
        <v>0.42499999999999999</v>
      </c>
      <c r="AB425" s="1">
        <f t="shared" si="236"/>
        <v>0.375</v>
      </c>
      <c r="AC425" s="1">
        <f t="shared" si="236"/>
        <v>0.32499999999999996</v>
      </c>
      <c r="AD425" s="1">
        <f t="shared" si="236"/>
        <v>0.27499999999999997</v>
      </c>
      <c r="AE425" s="1">
        <f t="shared" si="236"/>
        <v>0.22499999999999998</v>
      </c>
      <c r="AF425" s="1">
        <f t="shared" si="236"/>
        <v>0.17499999999999993</v>
      </c>
      <c r="AG425" s="1">
        <f t="shared" si="236"/>
        <v>0.125</v>
      </c>
      <c r="AH425" s="1">
        <f t="shared" si="236"/>
        <v>7.4999999999999956E-2</v>
      </c>
      <c r="AI425" s="1">
        <f t="shared" si="236"/>
        <v>2.5000000000000022E-2</v>
      </c>
      <c r="AJ425" s="1">
        <f t="shared" si="236"/>
        <v>-2.5000000000000022E-2</v>
      </c>
      <c r="AK425" s="1">
        <f t="shared" si="236"/>
        <v>-7.5000000000000067E-2</v>
      </c>
      <c r="AL425" s="1">
        <f t="shared" si="236"/>
        <v>-0.125</v>
      </c>
      <c r="AM425" s="1">
        <f t="shared" si="236"/>
        <v>-0.17499999999999949</v>
      </c>
      <c r="AN425" s="1">
        <f t="shared" si="236"/>
        <v>-0.22499999999999998</v>
      </c>
      <c r="AO425" s="1">
        <f t="shared" si="236"/>
        <v>-0.27500000000000002</v>
      </c>
    </row>
    <row r="426" spans="2:41" ht="12" customHeight="1">
      <c r="B426" s="1">
        <f t="shared" ref="B426:AO426" si="237">$AK$111-B$109</f>
        <v>1.7250000000000001</v>
      </c>
      <c r="C426" s="1">
        <f t="shared" si="237"/>
        <v>1.675</v>
      </c>
      <c r="D426" s="1">
        <f t="shared" si="237"/>
        <v>1.625</v>
      </c>
      <c r="E426" s="1">
        <f t="shared" si="237"/>
        <v>1.5750000000000002</v>
      </c>
      <c r="F426" s="1">
        <f t="shared" si="237"/>
        <v>1.5249999999999999</v>
      </c>
      <c r="G426" s="1">
        <f t="shared" si="237"/>
        <v>1.4750000000000001</v>
      </c>
      <c r="H426" s="1">
        <f t="shared" si="237"/>
        <v>1.425</v>
      </c>
      <c r="I426" s="1">
        <f t="shared" si="237"/>
        <v>1.375</v>
      </c>
      <c r="J426" s="1">
        <f t="shared" si="237"/>
        <v>1.3250000000000002</v>
      </c>
      <c r="K426" s="1">
        <f t="shared" si="237"/>
        <v>1.2749999999999999</v>
      </c>
      <c r="L426" s="1">
        <f t="shared" si="237"/>
        <v>1.2250000000000001</v>
      </c>
      <c r="M426" s="1">
        <f t="shared" si="237"/>
        <v>1.175</v>
      </c>
      <c r="N426" s="1">
        <f t="shared" si="237"/>
        <v>1.125</v>
      </c>
      <c r="O426" s="1">
        <f t="shared" si="237"/>
        <v>1.075</v>
      </c>
      <c r="P426" s="1">
        <f t="shared" si="237"/>
        <v>1.0249999999999999</v>
      </c>
      <c r="Q426" s="1">
        <f t="shared" si="237"/>
        <v>0.97500000000000009</v>
      </c>
      <c r="R426" s="1">
        <f t="shared" si="237"/>
        <v>0.92500000000000004</v>
      </c>
      <c r="S426" s="1">
        <f t="shared" si="237"/>
        <v>0.875</v>
      </c>
      <c r="T426" s="1">
        <f t="shared" si="237"/>
        <v>0.82500000000000007</v>
      </c>
      <c r="U426" s="1">
        <f t="shared" si="237"/>
        <v>0.77500000000000024</v>
      </c>
      <c r="V426" s="1">
        <f t="shared" si="237"/>
        <v>0.72499999999999998</v>
      </c>
      <c r="W426" s="1">
        <f t="shared" si="237"/>
        <v>0.67500000000000038</v>
      </c>
      <c r="X426" s="1">
        <f t="shared" si="237"/>
        <v>0.625</v>
      </c>
      <c r="Y426" s="1">
        <f t="shared" si="237"/>
        <v>0.57499999999999996</v>
      </c>
      <c r="Z426" s="1">
        <f t="shared" si="237"/>
        <v>0.52500000000000002</v>
      </c>
      <c r="AA426" s="1">
        <f t="shared" si="237"/>
        <v>0.47500000000000003</v>
      </c>
      <c r="AB426" s="1">
        <f t="shared" si="237"/>
        <v>0.42500000000000004</v>
      </c>
      <c r="AC426" s="1">
        <f t="shared" si="237"/>
        <v>0.375</v>
      </c>
      <c r="AD426" s="1">
        <f t="shared" si="237"/>
        <v>0.32500000000000001</v>
      </c>
      <c r="AE426" s="1">
        <f t="shared" si="237"/>
        <v>0.27500000000000002</v>
      </c>
      <c r="AF426" s="1">
        <f t="shared" si="237"/>
        <v>0.22499999999999998</v>
      </c>
      <c r="AG426" s="1">
        <f t="shared" si="237"/>
        <v>0.17500000000000004</v>
      </c>
      <c r="AH426" s="1">
        <f t="shared" si="237"/>
        <v>0.125</v>
      </c>
      <c r="AI426" s="1">
        <f t="shared" si="237"/>
        <v>7.5000000000000067E-2</v>
      </c>
      <c r="AJ426" s="1">
        <f t="shared" si="237"/>
        <v>2.5000000000000022E-2</v>
      </c>
      <c r="AK426" s="1">
        <f t="shared" si="237"/>
        <v>-2.5000000000000022E-2</v>
      </c>
      <c r="AL426" s="1">
        <f t="shared" si="237"/>
        <v>-7.4999999999999956E-2</v>
      </c>
      <c r="AM426" s="1">
        <f t="shared" si="237"/>
        <v>-0.12499999999999944</v>
      </c>
      <c r="AN426" s="1">
        <f t="shared" si="237"/>
        <v>-0.17499999999999993</v>
      </c>
      <c r="AO426" s="1">
        <f t="shared" si="237"/>
        <v>-0.22499999999999998</v>
      </c>
    </row>
    <row r="427" spans="2:41">
      <c r="B427" s="1">
        <f t="shared" ref="B427:AO427" si="238">$AL$111-B$109</f>
        <v>1.7749999999999999</v>
      </c>
      <c r="C427" s="1">
        <f t="shared" si="238"/>
        <v>1.7250000000000001</v>
      </c>
      <c r="D427" s="1">
        <f t="shared" si="238"/>
        <v>1.6749999999999998</v>
      </c>
      <c r="E427" s="1">
        <f t="shared" si="238"/>
        <v>1.625</v>
      </c>
      <c r="F427" s="1">
        <f t="shared" si="238"/>
        <v>1.575</v>
      </c>
      <c r="G427" s="1">
        <f t="shared" si="238"/>
        <v>1.5249999999999999</v>
      </c>
      <c r="H427" s="1">
        <f t="shared" si="238"/>
        <v>1.4750000000000001</v>
      </c>
      <c r="I427" s="1">
        <f t="shared" si="238"/>
        <v>1.4249999999999998</v>
      </c>
      <c r="J427" s="1">
        <f t="shared" si="238"/>
        <v>1.375</v>
      </c>
      <c r="K427" s="1">
        <f t="shared" si="238"/>
        <v>1.325</v>
      </c>
      <c r="L427" s="1">
        <f t="shared" si="238"/>
        <v>1.2749999999999999</v>
      </c>
      <c r="M427" s="1">
        <f t="shared" si="238"/>
        <v>1.2250000000000001</v>
      </c>
      <c r="N427" s="1">
        <f t="shared" si="238"/>
        <v>1.1749999999999998</v>
      </c>
      <c r="O427" s="1">
        <f t="shared" si="238"/>
        <v>1.125</v>
      </c>
      <c r="P427" s="1">
        <f t="shared" si="238"/>
        <v>1.075</v>
      </c>
      <c r="Q427" s="1">
        <f t="shared" si="238"/>
        <v>1.0249999999999999</v>
      </c>
      <c r="R427" s="1">
        <f t="shared" si="238"/>
        <v>0.97499999999999998</v>
      </c>
      <c r="S427" s="1">
        <f t="shared" si="238"/>
        <v>0.92499999999999993</v>
      </c>
      <c r="T427" s="1">
        <f t="shared" si="238"/>
        <v>0.875</v>
      </c>
      <c r="U427" s="1">
        <f t="shared" si="238"/>
        <v>0.82500000000000018</v>
      </c>
      <c r="V427" s="1">
        <f t="shared" si="238"/>
        <v>0.77499999999999991</v>
      </c>
      <c r="W427" s="1">
        <f t="shared" si="238"/>
        <v>0.72500000000000031</v>
      </c>
      <c r="X427" s="1">
        <f t="shared" si="238"/>
        <v>0.67499999999999993</v>
      </c>
      <c r="Y427" s="1">
        <f t="shared" si="238"/>
        <v>0.625</v>
      </c>
      <c r="Z427" s="1">
        <f t="shared" si="238"/>
        <v>0.57499999999999996</v>
      </c>
      <c r="AA427" s="1">
        <f t="shared" si="238"/>
        <v>0.52499999999999991</v>
      </c>
      <c r="AB427" s="1">
        <f t="shared" si="238"/>
        <v>0.47499999999999998</v>
      </c>
      <c r="AC427" s="1">
        <f t="shared" si="238"/>
        <v>0.42499999999999993</v>
      </c>
      <c r="AD427" s="1">
        <f t="shared" si="238"/>
        <v>0.37499999999999994</v>
      </c>
      <c r="AE427" s="1">
        <f t="shared" si="238"/>
        <v>0.32499999999999996</v>
      </c>
      <c r="AF427" s="1">
        <f t="shared" si="238"/>
        <v>0.27499999999999991</v>
      </c>
      <c r="AG427" s="1">
        <f t="shared" si="238"/>
        <v>0.22499999999999998</v>
      </c>
      <c r="AH427" s="1">
        <f t="shared" si="238"/>
        <v>0.17499999999999993</v>
      </c>
      <c r="AI427" s="1">
        <f t="shared" si="238"/>
        <v>0.125</v>
      </c>
      <c r="AJ427" s="1">
        <f t="shared" si="238"/>
        <v>7.4999999999999956E-2</v>
      </c>
      <c r="AK427" s="1">
        <f t="shared" si="238"/>
        <v>2.4999999999999911E-2</v>
      </c>
      <c r="AL427" s="1">
        <f t="shared" si="238"/>
        <v>-2.5000000000000022E-2</v>
      </c>
      <c r="AM427" s="1">
        <f t="shared" si="238"/>
        <v>-7.4999999999999512E-2</v>
      </c>
      <c r="AN427" s="1">
        <f t="shared" si="238"/>
        <v>-0.125</v>
      </c>
      <c r="AO427" s="1">
        <f t="shared" si="238"/>
        <v>-0.17500000000000004</v>
      </c>
    </row>
    <row r="428" spans="2:41">
      <c r="B428" s="1">
        <f t="shared" ref="B428:AO428" si="239">$AM$111-B$109</f>
        <v>1.8249999999999997</v>
      </c>
      <c r="C428" s="1">
        <f t="shared" si="239"/>
        <v>1.7749999999999999</v>
      </c>
      <c r="D428" s="1">
        <f t="shared" si="239"/>
        <v>1.7249999999999996</v>
      </c>
      <c r="E428" s="1">
        <f t="shared" si="239"/>
        <v>1.6749999999999998</v>
      </c>
      <c r="F428" s="1">
        <f t="shared" si="239"/>
        <v>1.6249999999999998</v>
      </c>
      <c r="G428" s="1">
        <f t="shared" si="239"/>
        <v>1.5749999999999997</v>
      </c>
      <c r="H428" s="1">
        <f t="shared" si="239"/>
        <v>1.5249999999999999</v>
      </c>
      <c r="I428" s="1">
        <f t="shared" si="239"/>
        <v>1.4749999999999996</v>
      </c>
      <c r="J428" s="1">
        <f t="shared" si="239"/>
        <v>1.4249999999999998</v>
      </c>
      <c r="K428" s="1">
        <f t="shared" si="239"/>
        <v>1.3749999999999998</v>
      </c>
      <c r="L428" s="1">
        <f t="shared" si="239"/>
        <v>1.3249999999999997</v>
      </c>
      <c r="M428" s="1">
        <f t="shared" si="239"/>
        <v>1.2749999999999999</v>
      </c>
      <c r="N428" s="1">
        <f t="shared" si="239"/>
        <v>1.2249999999999996</v>
      </c>
      <c r="O428" s="1">
        <f t="shared" si="239"/>
        <v>1.1749999999999998</v>
      </c>
      <c r="P428" s="1">
        <f t="shared" si="239"/>
        <v>1.1249999999999998</v>
      </c>
      <c r="Q428" s="1">
        <f t="shared" si="239"/>
        <v>1.0749999999999997</v>
      </c>
      <c r="R428" s="1">
        <f t="shared" si="239"/>
        <v>1.0249999999999997</v>
      </c>
      <c r="S428" s="1">
        <f t="shared" si="239"/>
        <v>0.97499999999999976</v>
      </c>
      <c r="T428" s="1">
        <f t="shared" si="239"/>
        <v>0.92499999999999982</v>
      </c>
      <c r="U428" s="1">
        <f t="shared" si="239"/>
        <v>0.875</v>
      </c>
      <c r="V428" s="1">
        <f t="shared" si="239"/>
        <v>0.82499999999999973</v>
      </c>
      <c r="W428" s="1">
        <f t="shared" si="239"/>
        <v>0.77500000000000013</v>
      </c>
      <c r="X428" s="1">
        <f t="shared" si="239"/>
        <v>0.72499999999999976</v>
      </c>
      <c r="Y428" s="1">
        <f t="shared" si="239"/>
        <v>0.67499999999999982</v>
      </c>
      <c r="Z428" s="1">
        <f t="shared" si="239"/>
        <v>0.62499999999999978</v>
      </c>
      <c r="AA428" s="1">
        <f t="shared" si="239"/>
        <v>0.57499999999999973</v>
      </c>
      <c r="AB428" s="1">
        <f t="shared" si="239"/>
        <v>0.5249999999999998</v>
      </c>
      <c r="AC428" s="1">
        <f t="shared" si="239"/>
        <v>0.47499999999999976</v>
      </c>
      <c r="AD428" s="1">
        <f t="shared" si="239"/>
        <v>0.42499999999999977</v>
      </c>
      <c r="AE428" s="1">
        <f t="shared" si="239"/>
        <v>0.37499999999999978</v>
      </c>
      <c r="AF428" s="1">
        <f t="shared" si="239"/>
        <v>0.32499999999999973</v>
      </c>
      <c r="AG428" s="1">
        <f t="shared" si="239"/>
        <v>0.2749999999999998</v>
      </c>
      <c r="AH428" s="1">
        <f t="shared" si="239"/>
        <v>0.22499999999999976</v>
      </c>
      <c r="AI428" s="1">
        <f t="shared" si="239"/>
        <v>0.17499999999999982</v>
      </c>
      <c r="AJ428" s="1">
        <f t="shared" si="239"/>
        <v>0.12499999999999978</v>
      </c>
      <c r="AK428" s="1">
        <f t="shared" si="239"/>
        <v>7.4999999999999734E-2</v>
      </c>
      <c r="AL428" s="1">
        <f t="shared" si="239"/>
        <v>2.49999999999998E-2</v>
      </c>
      <c r="AM428" s="1">
        <f t="shared" si="239"/>
        <v>-2.4999999999999689E-2</v>
      </c>
      <c r="AN428" s="1">
        <f t="shared" si="239"/>
        <v>-7.5000000000000178E-2</v>
      </c>
      <c r="AO428" s="1">
        <f t="shared" si="239"/>
        <v>-0.12500000000000022</v>
      </c>
    </row>
    <row r="429" spans="2:41">
      <c r="B429" s="1">
        <f t="shared" ref="B429:AO429" si="240">$AN$111-B$109</f>
        <v>1.8749999999999996</v>
      </c>
      <c r="C429" s="1">
        <f t="shared" si="240"/>
        <v>1.8249999999999997</v>
      </c>
      <c r="D429" s="1">
        <f t="shared" si="240"/>
        <v>1.7749999999999997</v>
      </c>
      <c r="E429" s="1">
        <f t="shared" si="240"/>
        <v>1.7249999999999996</v>
      </c>
      <c r="F429" s="1">
        <f t="shared" si="240"/>
        <v>1.6749999999999998</v>
      </c>
      <c r="G429" s="1">
        <f t="shared" si="240"/>
        <v>1.6249999999999996</v>
      </c>
      <c r="H429" s="1">
        <f t="shared" si="240"/>
        <v>1.5749999999999997</v>
      </c>
      <c r="I429" s="1">
        <f t="shared" si="240"/>
        <v>1.5249999999999997</v>
      </c>
      <c r="J429" s="1">
        <f t="shared" si="240"/>
        <v>1.4749999999999996</v>
      </c>
      <c r="K429" s="1">
        <f t="shared" si="240"/>
        <v>1.4249999999999998</v>
      </c>
      <c r="L429" s="1">
        <f t="shared" si="240"/>
        <v>1.3749999999999998</v>
      </c>
      <c r="M429" s="1">
        <f t="shared" si="240"/>
        <v>1.3249999999999997</v>
      </c>
      <c r="N429" s="1">
        <f t="shared" si="240"/>
        <v>1.2749999999999997</v>
      </c>
      <c r="O429" s="1">
        <f t="shared" si="240"/>
        <v>1.2249999999999996</v>
      </c>
      <c r="P429" s="1">
        <f t="shared" si="240"/>
        <v>1.1749999999999998</v>
      </c>
      <c r="Q429" s="1">
        <f t="shared" si="240"/>
        <v>1.1249999999999998</v>
      </c>
      <c r="R429" s="1">
        <f t="shared" si="240"/>
        <v>1.0749999999999997</v>
      </c>
      <c r="S429" s="1">
        <f t="shared" si="240"/>
        <v>1.0249999999999997</v>
      </c>
      <c r="T429" s="1">
        <f t="shared" si="240"/>
        <v>0.97499999999999976</v>
      </c>
      <c r="U429" s="1">
        <f t="shared" si="240"/>
        <v>0.92499999999999993</v>
      </c>
      <c r="V429" s="1">
        <f t="shared" si="240"/>
        <v>0.87499999999999967</v>
      </c>
      <c r="W429" s="1">
        <f t="shared" si="240"/>
        <v>0.82500000000000007</v>
      </c>
      <c r="X429" s="1">
        <f t="shared" si="240"/>
        <v>0.77499999999999969</v>
      </c>
      <c r="Y429" s="1">
        <f t="shared" si="240"/>
        <v>0.72499999999999964</v>
      </c>
      <c r="Z429" s="1">
        <f t="shared" si="240"/>
        <v>0.67499999999999971</v>
      </c>
      <c r="AA429" s="1">
        <f t="shared" si="240"/>
        <v>0.62499999999999978</v>
      </c>
      <c r="AB429" s="1">
        <f t="shared" si="240"/>
        <v>0.57499999999999973</v>
      </c>
      <c r="AC429" s="1">
        <f t="shared" si="240"/>
        <v>0.52499999999999969</v>
      </c>
      <c r="AD429" s="1">
        <f t="shared" si="240"/>
        <v>0.4749999999999997</v>
      </c>
      <c r="AE429" s="1">
        <f t="shared" si="240"/>
        <v>0.42499999999999971</v>
      </c>
      <c r="AF429" s="1">
        <f t="shared" si="240"/>
        <v>0.37499999999999967</v>
      </c>
      <c r="AG429" s="1">
        <f t="shared" si="240"/>
        <v>0.32499999999999973</v>
      </c>
      <c r="AH429" s="1">
        <f t="shared" si="240"/>
        <v>0.27499999999999969</v>
      </c>
      <c r="AI429" s="1">
        <f t="shared" si="240"/>
        <v>0.22499999999999976</v>
      </c>
      <c r="AJ429" s="1">
        <f t="shared" si="240"/>
        <v>0.17499999999999971</v>
      </c>
      <c r="AK429" s="1">
        <f t="shared" si="240"/>
        <v>0.12499999999999967</v>
      </c>
      <c r="AL429" s="1">
        <f t="shared" si="240"/>
        <v>7.4999999999999734E-2</v>
      </c>
      <c r="AM429" s="1">
        <f t="shared" si="240"/>
        <v>2.5000000000000244E-2</v>
      </c>
      <c r="AN429" s="1">
        <f t="shared" si="240"/>
        <v>-2.5000000000000244E-2</v>
      </c>
      <c r="AO429" s="1">
        <f t="shared" si="240"/>
        <v>-7.5000000000000289E-2</v>
      </c>
    </row>
    <row r="430" spans="2:41">
      <c r="B430" s="1">
        <f t="shared" ref="B430:AO430" si="241">$AO$111-B$109</f>
        <v>1.9249999999999998</v>
      </c>
      <c r="C430" s="1">
        <f t="shared" si="241"/>
        <v>1.875</v>
      </c>
      <c r="D430" s="1">
        <f t="shared" si="241"/>
        <v>1.825</v>
      </c>
      <c r="E430" s="1">
        <f t="shared" si="241"/>
        <v>1.7749999999999999</v>
      </c>
      <c r="F430" s="1">
        <f t="shared" si="241"/>
        <v>1.7250000000000001</v>
      </c>
      <c r="G430" s="1">
        <f t="shared" si="241"/>
        <v>1.6749999999999998</v>
      </c>
      <c r="H430" s="1">
        <f t="shared" si="241"/>
        <v>1.625</v>
      </c>
      <c r="I430" s="1">
        <f t="shared" si="241"/>
        <v>1.575</v>
      </c>
      <c r="J430" s="1">
        <f t="shared" si="241"/>
        <v>1.5249999999999999</v>
      </c>
      <c r="K430" s="1">
        <f t="shared" si="241"/>
        <v>1.4750000000000001</v>
      </c>
      <c r="L430" s="1">
        <f t="shared" si="241"/>
        <v>1.425</v>
      </c>
      <c r="M430" s="1">
        <f t="shared" si="241"/>
        <v>1.375</v>
      </c>
      <c r="N430" s="1">
        <f t="shared" si="241"/>
        <v>1.325</v>
      </c>
      <c r="O430" s="1">
        <f t="shared" si="241"/>
        <v>1.2749999999999999</v>
      </c>
      <c r="P430" s="1">
        <f t="shared" si="241"/>
        <v>1.2250000000000001</v>
      </c>
      <c r="Q430" s="1">
        <f t="shared" si="241"/>
        <v>1.175</v>
      </c>
      <c r="R430" s="1">
        <f t="shared" si="241"/>
        <v>1.125</v>
      </c>
      <c r="S430" s="1">
        <f t="shared" si="241"/>
        <v>1.075</v>
      </c>
      <c r="T430" s="1">
        <f t="shared" si="241"/>
        <v>1.0249999999999999</v>
      </c>
      <c r="U430" s="1">
        <f t="shared" si="241"/>
        <v>0.9750000000000002</v>
      </c>
      <c r="V430" s="1">
        <f t="shared" si="241"/>
        <v>0.92499999999999993</v>
      </c>
      <c r="W430" s="1">
        <f t="shared" si="241"/>
        <v>0.87500000000000033</v>
      </c>
      <c r="X430" s="1">
        <f t="shared" si="241"/>
        <v>0.82499999999999996</v>
      </c>
      <c r="Y430" s="1">
        <f t="shared" si="241"/>
        <v>0.77499999999999991</v>
      </c>
      <c r="Z430" s="1">
        <f t="shared" si="241"/>
        <v>0.72499999999999998</v>
      </c>
      <c r="AA430" s="1">
        <f t="shared" si="241"/>
        <v>0.67500000000000004</v>
      </c>
      <c r="AB430" s="1">
        <f t="shared" si="241"/>
        <v>0.625</v>
      </c>
      <c r="AC430" s="1">
        <f t="shared" si="241"/>
        <v>0.57499999999999996</v>
      </c>
      <c r="AD430" s="1">
        <f t="shared" si="241"/>
        <v>0.52499999999999991</v>
      </c>
      <c r="AE430" s="1">
        <f t="shared" si="241"/>
        <v>0.47499999999999998</v>
      </c>
      <c r="AF430" s="1">
        <f t="shared" si="241"/>
        <v>0.42499999999999993</v>
      </c>
      <c r="AG430" s="1">
        <f t="shared" si="241"/>
        <v>0.375</v>
      </c>
      <c r="AH430" s="1">
        <f t="shared" si="241"/>
        <v>0.32499999999999996</v>
      </c>
      <c r="AI430" s="1">
        <f t="shared" si="241"/>
        <v>0.27500000000000002</v>
      </c>
      <c r="AJ430" s="1">
        <f t="shared" si="241"/>
        <v>0.22499999999999998</v>
      </c>
      <c r="AK430" s="1">
        <f t="shared" si="241"/>
        <v>0.17499999999999993</v>
      </c>
      <c r="AL430" s="1">
        <f t="shared" si="241"/>
        <v>0.125</v>
      </c>
      <c r="AM430" s="1">
        <f t="shared" si="241"/>
        <v>7.5000000000000511E-2</v>
      </c>
      <c r="AN430" s="1">
        <f t="shared" si="241"/>
        <v>2.5000000000000022E-2</v>
      </c>
      <c r="AO430" s="1">
        <f t="shared" si="241"/>
        <v>-2.5000000000000022E-2</v>
      </c>
    </row>
    <row r="439" spans="1:41">
      <c r="A439" s="1" t="s">
        <v>126</v>
      </c>
    </row>
    <row r="440" spans="1:41">
      <c r="B440" s="1">
        <f t="shared" ref="B440:AO440" si="242">1/(B244*B391-B342*B293)*((B139*B244+B195*B293)/SQRT(B244^2+B293^2)-(B139*B342+B195*B391)/SQRT(B342^2+B391^2))</f>
        <v>-18.6261828370811</v>
      </c>
      <c r="C440" s="1">
        <f t="shared" si="242"/>
        <v>-7.0343007264823161</v>
      </c>
      <c r="D440" s="1">
        <f t="shared" si="242"/>
        <v>-1.7417400250922814</v>
      </c>
      <c r="E440" s="1">
        <f t="shared" si="242"/>
        <v>-0.60533221965192829</v>
      </c>
      <c r="F440" s="1">
        <f t="shared" si="242"/>
        <v>-0.27596569706542023</v>
      </c>
      <c r="G440" s="1">
        <f t="shared" si="242"/>
        <v>-0.16899151499430043</v>
      </c>
      <c r="H440" s="1">
        <f t="shared" si="242"/>
        <v>-9.9946362316661166E-2</v>
      </c>
      <c r="I440" s="1">
        <f t="shared" si="242"/>
        <v>-6.3802128184976811E-2</v>
      </c>
      <c r="J440" s="1">
        <f t="shared" si="242"/>
        <v>-4.3134914614414314E-2</v>
      </c>
      <c r="K440" s="1">
        <f t="shared" si="242"/>
        <v>-3.0491865391972444E-2</v>
      </c>
      <c r="L440" s="1">
        <f t="shared" si="242"/>
        <v>-2.2335100895758887E-2</v>
      </c>
      <c r="M440" s="1">
        <f t="shared" si="242"/>
        <v>-1.6841998487636928E-2</v>
      </c>
      <c r="N440" s="1">
        <f t="shared" si="242"/>
        <v>-1.5987333033074261E-2</v>
      </c>
      <c r="O440" s="1">
        <f t="shared" si="242"/>
        <v>-1.3132098836673049E-2</v>
      </c>
      <c r="P440" s="1">
        <f t="shared" si="242"/>
        <v>-1.0539720858413535E-2</v>
      </c>
      <c r="Q440" s="1">
        <f t="shared" si="242"/>
        <v>-8.586011846007836E-3</v>
      </c>
      <c r="R440" s="1">
        <f t="shared" si="242"/>
        <v>-7.0860997939168622E-3</v>
      </c>
      <c r="S440" s="1">
        <f t="shared" si="242"/>
        <v>-5.9156977309812791E-3</v>
      </c>
      <c r="T440" s="1">
        <f t="shared" si="242"/>
        <v>-4.9891782378702039E-3</v>
      </c>
      <c r="U440" s="1">
        <f t="shared" si="242"/>
        <v>-4.2462566848279646E-3</v>
      </c>
      <c r="V440" s="1">
        <f t="shared" si="242"/>
        <v>-4.429000798844702E-3</v>
      </c>
      <c r="W440" s="1">
        <f t="shared" si="242"/>
        <v>-3.8293468835338814E-3</v>
      </c>
      <c r="X440" s="1">
        <f t="shared" si="242"/>
        <v>-3.3330978944537452E-3</v>
      </c>
      <c r="Y440" s="1">
        <f t="shared" si="242"/>
        <v>-2.9189187081815923E-3</v>
      </c>
      <c r="Z440" s="1">
        <f t="shared" si="242"/>
        <v>-2.5705400391967045E-3</v>
      </c>
      <c r="AA440" s="1">
        <f t="shared" si="242"/>
        <v>-2.2754103340964643E-3</v>
      </c>
      <c r="AB440" s="1">
        <f t="shared" si="242"/>
        <v>-2.0237421655971023E-3</v>
      </c>
      <c r="AC440" s="1">
        <f t="shared" si="242"/>
        <v>-1.9328566932051488E-3</v>
      </c>
      <c r="AD440" s="1">
        <f t="shared" si="242"/>
        <v>-2.3036858645065373E-3</v>
      </c>
      <c r="AE440" s="1">
        <f t="shared" si="242"/>
        <v>-2.0744466191590372E-3</v>
      </c>
      <c r="AF440" s="1">
        <f t="shared" si="242"/>
        <v>-1.8745942864629825E-3</v>
      </c>
      <c r="AG440" s="1">
        <f t="shared" si="242"/>
        <v>-1.6995736947971927E-3</v>
      </c>
      <c r="AH440" s="1">
        <f t="shared" si="242"/>
        <v>-1.5456501978580546E-3</v>
      </c>
      <c r="AI440" s="1">
        <f t="shared" si="242"/>
        <v>-1.4097425161401118E-3</v>
      </c>
      <c r="AJ440" s="1">
        <f t="shared" si="242"/>
        <v>-1.28929334237639E-3</v>
      </c>
      <c r="AK440" s="1">
        <f t="shared" si="242"/>
        <v>-1.7367472800778113E-3</v>
      </c>
      <c r="AL440" s="1">
        <f t="shared" si="242"/>
        <v>-1.662770139054895E-3</v>
      </c>
      <c r="AM440" s="1">
        <f t="shared" si="242"/>
        <v>-1.5319587268578282E-3</v>
      </c>
      <c r="AN440" s="1">
        <f t="shared" si="242"/>
        <v>-1.4144840577963993E-3</v>
      </c>
      <c r="AO440" s="1">
        <f t="shared" si="242"/>
        <v>-1.3086927488024434E-3</v>
      </c>
    </row>
    <row r="441" spans="1:41">
      <c r="B441" s="1">
        <f t="shared" ref="B441:AO441" si="243">1/(B245*B392-B343*B294)*((B140*B245+B196*B294)/SQRT(B245^2+B294^2)-(B140*B343+B196*B392)/SQRT(B343^2+B392^2))</f>
        <v>-7.9785037026349013</v>
      </c>
      <c r="C441" s="1">
        <f t="shared" si="243"/>
        <v>-15.299079179259477</v>
      </c>
      <c r="D441" s="1">
        <f t="shared" si="243"/>
        <v>-6.4801503446468756</v>
      </c>
      <c r="E441" s="1">
        <f t="shared" si="243"/>
        <v>-1.7897820292860844</v>
      </c>
      <c r="F441" s="1">
        <f t="shared" si="243"/>
        <v>-0.65366945430449985</v>
      </c>
      <c r="G441" s="1">
        <f t="shared" si="243"/>
        <v>-0.33216667258663268</v>
      </c>
      <c r="H441" s="1">
        <f t="shared" si="243"/>
        <v>-0.17773187170700749</v>
      </c>
      <c r="I441" s="1">
        <f t="shared" si="243"/>
        <v>-0.10545204812542118</v>
      </c>
      <c r="J441" s="1">
        <f t="shared" si="243"/>
        <v>-6.7450891837749979E-2</v>
      </c>
      <c r="K441" s="1">
        <f t="shared" si="243"/>
        <v>-4.5662228169599146E-2</v>
      </c>
      <c r="L441" s="1">
        <f t="shared" si="243"/>
        <v>-3.2308396228940078E-2</v>
      </c>
      <c r="M441" s="1">
        <f t="shared" si="243"/>
        <v>-2.3681724591463605E-2</v>
      </c>
      <c r="N441" s="1">
        <f t="shared" si="243"/>
        <v>-2.1378513311036056E-2</v>
      </c>
      <c r="O441" s="1">
        <f t="shared" si="243"/>
        <v>-1.7139566081071166E-2</v>
      </c>
      <c r="P441" s="1">
        <f t="shared" si="243"/>
        <v>-1.3524431332123178E-2</v>
      </c>
      <c r="Q441" s="1">
        <f t="shared" si="243"/>
        <v>-1.0856452142276938E-2</v>
      </c>
      <c r="R441" s="1">
        <f t="shared" si="243"/>
        <v>-8.8452528500588823E-3</v>
      </c>
      <c r="S441" s="1">
        <f t="shared" si="243"/>
        <v>-7.3008819842242572E-3</v>
      </c>
      <c r="T441" s="1">
        <f t="shared" si="243"/>
        <v>-6.095580455279059E-3</v>
      </c>
      <c r="U441" s="1">
        <f t="shared" si="243"/>
        <v>-5.1412962748215761E-3</v>
      </c>
      <c r="V441" s="1">
        <f t="shared" si="243"/>
        <v>-5.2438570312226263E-3</v>
      </c>
      <c r="W441" s="1">
        <f t="shared" si="243"/>
        <v>-4.5008166532124073E-3</v>
      </c>
      <c r="X441" s="1">
        <f t="shared" si="243"/>
        <v>-3.8915762958389079E-3</v>
      </c>
      <c r="Y441" s="1">
        <f t="shared" si="243"/>
        <v>-3.3873660694646768E-3</v>
      </c>
      <c r="Z441" s="1">
        <f t="shared" si="243"/>
        <v>-2.9665220609793887E-3</v>
      </c>
      <c r="AA441" s="1">
        <f t="shared" si="243"/>
        <v>-2.6125225487389639E-3</v>
      </c>
      <c r="AB441" s="1">
        <f t="shared" si="243"/>
        <v>-2.3126200729468049E-3</v>
      </c>
      <c r="AC441" s="1">
        <f t="shared" si="243"/>
        <v>-2.1915301166793703E-3</v>
      </c>
      <c r="AD441" s="1">
        <f t="shared" si="243"/>
        <v>-2.570033362278052E-3</v>
      </c>
      <c r="AE441" s="1">
        <f t="shared" si="243"/>
        <v>-2.3055977082552296E-3</v>
      </c>
      <c r="AF441" s="1">
        <f t="shared" si="243"/>
        <v>-2.0761705454726276E-3</v>
      </c>
      <c r="AG441" s="1">
        <f t="shared" si="243"/>
        <v>-1.8761540122561975E-3</v>
      </c>
      <c r="AH441" s="1">
        <f t="shared" si="243"/>
        <v>-1.7009893290192476E-3</v>
      </c>
      <c r="AI441" s="1">
        <f t="shared" si="243"/>
        <v>-1.5469388773508242E-3</v>
      </c>
      <c r="AJ441" s="1">
        <f t="shared" si="243"/>
        <v>-1.4109189151274523E-3</v>
      </c>
      <c r="AK441" s="1">
        <f t="shared" si="243"/>
        <v>-1.8776786267230016E-3</v>
      </c>
      <c r="AL441" s="1">
        <f t="shared" si="243"/>
        <v>-1.7919540339117132E-3</v>
      </c>
      <c r="AM441" s="1">
        <f t="shared" si="243"/>
        <v>-1.647209260078109E-3</v>
      </c>
      <c r="AN441" s="1">
        <f t="shared" si="243"/>
        <v>-1.5176048077659326E-3</v>
      </c>
      <c r="AO441" s="1">
        <f t="shared" si="243"/>
        <v>-1.4012163820133635E-3</v>
      </c>
    </row>
    <row r="442" spans="1:41">
      <c r="B442" s="1">
        <f t="shared" ref="B442:AO442" si="244">1/(B246*B393-B344*B295)*((B141*B246+B197*B295)/SQRT(B246^2+B295^2)-(B141*B344+B197*B393)/SQRT(B344^2+B393^2))</f>
        <v>-2.2184124722997471</v>
      </c>
      <c r="C442" s="1">
        <f t="shared" si="244"/>
        <v>-7.2983189088534823</v>
      </c>
      <c r="D442" s="1">
        <f t="shared" si="244"/>
        <v>-12.773907387195175</v>
      </c>
      <c r="E442" s="1">
        <f t="shared" si="244"/>
        <v>-5.9525372409429123</v>
      </c>
      <c r="F442" s="1">
        <f t="shared" si="244"/>
        <v>-1.8270289886607571</v>
      </c>
      <c r="G442" s="1">
        <f t="shared" si="244"/>
        <v>-0.74055667730337804</v>
      </c>
      <c r="H442" s="1">
        <f t="shared" si="244"/>
        <v>-0.34588894864164238</v>
      </c>
      <c r="I442" s="1">
        <f t="shared" si="244"/>
        <v>-0.18615422551285354</v>
      </c>
      <c r="J442" s="1">
        <f t="shared" si="244"/>
        <v>-0.110817862813876</v>
      </c>
      <c r="K442" s="1">
        <f t="shared" si="244"/>
        <v>-7.1030800976543823E-2</v>
      </c>
      <c r="L442" s="1">
        <f t="shared" si="244"/>
        <v>-4.8152537800951578E-2</v>
      </c>
      <c r="M442" s="1">
        <f t="shared" si="244"/>
        <v>-3.4103607083733084E-2</v>
      </c>
      <c r="N442" s="1">
        <f t="shared" si="244"/>
        <v>-2.9216646107373196E-2</v>
      </c>
      <c r="O442" s="1">
        <f t="shared" si="244"/>
        <v>-2.2789101568592207E-2</v>
      </c>
      <c r="P442" s="1">
        <f t="shared" si="244"/>
        <v>-1.7630964968098198E-2</v>
      </c>
      <c r="Q442" s="1">
        <f t="shared" si="244"/>
        <v>-1.3915233913927069E-2</v>
      </c>
      <c r="R442" s="1">
        <f t="shared" si="244"/>
        <v>-1.1172115872857276E-2</v>
      </c>
      <c r="S442" s="1">
        <f t="shared" si="244"/>
        <v>-9.1037306951740459E-3</v>
      </c>
      <c r="T442" s="1">
        <f t="shared" si="244"/>
        <v>-7.5151069219204364E-3</v>
      </c>
      <c r="U442" s="1">
        <f t="shared" si="244"/>
        <v>-6.2750485786575005E-3</v>
      </c>
      <c r="V442" s="1">
        <f t="shared" si="244"/>
        <v>-6.2570438006492382E-3</v>
      </c>
      <c r="W442" s="1">
        <f t="shared" si="244"/>
        <v>-5.3272115185938433E-3</v>
      </c>
      <c r="X442" s="1">
        <f t="shared" si="244"/>
        <v>-4.5725502913964572E-3</v>
      </c>
      <c r="Y442" s="1">
        <f t="shared" si="244"/>
        <v>-3.9537413232882436E-3</v>
      </c>
      <c r="Z442" s="1">
        <f t="shared" si="244"/>
        <v>-3.441583267138042E-3</v>
      </c>
      <c r="AA442" s="1">
        <f t="shared" si="244"/>
        <v>-3.0140846451174501E-3</v>
      </c>
      <c r="AB442" s="1">
        <f t="shared" si="244"/>
        <v>-2.6544721525997034E-3</v>
      </c>
      <c r="AC442" s="1">
        <f t="shared" si="244"/>
        <v>-2.495237772648577E-3</v>
      </c>
      <c r="AD442" s="1">
        <f t="shared" si="244"/>
        <v>-2.8787782158798043E-3</v>
      </c>
      <c r="AE442" s="1">
        <f t="shared" si="244"/>
        <v>-2.5721611398494279E-3</v>
      </c>
      <c r="AF442" s="1">
        <f t="shared" si="244"/>
        <v>-2.3075094634034845E-3</v>
      </c>
      <c r="AG442" s="1">
        <f t="shared" si="244"/>
        <v>-2.077894398283276E-3</v>
      </c>
      <c r="AH442" s="1">
        <f t="shared" si="244"/>
        <v>-1.8777136767299976E-3</v>
      </c>
      <c r="AI442" s="1">
        <f t="shared" si="244"/>
        <v>-1.7024049118128462E-3</v>
      </c>
      <c r="AJ442" s="1">
        <f t="shared" si="244"/>
        <v>-1.5482275134940037E-3</v>
      </c>
      <c r="AK442" s="1">
        <f t="shared" si="244"/>
        <v>-2.0351099608905379E-3</v>
      </c>
      <c r="AL442" s="1">
        <f t="shared" si="244"/>
        <v>-1.9356889088433303E-3</v>
      </c>
      <c r="AM442" s="1">
        <f t="shared" si="244"/>
        <v>-1.7750387193139019E-3</v>
      </c>
      <c r="AN442" s="1">
        <f t="shared" si="244"/>
        <v>-1.6316401466502019E-3</v>
      </c>
      <c r="AO442" s="1">
        <f t="shared" si="244"/>
        <v>-1.5032438753631722E-3</v>
      </c>
    </row>
    <row r="443" spans="1:41">
      <c r="B443" s="1">
        <f t="shared" ref="B443:AO443" si="245">1/(B247*B394-B345*B296)*((B142*B247+B198*B296)/SQRT(B247^2+B296^2)-(B142*B345+B198*B394)/SQRT(B345^2+B394^2))</f>
        <v>-0.84073874637788293</v>
      </c>
      <c r="C443" s="1">
        <f t="shared" si="245"/>
        <v>-2.2407071477881617</v>
      </c>
      <c r="D443" s="1">
        <f t="shared" si="245"/>
        <v>-6.6645816635822897</v>
      </c>
      <c r="E443" s="1">
        <f t="shared" si="245"/>
        <v>-10.816007114969482</v>
      </c>
      <c r="F443" s="1">
        <f t="shared" si="245"/>
        <v>-5.4837084148950286</v>
      </c>
      <c r="G443" s="1">
        <f t="shared" si="245"/>
        <v>-1.9230842125977143</v>
      </c>
      <c r="H443" s="1">
        <f t="shared" si="245"/>
        <v>-0.7592271872394124</v>
      </c>
      <c r="I443" s="1">
        <f t="shared" si="245"/>
        <v>-0.35877264639743472</v>
      </c>
      <c r="J443" s="1">
        <f t="shared" si="245"/>
        <v>-0.19425226542106089</v>
      </c>
      <c r="K443" s="1">
        <f t="shared" si="245"/>
        <v>-0.11603977989929178</v>
      </c>
      <c r="L443" s="1">
        <f t="shared" si="245"/>
        <v>-7.4539514746341198E-2</v>
      </c>
      <c r="M443" s="1">
        <f t="shared" si="245"/>
        <v>-5.0604468025806454E-2</v>
      </c>
      <c r="N443" s="1">
        <f t="shared" si="245"/>
        <v>-4.0986887697254858E-2</v>
      </c>
      <c r="O443" s="1">
        <f t="shared" si="245"/>
        <v>-3.0974423352201044E-2</v>
      </c>
      <c r="P443" s="1">
        <f t="shared" si="245"/>
        <v>-2.3414550211007631E-2</v>
      </c>
      <c r="Q443" s="1">
        <f t="shared" si="245"/>
        <v>-1.8120053995124751E-2</v>
      </c>
      <c r="R443" s="1">
        <f t="shared" si="245"/>
        <v>-1.4304468098541542E-2</v>
      </c>
      <c r="S443" s="1">
        <f t="shared" si="245"/>
        <v>-1.1486684766225693E-2</v>
      </c>
      <c r="T443" s="1">
        <f t="shared" si="245"/>
        <v>-9.3614256414282782E-3</v>
      </c>
      <c r="U443" s="1">
        <f t="shared" si="245"/>
        <v>-7.7287600611861493E-3</v>
      </c>
      <c r="V443" s="1">
        <f t="shared" si="245"/>
        <v>-7.5308772001505767E-3</v>
      </c>
      <c r="W443" s="1">
        <f t="shared" si="245"/>
        <v>-6.3545054613023981E-3</v>
      </c>
      <c r="X443" s="1">
        <f t="shared" si="245"/>
        <v>-5.4104580339655551E-3</v>
      </c>
      <c r="Y443" s="1">
        <f t="shared" si="245"/>
        <v>-4.6442003743757312E-3</v>
      </c>
      <c r="Z443" s="1">
        <f t="shared" si="245"/>
        <v>-4.015840907148677E-3</v>
      </c>
      <c r="AA443" s="1">
        <f t="shared" si="245"/>
        <v>-3.4957486418713034E-3</v>
      </c>
      <c r="AB443" s="1">
        <f t="shared" si="245"/>
        <v>-3.0616057789106727E-3</v>
      </c>
      <c r="AC443" s="1">
        <f t="shared" si="245"/>
        <v>-2.853941687578858E-3</v>
      </c>
      <c r="AD443" s="1">
        <f t="shared" si="245"/>
        <v>-3.2386633329297299E-3</v>
      </c>
      <c r="AE443" s="1">
        <f t="shared" si="245"/>
        <v>-2.8811554216947614E-3</v>
      </c>
      <c r="AF443" s="1">
        <f t="shared" si="245"/>
        <v>-2.5742888098725558E-3</v>
      </c>
      <c r="AG443" s="1">
        <f t="shared" si="245"/>
        <v>-2.3094211298562606E-3</v>
      </c>
      <c r="AH443" s="1">
        <f t="shared" si="245"/>
        <v>-2.0796181775112289E-3</v>
      </c>
      <c r="AI443" s="1">
        <f t="shared" si="245"/>
        <v>-1.8792732798055957E-3</v>
      </c>
      <c r="AJ443" s="1">
        <f t="shared" si="245"/>
        <v>-1.7038204431178987E-3</v>
      </c>
      <c r="AK443" s="1">
        <f t="shared" si="245"/>
        <v>-2.211584421313537E-3</v>
      </c>
      <c r="AL443" s="1">
        <f t="shared" si="245"/>
        <v>-2.0961367540524001E-3</v>
      </c>
      <c r="AM443" s="1">
        <f t="shared" si="245"/>
        <v>-1.9172580445320189E-3</v>
      </c>
      <c r="AN443" s="1">
        <f t="shared" si="245"/>
        <v>-1.7581138712868046E-3</v>
      </c>
      <c r="AO443" s="1">
        <f t="shared" si="245"/>
        <v>-1.6160629428606543E-3</v>
      </c>
    </row>
    <row r="444" spans="1:41">
      <c r="B444" s="1">
        <f t="shared" ref="B444:AO444" si="246">1/(B248*B395-B346*B297)*((B143*B248+B199*B297)/SQRT(B248^2+B297^2)-(B143*B346+B199*B395)/SQRT(B346^2+B395^2))</f>
        <v>-0.40794190208976122</v>
      </c>
      <c r="C444" s="1">
        <f t="shared" si="246"/>
        <v>-0.87705496251878312</v>
      </c>
      <c r="D444" s="1">
        <f t="shared" si="246"/>
        <v>-2.2401842452214242</v>
      </c>
      <c r="E444" s="1">
        <f t="shared" si="246"/>
        <v>-6.0774433458643129</v>
      </c>
      <c r="F444" s="1">
        <f t="shared" si="246"/>
        <v>-9.2801872545555018</v>
      </c>
      <c r="G444" s="1">
        <f t="shared" si="246"/>
        <v>-5.2010368477944917</v>
      </c>
      <c r="H444" s="1">
        <f t="shared" si="246"/>
        <v>-1.9144438068925471</v>
      </c>
      <c r="I444" s="1">
        <f t="shared" si="246"/>
        <v>-0.77571304950325959</v>
      </c>
      <c r="J444" s="1">
        <f t="shared" si="246"/>
        <v>-0.37101362292268902</v>
      </c>
      <c r="K444" s="1">
        <f t="shared" si="246"/>
        <v>-0.20214809164092745</v>
      </c>
      <c r="L444" s="1">
        <f t="shared" si="246"/>
        <v>-0.12119782483674477</v>
      </c>
      <c r="M444" s="1">
        <f t="shared" si="246"/>
        <v>-7.803169476206176E-2</v>
      </c>
      <c r="N444" s="1">
        <f t="shared" si="246"/>
        <v>-5.9396094734984237E-2</v>
      </c>
      <c r="O444" s="1">
        <f t="shared" si="246"/>
        <v>-4.325068867189568E-2</v>
      </c>
      <c r="P444" s="1">
        <f t="shared" si="246"/>
        <v>-3.1806449647617883E-2</v>
      </c>
      <c r="Q444" s="1">
        <f t="shared" si="246"/>
        <v>-2.4052993445323238E-2</v>
      </c>
      <c r="R444" s="1">
        <f t="shared" si="246"/>
        <v>-1.8619768133941405E-2</v>
      </c>
      <c r="S444" s="1">
        <f t="shared" si="246"/>
        <v>-1.4702444716620832E-2</v>
      </c>
      <c r="T444" s="1">
        <f t="shared" si="246"/>
        <v>-1.180850266794386E-2</v>
      </c>
      <c r="U444" s="1">
        <f t="shared" si="246"/>
        <v>-9.6251802696215652E-3</v>
      </c>
      <c r="V444" s="1">
        <f t="shared" si="246"/>
        <v>-9.1579389416968568E-3</v>
      </c>
      <c r="W444" s="1">
        <f t="shared" si="246"/>
        <v>-7.650510076277795E-3</v>
      </c>
      <c r="X444" s="1">
        <f t="shared" si="246"/>
        <v>-6.4558513276584181E-3</v>
      </c>
      <c r="Y444" s="1">
        <f t="shared" si="246"/>
        <v>-5.4970360243880925E-3</v>
      </c>
      <c r="Z444" s="1">
        <f t="shared" si="246"/>
        <v>-4.7187279608083225E-3</v>
      </c>
      <c r="AA444" s="1">
        <f t="shared" si="246"/>
        <v>-4.0804419640940552E-3</v>
      </c>
      <c r="AB444" s="1">
        <f t="shared" si="246"/>
        <v>-3.5521015605941542E-3</v>
      </c>
      <c r="AC444" s="1">
        <f t="shared" si="246"/>
        <v>-3.2822913238589697E-3</v>
      </c>
      <c r="AD444" s="1">
        <f t="shared" si="246"/>
        <v>-3.6624031422280833E-3</v>
      </c>
      <c r="AE444" s="1">
        <f t="shared" si="246"/>
        <v>-3.2428606507863638E-3</v>
      </c>
      <c r="AF444" s="1">
        <f t="shared" si="246"/>
        <v>-2.8848967176920586E-3</v>
      </c>
      <c r="AG444" s="1">
        <f t="shared" si="246"/>
        <v>-2.5776374013872956E-3</v>
      </c>
      <c r="AH444" s="1">
        <f t="shared" si="246"/>
        <v>-2.3124297845252047E-3</v>
      </c>
      <c r="AI444" s="1">
        <f t="shared" si="246"/>
        <v>-2.082331140950004E-3</v>
      </c>
      <c r="AJ444" s="1">
        <f t="shared" si="246"/>
        <v>-1.8817278657478533E-3</v>
      </c>
      <c r="AK444" s="1">
        <f t="shared" si="246"/>
        <v>-2.4109445121359954E-3</v>
      </c>
      <c r="AL444" s="1">
        <f t="shared" si="246"/>
        <v>-2.2765984337105314E-3</v>
      </c>
      <c r="AM444" s="1">
        <f t="shared" si="246"/>
        <v>-2.0766775666204028E-3</v>
      </c>
      <c r="AN444" s="1">
        <f t="shared" si="246"/>
        <v>-1.8994324931914104E-3</v>
      </c>
      <c r="AO444" s="1">
        <f t="shared" si="246"/>
        <v>-1.7417456429973013E-3</v>
      </c>
    </row>
    <row r="445" spans="1:41">
      <c r="B445" s="1">
        <f t="shared" ref="B445:AO445" si="247">1/(B249*B396-B347*B298)*((B144*B249+B200*B298)/SQRT(B249^2+B298^2)-(B144*B347+B200*B396)/SQRT(B347^2+B396^2))</f>
        <v>-0.23108692018502483</v>
      </c>
      <c r="C445" s="1">
        <f t="shared" si="247"/>
        <v>-0.42879000710910981</v>
      </c>
      <c r="D445" s="1">
        <f t="shared" si="247"/>
        <v>-0.90548156310854599</v>
      </c>
      <c r="E445" s="1">
        <f t="shared" si="247"/>
        <v>-2.2219287834742767</v>
      </c>
      <c r="F445" s="1">
        <f t="shared" si="247"/>
        <v>-5.5671769961882083</v>
      </c>
      <c r="G445" s="1">
        <f t="shared" si="247"/>
        <v>-8.2948166818501914</v>
      </c>
      <c r="H445" s="1">
        <f t="shared" si="247"/>
        <v>-4.9297970186586406</v>
      </c>
      <c r="I445" s="1">
        <f t="shared" si="247"/>
        <v>-1.9011231990779951</v>
      </c>
      <c r="J445" s="1">
        <f t="shared" si="247"/>
        <v>-0.78884230418602441</v>
      </c>
      <c r="K445" s="1">
        <f t="shared" si="247"/>
        <v>-0.38159353602330942</v>
      </c>
      <c r="L445" s="1">
        <f t="shared" si="247"/>
        <v>-0.20916035651741943</v>
      </c>
      <c r="M445" s="1">
        <f t="shared" si="247"/>
        <v>-0.12584053371651771</v>
      </c>
      <c r="N445" s="1">
        <f t="shared" si="247"/>
        <v>-8.9256173232885455E-2</v>
      </c>
      <c r="O445" s="1">
        <f t="shared" si="247"/>
        <v>-6.2168589989176008E-2</v>
      </c>
      <c r="P445" s="1">
        <f t="shared" si="247"/>
        <v>-4.4223353737368014E-2</v>
      </c>
      <c r="Q445" s="1">
        <f t="shared" si="247"/>
        <v>-3.2537273612638203E-2</v>
      </c>
      <c r="R445" s="1">
        <f t="shared" si="247"/>
        <v>-2.4614455942168569E-2</v>
      </c>
      <c r="S445" s="1">
        <f t="shared" si="247"/>
        <v>-1.9059629582335876E-2</v>
      </c>
      <c r="T445" s="1">
        <f t="shared" si="247"/>
        <v>-1.5053001962319932E-2</v>
      </c>
      <c r="U445" s="1">
        <f t="shared" si="247"/>
        <v>-1.209213441420825E-2</v>
      </c>
      <c r="V445" s="1">
        <f t="shared" si="247"/>
        <v>-1.1228154420310695E-2</v>
      </c>
      <c r="W445" s="1">
        <f t="shared" si="247"/>
        <v>-9.2751311617997583E-3</v>
      </c>
      <c r="X445" s="1">
        <f t="shared" si="247"/>
        <v>-7.7488914231560336E-3</v>
      </c>
      <c r="Y445" s="1">
        <f t="shared" si="247"/>
        <v>-6.5392090408091762E-3</v>
      </c>
      <c r="Z445" s="1">
        <f t="shared" si="247"/>
        <v>-5.568257778940989E-3</v>
      </c>
      <c r="AA445" s="1">
        <f t="shared" si="247"/>
        <v>-4.7800445400425868E-3</v>
      </c>
      <c r="AB445" s="1">
        <f t="shared" si="247"/>
        <v>-4.1335974740347343E-3</v>
      </c>
      <c r="AC445" s="1">
        <f t="shared" si="247"/>
        <v>-3.7852652659015368E-3</v>
      </c>
      <c r="AD445" s="1">
        <f t="shared" si="247"/>
        <v>-4.1540096477277154E-3</v>
      </c>
      <c r="AE445" s="1">
        <f t="shared" si="247"/>
        <v>-3.6594869587268431E-3</v>
      </c>
      <c r="AF445" s="1">
        <f t="shared" si="247"/>
        <v>-3.2402727748123937E-3</v>
      </c>
      <c r="AG445" s="1">
        <f t="shared" si="247"/>
        <v>-2.8825900004530833E-3</v>
      </c>
      <c r="AH445" s="1">
        <f t="shared" si="247"/>
        <v>-2.5755728054063739E-3</v>
      </c>
      <c r="AI445" s="1">
        <f t="shared" si="247"/>
        <v>-2.3105747764992058E-3</v>
      </c>
      <c r="AJ445" s="1">
        <f t="shared" si="247"/>
        <v>-2.0806584416390196E-3</v>
      </c>
      <c r="AK445" s="1">
        <f t="shared" si="247"/>
        <v>-2.6322360474529322E-3</v>
      </c>
      <c r="AL445" s="1">
        <f t="shared" si="247"/>
        <v>-2.4759542670096993E-3</v>
      </c>
      <c r="AM445" s="1">
        <f t="shared" si="247"/>
        <v>-2.252020572648966E-3</v>
      </c>
      <c r="AN445" s="1">
        <f t="shared" si="247"/>
        <v>-2.0542212262959344E-3</v>
      </c>
      <c r="AO445" s="1">
        <f t="shared" si="247"/>
        <v>-1.8788625171122105E-3</v>
      </c>
    </row>
    <row r="446" spans="1:41">
      <c r="B446" s="1">
        <f t="shared" ref="B446:AO446" si="248">1/(B250*B397-B348*B299)*((B145*B250+B201*B299)/SQRT(B250^2+B299^2)-(B145*B348+B201*B397)/SQRT(B348^2+B397^2))</f>
        <v>-0.14536693470108131</v>
      </c>
      <c r="C446" s="1">
        <f t="shared" si="248"/>
        <v>-0.24348272834505183</v>
      </c>
      <c r="D446" s="1">
        <f t="shared" si="248"/>
        <v>-0.44761780240592552</v>
      </c>
      <c r="E446" s="1">
        <f t="shared" si="248"/>
        <v>-0.92806588668016321</v>
      </c>
      <c r="F446" s="1">
        <f t="shared" si="248"/>
        <v>-2.1800033282539455</v>
      </c>
      <c r="G446" s="1">
        <f t="shared" si="248"/>
        <v>-5.1139299836917163</v>
      </c>
      <c r="H446" s="1">
        <f t="shared" si="248"/>
        <v>-7.6237336108508593</v>
      </c>
      <c r="I446" s="1">
        <f t="shared" si="248"/>
        <v>-4.6770203548242062</v>
      </c>
      <c r="J446" s="1">
        <f t="shared" si="248"/>
        <v>-1.883602521962924</v>
      </c>
      <c r="K446" s="1">
        <f t="shared" si="248"/>
        <v>-0.79989720785608331</v>
      </c>
      <c r="L446" s="1">
        <f t="shared" si="248"/>
        <v>-0.39135079530575972</v>
      </c>
      <c r="M446" s="1">
        <f t="shared" si="248"/>
        <v>-0.21581132006540557</v>
      </c>
      <c r="N446" s="1">
        <f t="shared" si="248"/>
        <v>-0.14084546335931539</v>
      </c>
      <c r="O446" s="1">
        <f t="shared" si="248"/>
        <v>-9.2917214721869076E-2</v>
      </c>
      <c r="P446" s="1">
        <f t="shared" si="248"/>
        <v>-6.3461264036931586E-2</v>
      </c>
      <c r="Q446" s="1">
        <f t="shared" si="248"/>
        <v>-4.5172702257092273E-2</v>
      </c>
      <c r="R446" s="1">
        <f t="shared" si="248"/>
        <v>-3.3251697211189021E-2</v>
      </c>
      <c r="S446" s="1">
        <f t="shared" si="248"/>
        <v>-2.5163950834844871E-2</v>
      </c>
      <c r="T446" s="1">
        <f t="shared" si="248"/>
        <v>-1.949049059193788E-2</v>
      </c>
      <c r="U446" s="1">
        <f t="shared" si="248"/>
        <v>-1.5396618290569909E-2</v>
      </c>
      <c r="V446" s="1">
        <f t="shared" si="248"/>
        <v>-1.393424575959914E-2</v>
      </c>
      <c r="W446" s="1">
        <f t="shared" si="248"/>
        <v>-1.1365252698197105E-2</v>
      </c>
      <c r="X446" s="1">
        <f t="shared" si="248"/>
        <v>-9.3890734758100402E-3</v>
      </c>
      <c r="Y446" s="1">
        <f t="shared" si="248"/>
        <v>-7.8445630158235011E-3</v>
      </c>
      <c r="Z446" s="1">
        <f t="shared" si="248"/>
        <v>-6.6202838947690317E-3</v>
      </c>
      <c r="AA446" s="1">
        <f t="shared" si="248"/>
        <v>-5.6375384734734966E-3</v>
      </c>
      <c r="AB446" s="1">
        <f t="shared" si="248"/>
        <v>-4.8396969327982702E-3</v>
      </c>
      <c r="AC446" s="1">
        <f t="shared" si="248"/>
        <v>-4.389860830465519E-3</v>
      </c>
      <c r="AD446" s="1">
        <f t="shared" si="248"/>
        <v>-4.7365170099031408E-3</v>
      </c>
      <c r="AE446" s="1">
        <f t="shared" si="248"/>
        <v>-4.1496506146636719E-3</v>
      </c>
      <c r="AF446" s="1">
        <f t="shared" si="248"/>
        <v>-3.6556370865193409E-3</v>
      </c>
      <c r="AG446" s="1">
        <f t="shared" si="248"/>
        <v>-3.2368563490152054E-3</v>
      </c>
      <c r="AH446" s="1">
        <f t="shared" si="248"/>
        <v>-2.8795447689660011E-3</v>
      </c>
      <c r="AI446" s="1">
        <f t="shared" si="248"/>
        <v>-2.5728472266121254E-3</v>
      </c>
      <c r="AJ446" s="1">
        <f t="shared" si="248"/>
        <v>-2.3081258969621346E-3</v>
      </c>
      <c r="AK446" s="1">
        <f t="shared" si="248"/>
        <v>-2.8824719431485078E-3</v>
      </c>
      <c r="AL446" s="1">
        <f t="shared" si="248"/>
        <v>-2.7002750275381578E-3</v>
      </c>
      <c r="AM446" s="1">
        <f t="shared" si="248"/>
        <v>-2.4485217650148852E-3</v>
      </c>
      <c r="AN446" s="1">
        <f t="shared" si="248"/>
        <v>-2.2270247181372855E-3</v>
      </c>
      <c r="AO446" s="1">
        <f t="shared" si="248"/>
        <v>-2.0313844261099332E-3</v>
      </c>
    </row>
    <row r="447" spans="1:41">
      <c r="B447" s="1">
        <f t="shared" ref="B447:AO447" si="249">1/(B251*B398-B349*B300)*((B146*B251+B202*B300)/SQRT(B251^2+B300^2)-(B146*B349+B202*B398)/SQRT(B349^2+B398^2))</f>
        <v>-9.8491769338685364E-2</v>
      </c>
      <c r="C447" s="1">
        <f t="shared" si="249"/>
        <v>-0.15316887910857274</v>
      </c>
      <c r="D447" s="1">
        <f t="shared" si="249"/>
        <v>-0.25515409268284889</v>
      </c>
      <c r="E447" s="1">
        <f t="shared" si="249"/>
        <v>-0.46455430769879291</v>
      </c>
      <c r="F447" s="1">
        <f t="shared" si="249"/>
        <v>-0.93815082239985736</v>
      </c>
      <c r="G447" s="1">
        <f t="shared" si="249"/>
        <v>-2.0678743386350411</v>
      </c>
      <c r="H447" s="1">
        <f t="shared" si="249"/>
        <v>-4.846559257742979</v>
      </c>
      <c r="I447" s="1">
        <f t="shared" si="249"/>
        <v>-7.0299216354027694</v>
      </c>
      <c r="J447" s="1">
        <f t="shared" si="249"/>
        <v>-4.4394218946222379</v>
      </c>
      <c r="K447" s="1">
        <f t="shared" si="249"/>
        <v>-1.8624010260377535</v>
      </c>
      <c r="L447" s="1">
        <f t="shared" si="249"/>
        <v>-0.80910921239966493</v>
      </c>
      <c r="M447" s="1">
        <f t="shared" si="249"/>
        <v>-0.40040026268370105</v>
      </c>
      <c r="N447" s="1">
        <f t="shared" si="249"/>
        <v>-0.23645643304453862</v>
      </c>
      <c r="O447" s="1">
        <f t="shared" si="249"/>
        <v>-0.1458320671441129</v>
      </c>
      <c r="P447" s="1">
        <f t="shared" si="249"/>
        <v>-9.4699019538812032E-2</v>
      </c>
      <c r="Q447" s="1">
        <f t="shared" si="249"/>
        <v>-6.4740332990567528E-2</v>
      </c>
      <c r="R447" s="1">
        <f t="shared" si="249"/>
        <v>-4.6114181677660675E-2</v>
      </c>
      <c r="S447" s="1">
        <f t="shared" si="249"/>
        <v>-3.3961329682820091E-2</v>
      </c>
      <c r="T447" s="1">
        <f t="shared" si="249"/>
        <v>-2.5710399955187601E-2</v>
      </c>
      <c r="U447" s="1">
        <f t="shared" si="249"/>
        <v>-1.9919343096626036E-2</v>
      </c>
      <c r="V447" s="1">
        <f t="shared" si="249"/>
        <v>-1.7539793968498332E-2</v>
      </c>
      <c r="W447" s="1">
        <f t="shared" si="249"/>
        <v>-1.4100736483688309E-2</v>
      </c>
      <c r="X447" s="1">
        <f t="shared" si="249"/>
        <v>-1.1502093803635097E-2</v>
      </c>
      <c r="Y447" s="1">
        <f t="shared" si="249"/>
        <v>-9.5028286998762694E-3</v>
      </c>
      <c r="Z447" s="1">
        <f t="shared" si="249"/>
        <v>-7.9400959939044911E-3</v>
      </c>
      <c r="AA447" s="1">
        <f t="shared" si="249"/>
        <v>-6.7012543607947771E-3</v>
      </c>
      <c r="AB447" s="1">
        <f t="shared" si="249"/>
        <v>-5.706739395873307E-3</v>
      </c>
      <c r="AC447" s="1">
        <f t="shared" si="249"/>
        <v>-5.1242256932162514E-3</v>
      </c>
      <c r="AD447" s="1">
        <f t="shared" si="249"/>
        <v>-5.4333512454707491E-3</v>
      </c>
      <c r="AE447" s="1">
        <f t="shared" si="249"/>
        <v>-4.7315555227367828E-3</v>
      </c>
      <c r="AF447" s="1">
        <f t="shared" si="249"/>
        <v>-4.1452911720490301E-3</v>
      </c>
      <c r="AG447" s="1">
        <f t="shared" si="249"/>
        <v>-3.6517868862953624E-3</v>
      </c>
      <c r="AH447" s="1">
        <f t="shared" si="249"/>
        <v>-3.2334396583440011E-3</v>
      </c>
      <c r="AI447" s="1">
        <f t="shared" si="249"/>
        <v>-2.8764993219716384E-3</v>
      </c>
      <c r="AJ447" s="1">
        <f t="shared" si="249"/>
        <v>-2.5701214712503845E-3</v>
      </c>
      <c r="AK447" s="1">
        <f t="shared" si="249"/>
        <v>-3.1672646330793012E-3</v>
      </c>
      <c r="AL447" s="1">
        <f t="shared" si="249"/>
        <v>-2.9542470063348147E-3</v>
      </c>
      <c r="AM447" s="1">
        <f t="shared" si="249"/>
        <v>-2.670055337477867E-3</v>
      </c>
      <c r="AN447" s="1">
        <f t="shared" si="249"/>
        <v>-2.4210664198524045E-3</v>
      </c>
      <c r="AO447" s="1">
        <f t="shared" si="249"/>
        <v>-2.2020098030011009E-3</v>
      </c>
    </row>
    <row r="448" spans="1:41">
      <c r="B448" s="1">
        <f t="shared" ref="B448:AO448" si="250">1/(B252*B399-B350*B301)*((B147*B252+B203*B301)/SQRT(B252^2+B301^2)-(B147*B350+B203*B399)/SQRT(B350^2+B399^2))</f>
        <v>-7.0493133494600624E-2</v>
      </c>
      <c r="C448" s="1">
        <f t="shared" si="250"/>
        <v>-0.10366365771507288</v>
      </c>
      <c r="D448" s="1">
        <f t="shared" si="250"/>
        <v>-0.16064750214550425</v>
      </c>
      <c r="E448" s="1">
        <f t="shared" si="250"/>
        <v>-0.26608289845466743</v>
      </c>
      <c r="F448" s="1">
        <f t="shared" si="250"/>
        <v>-0.47487214779843567</v>
      </c>
      <c r="G448" s="1">
        <f t="shared" si="250"/>
        <v>-0.89623006970843577</v>
      </c>
      <c r="H448" s="1">
        <f t="shared" si="250"/>
        <v>-2.0418802930873667</v>
      </c>
      <c r="I448" s="1">
        <f t="shared" si="250"/>
        <v>-4.5957975345044773</v>
      </c>
      <c r="J448" s="1">
        <f t="shared" si="250"/>
        <v>-6.5020883743859033</v>
      </c>
      <c r="K448" s="1">
        <f t="shared" si="250"/>
        <v>-4.2162982124110782</v>
      </c>
      <c r="L448" s="1">
        <f t="shared" si="250"/>
        <v>-1.8380864324730921</v>
      </c>
      <c r="M448" s="1">
        <f t="shared" si="250"/>
        <v>-0.81657693345065141</v>
      </c>
      <c r="N448" s="1">
        <f t="shared" si="250"/>
        <v>-0.4289585998317651</v>
      </c>
      <c r="O448" s="1">
        <f t="shared" si="250"/>
        <v>-0.24332397207700524</v>
      </c>
      <c r="P448" s="1">
        <f t="shared" si="250"/>
        <v>-0.1483210388448877</v>
      </c>
      <c r="Q448" s="1">
        <f t="shared" si="250"/>
        <v>-9.6455545118127345E-2</v>
      </c>
      <c r="R448" s="1">
        <f t="shared" si="250"/>
        <v>-6.6005614825160069E-2</v>
      </c>
      <c r="S448" s="1">
        <f t="shared" si="250"/>
        <v>-4.7047671888569863E-2</v>
      </c>
      <c r="T448" s="1">
        <f t="shared" si="250"/>
        <v>-3.4666091459347119E-2</v>
      </c>
      <c r="U448" s="1">
        <f t="shared" si="250"/>
        <v>-2.6253749718878429E-2</v>
      </c>
      <c r="V448" s="1">
        <f t="shared" si="250"/>
        <v>-2.2441300353183785E-2</v>
      </c>
      <c r="W448" s="1">
        <f t="shared" si="250"/>
        <v>-1.7744417743024873E-2</v>
      </c>
      <c r="X448" s="1">
        <f t="shared" si="250"/>
        <v>-1.4266862315444084E-2</v>
      </c>
      <c r="Y448" s="1">
        <f t="shared" si="250"/>
        <v>-1.1638674784991424E-2</v>
      </c>
      <c r="Z448" s="1">
        <f t="shared" si="250"/>
        <v>-9.616394639802418E-3</v>
      </c>
      <c r="AA448" s="1">
        <f t="shared" si="250"/>
        <v>-8.0354887019693927E-3</v>
      </c>
      <c r="AB448" s="1">
        <f t="shared" si="250"/>
        <v>-6.7821191727834521E-3</v>
      </c>
      <c r="AC448" s="1">
        <f t="shared" si="250"/>
        <v>-6.0243736552436124E-3</v>
      </c>
      <c r="AD448" s="1">
        <f t="shared" si="250"/>
        <v>-6.2739318873628411E-3</v>
      </c>
      <c r="AE448" s="1">
        <f t="shared" si="250"/>
        <v>-5.427672428048382E-3</v>
      </c>
      <c r="AF448" s="1">
        <f t="shared" si="250"/>
        <v>-4.7265935203191518E-3</v>
      </c>
      <c r="AG448" s="1">
        <f t="shared" si="250"/>
        <v>-4.1409313204232839E-3</v>
      </c>
      <c r="AH448" s="1">
        <f t="shared" si="250"/>
        <v>-3.6479363584831811E-3</v>
      </c>
      <c r="AI448" s="1">
        <f t="shared" si="250"/>
        <v>-3.2300227031494466E-3</v>
      </c>
      <c r="AJ448" s="1">
        <f t="shared" si="250"/>
        <v>-2.8734536597639993E-3</v>
      </c>
      <c r="AK448" s="1">
        <f t="shared" si="250"/>
        <v>-3.4929357719385118E-3</v>
      </c>
      <c r="AL448" s="1">
        <f t="shared" si="250"/>
        <v>-3.2430705111912792E-3</v>
      </c>
      <c r="AM448" s="1">
        <f t="shared" si="250"/>
        <v>-2.9208516351263685E-3</v>
      </c>
      <c r="AN448" s="1">
        <f t="shared" si="250"/>
        <v>-2.6398086603430151E-3</v>
      </c>
      <c r="AO448" s="1">
        <f t="shared" si="250"/>
        <v>-2.3935886676791358E-3</v>
      </c>
    </row>
    <row r="449" spans="2:41">
      <c r="B449" s="1">
        <f t="shared" ref="B449:AO449" si="251">1/(B253*B400-B351*B302)*((B148*B253+B204*B302)/SQRT(B253^2+B302^2)-(B148*B351+B204*B400)/SQRT(B351^2+B400^2))</f>
        <v>-5.2616109636813277E-2</v>
      </c>
      <c r="C449" s="1">
        <f t="shared" si="251"/>
        <v>-7.407800025227293E-2</v>
      </c>
      <c r="D449" s="1">
        <f t="shared" si="251"/>
        <v>-0.10867372106215242</v>
      </c>
      <c r="E449" s="1">
        <f t="shared" si="251"/>
        <v>-0.16779100491931492</v>
      </c>
      <c r="F449" s="1">
        <f t="shared" si="251"/>
        <v>-0.27300890954487794</v>
      </c>
      <c r="G449" s="1">
        <f t="shared" si="251"/>
        <v>-0.4512588740415357</v>
      </c>
      <c r="H449" s="1">
        <f t="shared" si="251"/>
        <v>-0.90414825749372696</v>
      </c>
      <c r="I449" s="1">
        <f t="shared" si="251"/>
        <v>-2.0126407027433864</v>
      </c>
      <c r="J449" s="1">
        <f t="shared" si="251"/>
        <v>-4.3607708847365849</v>
      </c>
      <c r="K449" s="1">
        <f t="shared" si="251"/>
        <v>-6.0309107080150453</v>
      </c>
      <c r="L449" s="1">
        <f t="shared" si="251"/>
        <v>-4.0068901482569288</v>
      </c>
      <c r="M449" s="1">
        <f t="shared" si="251"/>
        <v>-1.8111713886577583</v>
      </c>
      <c r="N449" s="1">
        <f t="shared" si="251"/>
        <v>-0.85233126580229512</v>
      </c>
      <c r="O449" s="1">
        <f t="shared" si="251"/>
        <v>-0.43801863283067066</v>
      </c>
      <c r="P449" s="1">
        <f t="shared" si="251"/>
        <v>-0.24675216698895541</v>
      </c>
      <c r="Q449" s="1">
        <f t="shared" si="251"/>
        <v>-0.15075991315470455</v>
      </c>
      <c r="R449" s="1">
        <f t="shared" si="251"/>
        <v>-9.8186541902329907E-2</v>
      </c>
      <c r="S449" s="1">
        <f t="shared" si="251"/>
        <v>-6.7256934921292186E-2</v>
      </c>
      <c r="T449" s="1">
        <f t="shared" si="251"/>
        <v>-4.7973056323443439E-2</v>
      </c>
      <c r="U449" s="1">
        <f t="shared" si="251"/>
        <v>-3.5365904778426577E-2</v>
      </c>
      <c r="V449" s="1">
        <f t="shared" si="251"/>
        <v>-2.9260185489423531E-2</v>
      </c>
      <c r="W449" s="1">
        <f t="shared" si="251"/>
        <v>-2.2696137410176096E-2</v>
      </c>
      <c r="X449" s="1">
        <f t="shared" si="251"/>
        <v>-1.794851203907644E-2</v>
      </c>
      <c r="Y449" s="1">
        <f t="shared" si="251"/>
        <v>-1.4432619247043347E-2</v>
      </c>
      <c r="Z449" s="1">
        <f t="shared" si="251"/>
        <v>-1.1774992707194613E-2</v>
      </c>
      <c r="AA449" s="1">
        <f t="shared" si="251"/>
        <v>-9.7297691120509025E-3</v>
      </c>
      <c r="AB449" s="1">
        <f t="shared" si="251"/>
        <v>-8.1307394916440533E-3</v>
      </c>
      <c r="AC449" s="1">
        <f t="shared" si="251"/>
        <v>-7.1388427081193456E-3</v>
      </c>
      <c r="AD449" s="1">
        <f t="shared" si="251"/>
        <v>-7.2972168279947678E-3</v>
      </c>
      <c r="AE449" s="1">
        <f t="shared" si="251"/>
        <v>-6.267392558022067E-3</v>
      </c>
      <c r="AF449" s="1">
        <f t="shared" si="251"/>
        <v>-5.4219929560784599E-3</v>
      </c>
      <c r="AG449" s="1">
        <f t="shared" si="251"/>
        <v>-4.7216310033173087E-3</v>
      </c>
      <c r="AH449" s="1">
        <f t="shared" si="251"/>
        <v>-4.1365710603039722E-3</v>
      </c>
      <c r="AI449" s="1">
        <f t="shared" si="251"/>
        <v>-3.6440855035173858E-3</v>
      </c>
      <c r="AJ449" s="1">
        <f t="shared" si="251"/>
        <v>-3.2266054837946944E-3</v>
      </c>
      <c r="AK449" s="1">
        <f t="shared" si="251"/>
        <v>-3.8672636457972244E-3</v>
      </c>
      <c r="AL449" s="1">
        <f t="shared" si="251"/>
        <v>-3.5730950851421217E-3</v>
      </c>
      <c r="AM449" s="1">
        <f t="shared" si="251"/>
        <v>-3.2060413017574434E-3</v>
      </c>
      <c r="AN449" s="1">
        <f t="shared" si="251"/>
        <v>-2.8874242081335048E-3</v>
      </c>
      <c r="AO449" s="1">
        <f t="shared" si="251"/>
        <v>-2.6095355080916717E-3</v>
      </c>
    </row>
    <row r="450" spans="2:41">
      <c r="B450" s="1">
        <f t="shared" ref="B450:AO450" si="252">1/(B254*B401-B352*B303)*((B149*B254+B205*B303)/SQRT(B254^2+B303^2)-(B149*B352+B205*B401)/SQRT(B352^2+B401^2))</f>
        <v>-4.0592374756567996E-2</v>
      </c>
      <c r="C450" s="1">
        <f t="shared" si="252"/>
        <v>-5.5195065381574274E-2</v>
      </c>
      <c r="D450" s="1">
        <f t="shared" si="252"/>
        <v>-7.7574387445349738E-2</v>
      </c>
      <c r="E450" s="1">
        <f t="shared" si="252"/>
        <v>-0.11351504957468796</v>
      </c>
      <c r="F450" s="1">
        <f t="shared" si="252"/>
        <v>-0.17225738030243232</v>
      </c>
      <c r="G450" s="1">
        <f t="shared" si="252"/>
        <v>-0.25689684985315792</v>
      </c>
      <c r="H450" s="1">
        <f t="shared" si="252"/>
        <v>-0.45975167693107161</v>
      </c>
      <c r="I450" s="1">
        <f t="shared" si="252"/>
        <v>-0.91026194965260721</v>
      </c>
      <c r="J450" s="1">
        <f t="shared" si="252"/>
        <v>-1.9807093888286051</v>
      </c>
      <c r="K450" s="1">
        <f t="shared" si="252"/>
        <v>-4.14057487654315</v>
      </c>
      <c r="L450" s="1">
        <f t="shared" si="252"/>
        <v>-5.6086403478322806</v>
      </c>
      <c r="M450" s="1">
        <f t="shared" si="252"/>
        <v>-3.8104156017508917</v>
      </c>
      <c r="N450" s="1">
        <f t="shared" si="252"/>
        <v>-1.8278442641678905</v>
      </c>
      <c r="O450" s="1">
        <f t="shared" si="252"/>
        <v>-0.86088298991889023</v>
      </c>
      <c r="P450" s="1">
        <f t="shared" si="252"/>
        <v>-0.44218173616821149</v>
      </c>
      <c r="Q450" s="1">
        <f t="shared" si="252"/>
        <v>-0.25007402070905499</v>
      </c>
      <c r="R450" s="1">
        <f t="shared" si="252"/>
        <v>-0.15314844915830703</v>
      </c>
      <c r="S450" s="1">
        <f t="shared" si="252"/>
        <v>-9.9891776866399717E-2</v>
      </c>
      <c r="T450" s="1">
        <f t="shared" si="252"/>
        <v>-6.8494126080916998E-2</v>
      </c>
      <c r="U450" s="1">
        <f t="shared" si="252"/>
        <v>-4.8890221982510328E-2</v>
      </c>
      <c r="V450" s="1">
        <f t="shared" si="252"/>
        <v>-3.9003443897714575E-2</v>
      </c>
      <c r="W450" s="1">
        <f t="shared" si="252"/>
        <v>-2.9582183775073205E-2</v>
      </c>
      <c r="X450" s="1">
        <f t="shared" si="252"/>
        <v>-2.2950186320354837E-2</v>
      </c>
      <c r="Y450" s="1">
        <f t="shared" si="252"/>
        <v>-1.8152071335889707E-2</v>
      </c>
      <c r="Z450" s="1">
        <f t="shared" si="252"/>
        <v>-1.4598003297354617E-2</v>
      </c>
      <c r="AA450" s="1">
        <f t="shared" si="252"/>
        <v>-1.1911044651908058E-2</v>
      </c>
      <c r="AB450" s="1">
        <f t="shared" si="252"/>
        <v>-9.842949943871443E-3</v>
      </c>
      <c r="AC450" s="1">
        <f t="shared" si="252"/>
        <v>-8.5340288986608583E-3</v>
      </c>
      <c r="AD450" s="1">
        <f t="shared" si="252"/>
        <v>-8.5554965222160873E-3</v>
      </c>
      <c r="AE450" s="1">
        <f t="shared" si="252"/>
        <v>-7.2896368664696048E-3</v>
      </c>
      <c r="AF450" s="1">
        <f t="shared" si="252"/>
        <v>-6.2608523882896096E-3</v>
      </c>
      <c r="AG450" s="1">
        <f t="shared" si="252"/>
        <v>-5.416312830371816E-3</v>
      </c>
      <c r="AH450" s="1">
        <f t="shared" si="252"/>
        <v>-4.7166679723768994E-3</v>
      </c>
      <c r="AI450" s="1">
        <f t="shared" si="252"/>
        <v>-4.1322103922307452E-3</v>
      </c>
      <c r="AJ450" s="1">
        <f t="shared" si="252"/>
        <v>-3.6402343218311295E-3</v>
      </c>
      <c r="AK450" s="1">
        <f t="shared" si="252"/>
        <v>-4.2998926589084786E-3</v>
      </c>
      <c r="AL450" s="1">
        <f t="shared" si="252"/>
        <v>-3.9521292854812068E-3</v>
      </c>
      <c r="AM450" s="1">
        <f t="shared" si="252"/>
        <v>-3.5318887867219822E-3</v>
      </c>
      <c r="AN450" s="1">
        <f t="shared" si="252"/>
        <v>-3.1689737949560596E-3</v>
      </c>
      <c r="AO450" s="1">
        <f t="shared" si="252"/>
        <v>-2.8539653293598987E-3</v>
      </c>
    </row>
    <row r="451" spans="2:41">
      <c r="B451" s="1">
        <f t="shared" ref="B451:AO451" si="253">1/(B255*B402-B353*B304)*((B150*B255+B206*B304)/SQRT(B255^2+B304^2)-(B150*B353+B206*B402)/SQRT(B353^2+B402^2))</f>
        <v>-3.2161894826602304E-2</v>
      </c>
      <c r="C451" s="1">
        <f t="shared" si="253"/>
        <v>-4.2505989646424457E-2</v>
      </c>
      <c r="D451" s="1">
        <f t="shared" si="253"/>
        <v>-5.7722157878747439E-2</v>
      </c>
      <c r="E451" s="1">
        <f t="shared" si="253"/>
        <v>-8.097821767735397E-2</v>
      </c>
      <c r="F451" s="1">
        <f t="shared" si="253"/>
        <v>-0.11643658430765849</v>
      </c>
      <c r="G451" s="1">
        <f t="shared" si="253"/>
        <v>-0.16027195379224982</v>
      </c>
      <c r="H451" s="1">
        <f t="shared" si="253"/>
        <v>-0.26296272536511783</v>
      </c>
      <c r="I451" s="1">
        <f t="shared" si="253"/>
        <v>-0.46752710798305408</v>
      </c>
      <c r="J451" s="1">
        <f t="shared" si="253"/>
        <v>-0.91467651197008215</v>
      </c>
      <c r="K451" s="1">
        <f t="shared" si="253"/>
        <v>-1.9465833859888164</v>
      </c>
      <c r="L451" s="1">
        <f t="shared" si="253"/>
        <v>-3.9343026469662528</v>
      </c>
      <c r="M451" s="1">
        <f t="shared" si="253"/>
        <v>-5.2287978337451548</v>
      </c>
      <c r="N451" s="1">
        <f t="shared" si="253"/>
        <v>-3.6907615618831922</v>
      </c>
      <c r="O451" s="1">
        <f t="shared" si="253"/>
        <v>-1.8153861149820274</v>
      </c>
      <c r="P451" s="1">
        <f t="shared" si="253"/>
        <v>-0.86249060251936382</v>
      </c>
      <c r="Q451" s="1">
        <f t="shared" si="253"/>
        <v>-0.44610682420561204</v>
      </c>
      <c r="R451" s="1">
        <f t="shared" si="253"/>
        <v>-0.25328985741573223</v>
      </c>
      <c r="S451" s="1">
        <f t="shared" si="253"/>
        <v>-0.15548644480281837</v>
      </c>
      <c r="T451" s="1">
        <f t="shared" si="253"/>
        <v>-0.10157103343147185</v>
      </c>
      <c r="U451" s="1">
        <f t="shared" si="253"/>
        <v>-6.9717028536257081E-2</v>
      </c>
      <c r="V451" s="1">
        <f t="shared" si="253"/>
        <v>-5.3366427714794454E-2</v>
      </c>
      <c r="W451" s="1">
        <f t="shared" si="253"/>
        <v>-3.9416694015679342E-2</v>
      </c>
      <c r="X451" s="1">
        <f t="shared" si="253"/>
        <v>-2.990297418783644E-2</v>
      </c>
      <c r="Y451" s="1">
        <f t="shared" si="253"/>
        <v>-2.3203439373493218E-2</v>
      </c>
      <c r="Z451" s="1">
        <f t="shared" si="253"/>
        <v>-1.8355090156983275E-2</v>
      </c>
      <c r="AA451" s="1">
        <f t="shared" si="253"/>
        <v>-1.4763010512175215E-2</v>
      </c>
      <c r="AB451" s="1">
        <f t="shared" si="253"/>
        <v>-1.2046827717661456E-2</v>
      </c>
      <c r="AC451" s="1">
        <f t="shared" si="253"/>
        <v>-1.030225548142105E-2</v>
      </c>
      <c r="AD451" s="1">
        <f t="shared" si="253"/>
        <v>-1.0120005500055842E-2</v>
      </c>
      <c r="AE451" s="1">
        <f t="shared" si="253"/>
        <v>-8.5466470819330915E-3</v>
      </c>
      <c r="AF451" s="1">
        <f t="shared" si="253"/>
        <v>-7.2820558133140385E-3</v>
      </c>
      <c r="AG451" s="1">
        <f t="shared" si="253"/>
        <v>-6.2543113791952223E-3</v>
      </c>
      <c r="AH451" s="1">
        <f t="shared" si="253"/>
        <v>-5.4106320517491599E-3</v>
      </c>
      <c r="AI451" s="1">
        <f t="shared" si="253"/>
        <v>-4.7117044281574857E-3</v>
      </c>
      <c r="AJ451" s="1">
        <f t="shared" si="253"/>
        <v>-4.1278493167258273E-3</v>
      </c>
      <c r="AK451" s="1">
        <f t="shared" si="253"/>
        <v>-4.8028802178778588E-3</v>
      </c>
      <c r="AL451" s="1">
        <f t="shared" si="253"/>
        <v>-4.389850064214538E-3</v>
      </c>
      <c r="AM451" s="1">
        <f t="shared" si="253"/>
        <v>-3.9060980207361296E-3</v>
      </c>
      <c r="AN451" s="1">
        <f t="shared" si="253"/>
        <v>-3.4906364498369581E-3</v>
      </c>
      <c r="AO451" s="1">
        <f t="shared" si="253"/>
        <v>-3.131868707281573E-3</v>
      </c>
    </row>
    <row r="452" spans="2:41">
      <c r="B452" s="1">
        <f t="shared" ref="B452:AO452" si="254">1/(B256*B403-B354*B305)*((B151*B256+B207*B305)/SQRT(B256^2+B305^2)-(B151*B354+B207*B403)/SQRT(B354^2+B403^2))</f>
        <v>-2.5949865572455273E-2</v>
      </c>
      <c r="C452" s="1">
        <f t="shared" si="254"/>
        <v>-3.3496659691966482E-2</v>
      </c>
      <c r="D452" s="1">
        <f t="shared" si="254"/>
        <v>-4.4229561933821875E-2</v>
      </c>
      <c r="E452" s="1">
        <f t="shared" si="254"/>
        <v>-5.99878662795311E-2</v>
      </c>
      <c r="F452" s="1">
        <f t="shared" si="254"/>
        <v>-8.2658438384919861E-2</v>
      </c>
      <c r="G452" s="1">
        <f t="shared" si="254"/>
        <v>-0.10670333396690906</v>
      </c>
      <c r="H452" s="1">
        <f t="shared" si="254"/>
        <v>-0.16388830479397981</v>
      </c>
      <c r="I452" s="1">
        <f t="shared" si="254"/>
        <v>-0.26797781518630115</v>
      </c>
      <c r="J452" s="1">
        <f t="shared" si="254"/>
        <v>-0.47370186264593039</v>
      </c>
      <c r="K452" s="1">
        <f t="shared" si="254"/>
        <v>-0.91721170574595201</v>
      </c>
      <c r="L452" s="1">
        <f t="shared" si="254"/>
        <v>-1.9155501016548502</v>
      </c>
      <c r="M452" s="1">
        <f t="shared" si="254"/>
        <v>-3.7659729197351171</v>
      </c>
      <c r="N452" s="1">
        <f t="shared" si="254"/>
        <v>-4.9843281852210968</v>
      </c>
      <c r="O452" s="1">
        <f t="shared" si="254"/>
        <v>-3.6075579576090711</v>
      </c>
      <c r="P452" s="1">
        <f t="shared" si="254"/>
        <v>-1.7997267295856723</v>
      </c>
      <c r="Q452" s="1">
        <f t="shared" si="254"/>
        <v>-0.86339170832432333</v>
      </c>
      <c r="R452" s="1">
        <f t="shared" si="254"/>
        <v>-0.44900000558928344</v>
      </c>
      <c r="S452" s="1">
        <f t="shared" si="254"/>
        <v>-0.25572006565729832</v>
      </c>
      <c r="T452" s="1">
        <f t="shared" si="254"/>
        <v>-0.15727133921237338</v>
      </c>
      <c r="U452" s="1">
        <f t="shared" si="254"/>
        <v>-0.10286011950349949</v>
      </c>
      <c r="V452" s="1">
        <f t="shared" si="254"/>
        <v>-7.5067956244522796E-2</v>
      </c>
      <c r="W452" s="1">
        <f t="shared" si="254"/>
        <v>-5.3708021183750017E-2</v>
      </c>
      <c r="X452" s="1">
        <f t="shared" si="254"/>
        <v>-3.9677323010793235E-2</v>
      </c>
      <c r="Y452" s="1">
        <f t="shared" si="254"/>
        <v>-3.0105428577211636E-2</v>
      </c>
      <c r="Z452" s="1">
        <f t="shared" si="254"/>
        <v>-2.336335215236272E-2</v>
      </c>
      <c r="AA452" s="1">
        <f t="shared" si="254"/>
        <v>-1.8483334018780134E-2</v>
      </c>
      <c r="AB452" s="1">
        <f t="shared" si="254"/>
        <v>-1.486727552952714E-2</v>
      </c>
      <c r="AC452" s="1">
        <f t="shared" si="254"/>
        <v>-1.2524640487329861E-2</v>
      </c>
      <c r="AD452" s="1">
        <f t="shared" si="254"/>
        <v>-1.2048403030519088E-2</v>
      </c>
      <c r="AE452" s="1">
        <f t="shared" si="254"/>
        <v>-1.0075055571440452E-2</v>
      </c>
      <c r="AF452" s="1">
        <f t="shared" si="254"/>
        <v>-8.5084409576765951E-3</v>
      </c>
      <c r="AG452" s="1">
        <f t="shared" si="254"/>
        <v>-7.2493273642247743E-3</v>
      </c>
      <c r="AH452" s="1">
        <f t="shared" si="254"/>
        <v>-6.2260741166577727E-3</v>
      </c>
      <c r="AI452" s="1">
        <f t="shared" si="254"/>
        <v>-5.3861092387200759E-3</v>
      </c>
      <c r="AJ452" s="1">
        <f t="shared" si="254"/>
        <v>-4.6902784307856511E-3</v>
      </c>
      <c r="AK452" s="1">
        <f t="shared" si="254"/>
        <v>-5.3770757600482243E-3</v>
      </c>
      <c r="AL452" s="1">
        <f t="shared" si="254"/>
        <v>-4.8856577541058358E-3</v>
      </c>
      <c r="AM452" s="1">
        <f t="shared" si="254"/>
        <v>-4.3269364582801152E-3</v>
      </c>
      <c r="AN452" s="1">
        <f t="shared" si="254"/>
        <v>-3.8499436144194495E-3</v>
      </c>
      <c r="AO452" s="1">
        <f t="shared" si="254"/>
        <v>-3.440318353906938E-3</v>
      </c>
    </row>
    <row r="453" spans="2:41">
      <c r="B453" s="1">
        <f t="shared" ref="B453:AO453" si="255">1/(B257*B404-B355*B306)*((B152*B257+B208*B306)/SQRT(B257^2+B306^2)-(B152*B355+B208*B404)/SQRT(B355^2+B404^2))</f>
        <v>-2.1083445478501325E-2</v>
      </c>
      <c r="C453" s="1">
        <f t="shared" si="255"/>
        <v>-2.6682363209035578E-2</v>
      </c>
      <c r="D453" s="1">
        <f t="shared" si="255"/>
        <v>-3.4424835464440216E-2</v>
      </c>
      <c r="E453" s="1">
        <f t="shared" si="255"/>
        <v>-4.5424725578791819E-2</v>
      </c>
      <c r="F453" s="1">
        <f t="shared" si="255"/>
        <v>-6.047543401540785E-2</v>
      </c>
      <c r="G453" s="1">
        <f t="shared" si="255"/>
        <v>-7.3970120371700615E-2</v>
      </c>
      <c r="H453" s="1">
        <f t="shared" si="255"/>
        <v>-0.10799531446018464</v>
      </c>
      <c r="I453" s="1">
        <f t="shared" si="255"/>
        <v>-0.16568769257203447</v>
      </c>
      <c r="J453" s="1">
        <f t="shared" si="255"/>
        <v>-0.27044238549095601</v>
      </c>
      <c r="K453" s="1">
        <f t="shared" si="255"/>
        <v>-0.47664487733125888</v>
      </c>
      <c r="L453" s="1">
        <f t="shared" si="255"/>
        <v>-0.91806396798170264</v>
      </c>
      <c r="M453" s="1">
        <f t="shared" si="255"/>
        <v>-1.8993347114683363</v>
      </c>
      <c r="N453" s="1">
        <f t="shared" si="255"/>
        <v>-3.6802735430461708</v>
      </c>
      <c r="O453" s="1">
        <f t="shared" si="255"/>
        <v>-4.959505727285995</v>
      </c>
      <c r="P453" s="1">
        <f t="shared" si="255"/>
        <v>-3.6004567343004328</v>
      </c>
      <c r="Q453" s="1">
        <f t="shared" si="255"/>
        <v>-1.7983693524373898</v>
      </c>
      <c r="R453" s="1">
        <f t="shared" si="255"/>
        <v>-0.86345515047592558</v>
      </c>
      <c r="S453" s="1">
        <f t="shared" si="255"/>
        <v>-0.44924183455807987</v>
      </c>
      <c r="T453" s="1">
        <f t="shared" si="255"/>
        <v>-0.25592572375323741</v>
      </c>
      <c r="U453" s="1">
        <f t="shared" si="255"/>
        <v>-0.15742313822798071</v>
      </c>
      <c r="V453" s="1">
        <f t="shared" si="255"/>
        <v>-0.10855909779317707</v>
      </c>
      <c r="W453" s="1">
        <f t="shared" si="255"/>
        <v>-7.4675275913547862E-2</v>
      </c>
      <c r="X453" s="1">
        <f t="shared" si="255"/>
        <v>-5.341379943702209E-2</v>
      </c>
      <c r="Y453" s="1">
        <f t="shared" si="255"/>
        <v>-3.9452826353263241E-2</v>
      </c>
      <c r="Z453" s="1">
        <f t="shared" si="255"/>
        <v>-2.9931035065122583E-2</v>
      </c>
      <c r="AA453" s="1">
        <f t="shared" si="255"/>
        <v>-2.3225600026260812E-2</v>
      </c>
      <c r="AB453" s="1">
        <f t="shared" si="255"/>
        <v>-1.8372859785549034E-2</v>
      </c>
      <c r="AC453" s="1">
        <f t="shared" si="255"/>
        <v>-1.5225027185566059E-2</v>
      </c>
      <c r="AD453" s="1">
        <f t="shared" si="255"/>
        <v>-1.4346407459377247E-2</v>
      </c>
      <c r="AE453" s="1">
        <f t="shared" si="255"/>
        <v>-1.1863082295296697E-2</v>
      </c>
      <c r="AF453" s="1">
        <f t="shared" si="255"/>
        <v>-9.9189155966552655E-3</v>
      </c>
      <c r="AG453" s="1">
        <f t="shared" si="255"/>
        <v>-8.3757544329469986E-3</v>
      </c>
      <c r="AH453" s="1">
        <f t="shared" si="255"/>
        <v>-7.1356843760901978E-3</v>
      </c>
      <c r="AI453" s="1">
        <f t="shared" si="255"/>
        <v>-6.1280405297327815E-3</v>
      </c>
      <c r="AJ453" s="1">
        <f t="shared" si="255"/>
        <v>-5.3009822779425866E-3</v>
      </c>
      <c r="AK453" s="1">
        <f t="shared" si="255"/>
        <v>-5.9997104638495821E-3</v>
      </c>
      <c r="AL453" s="1">
        <f t="shared" si="255"/>
        <v>-5.4179390469933017E-3</v>
      </c>
      <c r="AM453" s="1">
        <f t="shared" si="255"/>
        <v>-4.7738896557246455E-3</v>
      </c>
      <c r="AN453" s="1">
        <f t="shared" si="255"/>
        <v>-4.227615200418559E-3</v>
      </c>
      <c r="AO453" s="1">
        <f t="shared" si="255"/>
        <v>-3.7613107842943585E-3</v>
      </c>
    </row>
    <row r="454" spans="2:41">
      <c r="B454" s="1">
        <f t="shared" ref="B454:AO454" si="256">1/(B258*B405-B356*B307)*((B153*B258+B209*B307)/SQRT(B258^2+B307^2)-(B153*B356+B209*B405)/SQRT(B356^2+B405^2))</f>
        <v>-1.7431076600833432E-2</v>
      </c>
      <c r="C454" s="1">
        <f t="shared" si="256"/>
        <v>-2.1688886216238708E-2</v>
      </c>
      <c r="D454" s="1">
        <f t="shared" si="256"/>
        <v>-2.7437168104024315E-2</v>
      </c>
      <c r="E454" s="1">
        <f t="shared" si="256"/>
        <v>-3.537951868289315E-2</v>
      </c>
      <c r="F454" s="1">
        <f t="shared" si="256"/>
        <v>-4.5773489125752409E-2</v>
      </c>
      <c r="G454" s="1">
        <f t="shared" si="256"/>
        <v>-5.3489266229980875E-2</v>
      </c>
      <c r="H454" s="1">
        <f t="shared" si="256"/>
        <v>-7.4983712901945471E-2</v>
      </c>
      <c r="I454" s="1">
        <f t="shared" si="256"/>
        <v>-0.10938553347009841</v>
      </c>
      <c r="J454" s="1">
        <f t="shared" si="256"/>
        <v>-0.16761456251001616</v>
      </c>
      <c r="K454" s="1">
        <f t="shared" si="256"/>
        <v>-0.27305779881628978</v>
      </c>
      <c r="L454" s="1">
        <f t="shared" si="256"/>
        <v>-0.47969756472102881</v>
      </c>
      <c r="M454" s="1">
        <f t="shared" si="256"/>
        <v>-0.91866974239635035</v>
      </c>
      <c r="N454" s="1">
        <f t="shared" si="256"/>
        <v>-1.8486382878960972</v>
      </c>
      <c r="O454" s="1">
        <f t="shared" si="256"/>
        <v>-3.6527481139377111</v>
      </c>
      <c r="P454" s="1">
        <f t="shared" si="256"/>
        <v>-4.9332658851512745</v>
      </c>
      <c r="Q454" s="1">
        <f t="shared" si="256"/>
        <v>-3.5864779718661017</v>
      </c>
      <c r="R454" s="1">
        <f t="shared" si="256"/>
        <v>-1.795681384388139</v>
      </c>
      <c r="S454" s="1">
        <f t="shared" si="256"/>
        <v>-0.86357413562017993</v>
      </c>
      <c r="T454" s="1">
        <f t="shared" si="256"/>
        <v>-0.44971666915638325</v>
      </c>
      <c r="U454" s="1">
        <f t="shared" si="256"/>
        <v>-0.25633073042180904</v>
      </c>
      <c r="V454" s="1">
        <f t="shared" si="256"/>
        <v>-0.16500957081889944</v>
      </c>
      <c r="W454" s="1">
        <f t="shared" si="256"/>
        <v>-0.10813011389676518</v>
      </c>
      <c r="X454" s="1">
        <f t="shared" si="256"/>
        <v>-7.4359213884474709E-2</v>
      </c>
      <c r="Y454" s="1">
        <f t="shared" si="256"/>
        <v>-5.3177176397983271E-2</v>
      </c>
      <c r="Z454" s="1">
        <f t="shared" si="256"/>
        <v>-3.927238053747506E-2</v>
      </c>
      <c r="AA454" s="1">
        <f t="shared" si="256"/>
        <v>-2.9790918798379747E-2</v>
      </c>
      <c r="AB454" s="1">
        <f t="shared" si="256"/>
        <v>-2.3114957483065059E-2</v>
      </c>
      <c r="AC454" s="1">
        <f t="shared" si="256"/>
        <v>-1.8799852505803447E-2</v>
      </c>
      <c r="AD454" s="1">
        <f t="shared" si="256"/>
        <v>-1.7315555559244418E-2</v>
      </c>
      <c r="AE454" s="1">
        <f t="shared" si="256"/>
        <v>-1.4138147182023542E-2</v>
      </c>
      <c r="AF454" s="1">
        <f t="shared" si="256"/>
        <v>-1.1689333318366411E-2</v>
      </c>
      <c r="AG454" s="1">
        <f t="shared" si="256"/>
        <v>-9.7725800882213047E-3</v>
      </c>
      <c r="AH454" s="1">
        <f t="shared" si="256"/>
        <v>-8.2514383513491978E-3</v>
      </c>
      <c r="AI454" s="1">
        <f t="shared" si="256"/>
        <v>-7.0292382901546236E-3</v>
      </c>
      <c r="AJ454" s="1">
        <f t="shared" si="256"/>
        <v>-6.0362356373800715E-3</v>
      </c>
      <c r="AK454" s="1">
        <f t="shared" si="256"/>
        <v>-6.7373508213226414E-3</v>
      </c>
      <c r="AL454" s="1">
        <f t="shared" si="256"/>
        <v>-6.0433527771435883E-3</v>
      </c>
      <c r="AM454" s="1">
        <f t="shared" si="256"/>
        <v>-5.2954659703430586E-3</v>
      </c>
      <c r="AN454" s="1">
        <f t="shared" si="256"/>
        <v>-4.6655775892599765E-3</v>
      </c>
      <c r="AO454" s="1">
        <f t="shared" si="256"/>
        <v>-4.131390810055491E-3</v>
      </c>
    </row>
    <row r="455" spans="2:41">
      <c r="B455" s="1">
        <f t="shared" ref="B455:AO455" si="257">1/(B259*B406-B357*B308)*((B154*B259+B210*B308)/SQRT(B259^2+B308^2)-(B154*B357+B210*B406)/SQRT(B357^2+B406^2))</f>
        <v>-1.4615743797439332E-2</v>
      </c>
      <c r="C455" s="1">
        <f t="shared" si="257"/>
        <v>-1.7920316683119605E-2</v>
      </c>
      <c r="D455" s="1">
        <f t="shared" si="257"/>
        <v>-2.22901172224798E-2</v>
      </c>
      <c r="E455" s="1">
        <f t="shared" si="257"/>
        <v>-2.818561516070953E-2</v>
      </c>
      <c r="F455" s="1">
        <f t="shared" si="257"/>
        <v>-3.5596550879392216E-2</v>
      </c>
      <c r="G455" s="1">
        <f t="shared" si="257"/>
        <v>-3.9990744837677825E-2</v>
      </c>
      <c r="H455" s="1">
        <f t="shared" si="257"/>
        <v>-5.423710730054572E-2</v>
      </c>
      <c r="I455" s="1">
        <f t="shared" si="257"/>
        <v>-7.59881787254615E-2</v>
      </c>
      <c r="J455" s="1">
        <f t="shared" si="257"/>
        <v>-0.11075891645872193</v>
      </c>
      <c r="K455" s="1">
        <f t="shared" si="257"/>
        <v>-0.16950830341583784</v>
      </c>
      <c r="L455" s="1">
        <f t="shared" si="257"/>
        <v>-0.27560339354223412</v>
      </c>
      <c r="M455" s="1">
        <f t="shared" si="257"/>
        <v>-0.48259524540405879</v>
      </c>
      <c r="N455" s="1">
        <f t="shared" si="257"/>
        <v>-0.88937443042158559</v>
      </c>
      <c r="O455" s="1">
        <f t="shared" si="257"/>
        <v>-1.8367050544988606</v>
      </c>
      <c r="P455" s="1">
        <f t="shared" si="257"/>
        <v>-3.6384855943723031</v>
      </c>
      <c r="Q455" s="1">
        <f t="shared" si="257"/>
        <v>-4.9072317527393432</v>
      </c>
      <c r="R455" s="1">
        <f t="shared" si="257"/>
        <v>-3.5725699513892719</v>
      </c>
      <c r="S455" s="1">
        <f t="shared" si="257"/>
        <v>-1.7929859285468213</v>
      </c>
      <c r="T455" s="1">
        <f t="shared" si="257"/>
        <v>-0.86368469120792168</v>
      </c>
      <c r="U455" s="1">
        <f t="shared" si="257"/>
        <v>-0.45018749039889255</v>
      </c>
      <c r="V455" s="1">
        <f t="shared" si="257"/>
        <v>-0.26656812331683272</v>
      </c>
      <c r="W455" s="1">
        <f t="shared" si="257"/>
        <v>-0.16442053053917718</v>
      </c>
      <c r="X455" s="1">
        <f t="shared" si="257"/>
        <v>-0.107699274550406</v>
      </c>
      <c r="Y455" s="1">
        <f t="shared" si="257"/>
        <v>-7.4042127548330519E-2</v>
      </c>
      <c r="Z455" s="1">
        <f t="shared" si="257"/>
        <v>-5.2939956043047631E-2</v>
      </c>
      <c r="AA455" s="1">
        <f t="shared" si="257"/>
        <v>-3.909156957222603E-2</v>
      </c>
      <c r="AB455" s="1">
        <f t="shared" si="257"/>
        <v>-2.9650570088311557E-2</v>
      </c>
      <c r="AC455" s="1">
        <f t="shared" si="257"/>
        <v>-2.3604639196806668E-2</v>
      </c>
      <c r="AD455" s="1">
        <f t="shared" si="257"/>
        <v>-2.1200753810589352E-2</v>
      </c>
      <c r="AE455" s="1">
        <f t="shared" si="257"/>
        <v>-1.7062367016285069E-2</v>
      </c>
      <c r="AF455" s="1">
        <f t="shared" si="257"/>
        <v>-1.3929208256234367E-2</v>
      </c>
      <c r="AG455" s="1">
        <f t="shared" si="257"/>
        <v>-1.1515093570204402E-2</v>
      </c>
      <c r="AH455" s="1">
        <f t="shared" si="257"/>
        <v>-9.6258833791939089E-3</v>
      </c>
      <c r="AI455" s="1">
        <f t="shared" si="257"/>
        <v>-8.1268522102246714E-3</v>
      </c>
      <c r="AJ455" s="1">
        <f t="shared" si="257"/>
        <v>-6.9225874043597211E-3</v>
      </c>
      <c r="AK455" s="1">
        <f t="shared" si="257"/>
        <v>-7.612473326201059E-3</v>
      </c>
      <c r="AL455" s="1">
        <f t="shared" si="257"/>
        <v>-6.7785155763278558E-3</v>
      </c>
      <c r="AM455" s="1">
        <f t="shared" si="257"/>
        <v>-5.9037550947614818E-3</v>
      </c>
      <c r="AN455" s="1">
        <f t="shared" si="257"/>
        <v>-5.1726501121412E-3</v>
      </c>
      <c r="AO455" s="1">
        <f t="shared" si="257"/>
        <v>-4.5569940934730669E-3</v>
      </c>
    </row>
    <row r="456" spans="2:41">
      <c r="B456" s="1">
        <f t="shared" ref="B456:AO456" si="258">1/(B260*B407-B358*B309)*((B155*B260+B211*B309)/SQRT(B260^2+B309^2)-(B155*B358+B211*B407)/SQRT(B358^2+B407^2))</f>
        <v>-1.2406046293999808E-2</v>
      </c>
      <c r="C456" s="1">
        <f t="shared" si="258"/>
        <v>-1.5016513685177724E-2</v>
      </c>
      <c r="D456" s="1">
        <f t="shared" si="258"/>
        <v>-1.8406593640486333E-2</v>
      </c>
      <c r="E456" s="1">
        <f t="shared" si="258"/>
        <v>-2.2886993367594297E-2</v>
      </c>
      <c r="F456" s="1">
        <f t="shared" si="258"/>
        <v>-2.8314567009380266E-2</v>
      </c>
      <c r="G456" s="1">
        <f t="shared" si="258"/>
        <v>-3.0732122780055597E-2</v>
      </c>
      <c r="H456" s="1">
        <f t="shared" si="258"/>
        <v>-4.055536558719193E-2</v>
      </c>
      <c r="I456" s="1">
        <f t="shared" si="258"/>
        <v>-5.4979651596947433E-2</v>
      </c>
      <c r="J456" s="1">
        <f t="shared" si="258"/>
        <v>-7.6983427097794196E-2</v>
      </c>
      <c r="K456" s="1">
        <f t="shared" si="258"/>
        <v>-0.11211534126711925</v>
      </c>
      <c r="L456" s="1">
        <f t="shared" si="258"/>
        <v>-0.171368806013109</v>
      </c>
      <c r="M456" s="1">
        <f t="shared" si="258"/>
        <v>-0.27807937527679155</v>
      </c>
      <c r="N456" s="1">
        <f t="shared" si="258"/>
        <v>-0.4636177542379179</v>
      </c>
      <c r="O456" s="1">
        <f t="shared" si="258"/>
        <v>-0.88352029961771794</v>
      </c>
      <c r="P456" s="1">
        <f t="shared" si="258"/>
        <v>-1.8339321488249654</v>
      </c>
      <c r="Q456" s="1">
        <f t="shared" si="258"/>
        <v>-3.6242956225687122</v>
      </c>
      <c r="R456" s="1">
        <f t="shared" si="258"/>
        <v>-4.8814012054290963</v>
      </c>
      <c r="S456" s="1">
        <f t="shared" si="258"/>
        <v>-3.5587322912297137</v>
      </c>
      <c r="T456" s="1">
        <f t="shared" si="258"/>
        <v>-1.7902831474265504</v>
      </c>
      <c r="U456" s="1">
        <f t="shared" si="258"/>
        <v>-0.86378686663602944</v>
      </c>
      <c r="V456" s="1">
        <f t="shared" si="258"/>
        <v>-0.46448401211032414</v>
      </c>
      <c r="W456" s="1">
        <f t="shared" si="258"/>
        <v>-0.26577899501448038</v>
      </c>
      <c r="X456" s="1">
        <f t="shared" si="258"/>
        <v>-0.16382791549317136</v>
      </c>
      <c r="Y456" s="1">
        <f t="shared" si="258"/>
        <v>-0.10726658300784708</v>
      </c>
      <c r="Z456" s="1">
        <f t="shared" si="258"/>
        <v>-7.3724019558815315E-2</v>
      </c>
      <c r="AA456" s="1">
        <f t="shared" si="258"/>
        <v>-5.2702140269514558E-2</v>
      </c>
      <c r="AB456" s="1">
        <f t="shared" si="258"/>
        <v>-3.8910394773089843E-2</v>
      </c>
      <c r="AC456" s="1">
        <f t="shared" si="258"/>
        <v>-3.0217694822878231E-2</v>
      </c>
      <c r="AD456" s="1">
        <f t="shared" si="258"/>
        <v>-2.638990061548848E-2</v>
      </c>
      <c r="AE456" s="1">
        <f t="shared" si="258"/>
        <v>-2.0889036302897377E-2</v>
      </c>
      <c r="AF456" s="1">
        <f t="shared" si="258"/>
        <v>-1.6808235720603172E-2</v>
      </c>
      <c r="AG456" s="1">
        <f t="shared" si="258"/>
        <v>-1.3719601324028635E-2</v>
      </c>
      <c r="AH456" s="1">
        <f t="shared" si="258"/>
        <v>-1.1340371030262858E-2</v>
      </c>
      <c r="AI456" s="1">
        <f t="shared" si="258"/>
        <v>-9.4788315296375266E-3</v>
      </c>
      <c r="AJ456" s="1">
        <f t="shared" si="258"/>
        <v>-8.0020006683640954E-3</v>
      </c>
      <c r="AK456" s="1">
        <f t="shared" si="258"/>
        <v>-8.6600907764283665E-3</v>
      </c>
      <c r="AL456" s="1">
        <f t="shared" si="258"/>
        <v>-7.6497592908676224E-3</v>
      </c>
      <c r="AM456" s="1">
        <f t="shared" si="258"/>
        <v>-6.6184609738923683E-3</v>
      </c>
      <c r="AN456" s="1">
        <f t="shared" si="258"/>
        <v>-5.7637356213434444E-3</v>
      </c>
      <c r="AO456" s="1">
        <f t="shared" si="258"/>
        <v>-5.0495033978891855E-3</v>
      </c>
    </row>
    <row r="457" spans="2:41">
      <c r="B457" s="1">
        <f t="shared" ref="B457:AO457" si="259">1/(B261*B408-B359*B310)*((B156*B261+B212*B310)/SQRT(B261^2+B310^2)-(B156*B359+B212*B408)/SQRT(B359^2+B408^2))</f>
        <v>-1.0644042204935299E-2</v>
      </c>
      <c r="C457" s="1">
        <f t="shared" si="259"/>
        <v>-1.2738328254723317E-2</v>
      </c>
      <c r="D457" s="1">
        <f t="shared" si="259"/>
        <v>-1.5415147056591033E-2</v>
      </c>
      <c r="E457" s="1">
        <f t="shared" si="259"/>
        <v>-1.888980442335577E-2</v>
      </c>
      <c r="F457" s="1">
        <f t="shared" si="259"/>
        <v>-2.2956335068798395E-2</v>
      </c>
      <c r="G457" s="1">
        <f t="shared" si="259"/>
        <v>-2.4166725429925186E-2</v>
      </c>
      <c r="H457" s="1">
        <f t="shared" si="259"/>
        <v>-3.1167442916786348E-2</v>
      </c>
      <c r="I457" s="1">
        <f t="shared" si="259"/>
        <v>-4.1116752219837814E-2</v>
      </c>
      <c r="J457" s="1">
        <f t="shared" si="259"/>
        <v>-5.5716838453928975E-2</v>
      </c>
      <c r="K457" s="1">
        <f t="shared" si="259"/>
        <v>-7.7969370392633588E-2</v>
      </c>
      <c r="L457" s="1">
        <f t="shared" si="259"/>
        <v>-0.11345469268106059</v>
      </c>
      <c r="M457" s="1">
        <f t="shared" si="259"/>
        <v>-0.17319597731891237</v>
      </c>
      <c r="N457" s="1">
        <f t="shared" si="259"/>
        <v>-0.26478906932750562</v>
      </c>
      <c r="O457" s="1">
        <f t="shared" si="259"/>
        <v>-0.46006689405842588</v>
      </c>
      <c r="P457" s="1">
        <f t="shared" si="259"/>
        <v>-0.88363553457613642</v>
      </c>
      <c r="Q457" s="1">
        <f t="shared" si="259"/>
        <v>-1.8311516375591443</v>
      </c>
      <c r="R457" s="1">
        <f t="shared" si="259"/>
        <v>-3.6101778049679383</v>
      </c>
      <c r="S457" s="1">
        <f t="shared" si="259"/>
        <v>-4.8557721457091718</v>
      </c>
      <c r="T457" s="1">
        <f t="shared" si="259"/>
        <v>-3.5449646111157183</v>
      </c>
      <c r="U457" s="1">
        <f t="shared" si="259"/>
        <v>-1.787573201886816</v>
      </c>
      <c r="V457" s="1">
        <f t="shared" si="259"/>
        <v>-0.88422839100910189</v>
      </c>
      <c r="W457" s="1">
        <f t="shared" si="259"/>
        <v>-0.46358438283102149</v>
      </c>
      <c r="X457" s="1">
        <f t="shared" si="259"/>
        <v>-0.264982488427005</v>
      </c>
      <c r="Y457" s="1">
        <f t="shared" si="259"/>
        <v>-0.1632317276344285</v>
      </c>
      <c r="Z457" s="1">
        <f t="shared" si="259"/>
        <v>-0.10683204260173138</v>
      </c>
      <c r="AA457" s="1">
        <f t="shared" si="259"/>
        <v>-7.3404892605926197E-2</v>
      </c>
      <c r="AB457" s="1">
        <f t="shared" si="259"/>
        <v>-5.2463730992339128E-2</v>
      </c>
      <c r="AC457" s="1">
        <f t="shared" si="259"/>
        <v>-3.9574793817834783E-2</v>
      </c>
      <c r="AD457" s="1">
        <f t="shared" si="259"/>
        <v>-3.3486639844752315E-2</v>
      </c>
      <c r="AE457" s="1">
        <f t="shared" si="259"/>
        <v>-2.6000664234089723E-2</v>
      </c>
      <c r="AF457" s="1">
        <f t="shared" si="259"/>
        <v>-2.0575978207568402E-2</v>
      </c>
      <c r="AG457" s="1">
        <f t="shared" si="259"/>
        <v>-1.6553176211839573E-2</v>
      </c>
      <c r="AH457" s="1">
        <f t="shared" si="259"/>
        <v>-1.3509337126357882E-2</v>
      </c>
      <c r="AI457" s="1">
        <f t="shared" si="259"/>
        <v>-1.1165173741258805E-2</v>
      </c>
      <c r="AJ457" s="1">
        <f t="shared" si="259"/>
        <v>-9.3314306410376986E-3</v>
      </c>
      <c r="AK457" s="1">
        <f t="shared" si="259"/>
        <v>-9.9267484503561994E-3</v>
      </c>
      <c r="AL457" s="1">
        <f t="shared" si="259"/>
        <v>-8.6915817011162244E-3</v>
      </c>
      <c r="AM457" s="1">
        <f t="shared" si="259"/>
        <v>-7.4650682555188587E-3</v>
      </c>
      <c r="AN457" s="1">
        <f t="shared" si="259"/>
        <v>-6.457882175994036E-3</v>
      </c>
      <c r="AO457" s="1">
        <f t="shared" si="259"/>
        <v>-5.6233091651228554E-3</v>
      </c>
    </row>
    <row r="458" spans="2:41">
      <c r="B458" s="1">
        <f t="shared" ref="B458:AO458" si="260">1/(B262*B409-B360*B311)*((B157*B262+B213*B311)/SQRT(B262^2+B311^2)-(B157*B360+B213*B409)/SQRT(B360^2+B409^2))</f>
        <v>-9.2192756455811483E-3</v>
      </c>
      <c r="C458" s="1">
        <f t="shared" si="260"/>
        <v>-1.092251289892221E-2</v>
      </c>
      <c r="D458" s="1">
        <f t="shared" si="260"/>
        <v>-1.306903684906166E-2</v>
      </c>
      <c r="E458" s="1">
        <f t="shared" si="260"/>
        <v>-1.5811569262675244E-2</v>
      </c>
      <c r="F458" s="1">
        <f t="shared" si="260"/>
        <v>-1.8918438157382034E-2</v>
      </c>
      <c r="G458" s="1">
        <f t="shared" si="260"/>
        <v>-1.9378284224810832E-2</v>
      </c>
      <c r="H458" s="1">
        <f t="shared" si="260"/>
        <v>-2.4508687332211811E-2</v>
      </c>
      <c r="I458" s="1">
        <f t="shared" si="260"/>
        <v>-3.1600701968082047E-2</v>
      </c>
      <c r="J458" s="1">
        <f t="shared" si="260"/>
        <v>-4.1674864245064051E-2</v>
      </c>
      <c r="K458" s="1">
        <f t="shared" si="260"/>
        <v>-5.6448608700111903E-2</v>
      </c>
      <c r="L458" s="1">
        <f t="shared" si="260"/>
        <v>-7.8945924106502738E-2</v>
      </c>
      <c r="M458" s="1">
        <f t="shared" si="260"/>
        <v>-0.11477686240077768</v>
      </c>
      <c r="N458" s="1">
        <f t="shared" si="260"/>
        <v>-0.16338267949174837</v>
      </c>
      <c r="O458" s="1">
        <f t="shared" si="260"/>
        <v>-0.26234276345746393</v>
      </c>
      <c r="P458" s="1">
        <f t="shared" si="260"/>
        <v>-0.46054910711771485</v>
      </c>
      <c r="Q458" s="1">
        <f t="shared" si="260"/>
        <v>-0.88374214623824288</v>
      </c>
      <c r="R458" s="1">
        <f t="shared" si="260"/>
        <v>-1.8283636875573883</v>
      </c>
      <c r="S458" s="1">
        <f t="shared" si="260"/>
        <v>-3.5961317494432454</v>
      </c>
      <c r="T458" s="1">
        <f t="shared" si="260"/>
        <v>-4.8303425027676266</v>
      </c>
      <c r="U458" s="1">
        <f t="shared" si="260"/>
        <v>-3.5312665321609282</v>
      </c>
      <c r="V458" s="1">
        <f t="shared" si="260"/>
        <v>-1.8157302471232937</v>
      </c>
      <c r="W458" s="1">
        <f t="shared" si="260"/>
        <v>-0.88411653052816708</v>
      </c>
      <c r="X458" s="1">
        <f t="shared" si="260"/>
        <v>-0.46266866980132465</v>
      </c>
      <c r="Y458" s="1">
        <f t="shared" si="260"/>
        <v>-0.26417859320119202</v>
      </c>
      <c r="Z458" s="1">
        <f t="shared" si="260"/>
        <v>-0.16263196909730501</v>
      </c>
      <c r="AA458" s="1">
        <f t="shared" si="260"/>
        <v>-0.10639565674375699</v>
      </c>
      <c r="AB458" s="1">
        <f t="shared" si="260"/>
        <v>-7.308474941597784E-2</v>
      </c>
      <c r="AC458" s="1">
        <f t="shared" si="260"/>
        <v>-5.3252850338901037E-2</v>
      </c>
      <c r="AD458" s="1">
        <f t="shared" si="260"/>
        <v>-4.3463875501488329E-2</v>
      </c>
      <c r="AE458" s="1">
        <f t="shared" si="260"/>
        <v>-3.2992856940920627E-2</v>
      </c>
      <c r="AF458" s="1">
        <f t="shared" si="260"/>
        <v>-2.5609469937392184E-2</v>
      </c>
      <c r="AG458" s="1">
        <f t="shared" si="260"/>
        <v>-2.0261599733220614E-2</v>
      </c>
      <c r="AH458" s="1">
        <f t="shared" si="260"/>
        <v>-1.6297203186417066E-2</v>
      </c>
      <c r="AI458" s="1">
        <f t="shared" si="260"/>
        <v>-1.3298426501709572E-2</v>
      </c>
      <c r="AJ458" s="1">
        <f t="shared" si="260"/>
        <v>-1.0989509808222518E-2</v>
      </c>
      <c r="AK458" s="1">
        <f t="shared" si="260"/>
        <v>-1.1475275541674398E-2</v>
      </c>
      <c r="AL458" s="1">
        <f t="shared" si="260"/>
        <v>-9.94980958111393E-3</v>
      </c>
      <c r="AM458" s="1">
        <f t="shared" si="260"/>
        <v>-8.4769570141499627E-3</v>
      </c>
      <c r="AN458" s="1">
        <f t="shared" si="260"/>
        <v>-7.279718619945471E-3</v>
      </c>
      <c r="AO458" s="1">
        <f t="shared" si="260"/>
        <v>-6.2967977467798496E-3</v>
      </c>
    </row>
    <row r="459" spans="2:41">
      <c r="B459" s="1">
        <f t="shared" ref="B459:AO459" si="261">1/(B263*B410-B361*B312)*((B158*B263+B214*B312)/SQRT(B263^2+B312^2)-(B158*B361+B214*B410)/SQRT(B361^2+B410^2))</f>
        <v>-8.0528224925674394E-3</v>
      </c>
      <c r="C459" s="1">
        <f t="shared" si="261"/>
        <v>-9.4549013167467694E-3</v>
      </c>
      <c r="D459" s="1">
        <f t="shared" si="261"/>
        <v>-1.1199803139233765E-2</v>
      </c>
      <c r="E459" s="1">
        <f t="shared" si="261"/>
        <v>-1.3398117012936949E-2</v>
      </c>
      <c r="F459" s="1">
        <f t="shared" si="261"/>
        <v>-1.5812255515740909E-2</v>
      </c>
      <c r="G459" s="1">
        <f t="shared" si="261"/>
        <v>-1.5800811577971325E-2</v>
      </c>
      <c r="H459" s="1">
        <f t="shared" si="261"/>
        <v>-1.9651393852341572E-2</v>
      </c>
      <c r="I459" s="1">
        <f t="shared" si="261"/>
        <v>-2.4849286995192413E-2</v>
      </c>
      <c r="J459" s="1">
        <f t="shared" si="261"/>
        <v>-3.2031872536123725E-2</v>
      </c>
      <c r="K459" s="1">
        <f t="shared" si="261"/>
        <v>-4.2229661933591997E-2</v>
      </c>
      <c r="L459" s="1">
        <f t="shared" si="261"/>
        <v>-5.7174904665412668E-2</v>
      </c>
      <c r="M459" s="1">
        <f t="shared" si="261"/>
        <v>-7.9913006861592639E-2</v>
      </c>
      <c r="N459" s="1">
        <f t="shared" si="261"/>
        <v>-0.10724536874761535</v>
      </c>
      <c r="O459" s="1">
        <f t="shared" si="261"/>
        <v>-0.16157380678195324</v>
      </c>
      <c r="P459" s="1">
        <f t="shared" si="261"/>
        <v>-0.26275396800004641</v>
      </c>
      <c r="Q459" s="1">
        <f t="shared" si="261"/>
        <v>-0.46102723665693851</v>
      </c>
      <c r="R459" s="1">
        <f t="shared" si="261"/>
        <v>-0.88384018484101523</v>
      </c>
      <c r="S459" s="1">
        <f t="shared" si="261"/>
        <v>-1.8255684639788863</v>
      </c>
      <c r="T459" s="1">
        <f t="shared" si="261"/>
        <v>-3.5821570653171833</v>
      </c>
      <c r="U459" s="1">
        <f t="shared" si="261"/>
        <v>-4.8051102320886612</v>
      </c>
      <c r="V459" s="1">
        <f t="shared" si="261"/>
        <v>-3.5613280095040007</v>
      </c>
      <c r="W459" s="1">
        <f t="shared" si="261"/>
        <v>-1.8213623477961611</v>
      </c>
      <c r="X459" s="1">
        <f t="shared" si="261"/>
        <v>-0.88397127795757513</v>
      </c>
      <c r="Y459" s="1">
        <f t="shared" si="261"/>
        <v>-0.46173679514098187</v>
      </c>
      <c r="Z459" s="1">
        <f t="shared" si="261"/>
        <v>-0.26336729940185549</v>
      </c>
      <c r="AA459" s="1">
        <f t="shared" si="261"/>
        <v>-0.16202864219792507</v>
      </c>
      <c r="AB459" s="1">
        <f t="shared" si="261"/>
        <v>-0.10595742892486425</v>
      </c>
      <c r="AC459" s="1">
        <f t="shared" si="261"/>
        <v>-7.4038136997907927E-2</v>
      </c>
      <c r="AD459" s="1">
        <f t="shared" si="261"/>
        <v>-5.7954709789001878E-2</v>
      </c>
      <c r="AE459" s="1">
        <f t="shared" si="261"/>
        <v>-4.2826315624372648E-2</v>
      </c>
      <c r="AF459" s="1">
        <f t="shared" si="261"/>
        <v>-3.2496125108567586E-2</v>
      </c>
      <c r="AG459" s="1">
        <f t="shared" si="261"/>
        <v>-2.5216346322298459E-2</v>
      </c>
      <c r="AH459" s="1">
        <f t="shared" si="261"/>
        <v>-1.9945921344810436E-2</v>
      </c>
      <c r="AI459" s="1">
        <f t="shared" si="261"/>
        <v>-1.6040331495380825E-2</v>
      </c>
      <c r="AJ459" s="1">
        <f t="shared" si="261"/>
        <v>-1.3086880384675349E-2</v>
      </c>
      <c r="AK459" s="1">
        <f t="shared" si="261"/>
        <v>-1.3391932269224254E-2</v>
      </c>
      <c r="AL459" s="1">
        <f t="shared" si="261"/>
        <v>-1.1486258028316742E-2</v>
      </c>
      <c r="AM459" s="1">
        <f t="shared" si="261"/>
        <v>-9.6984602277940448E-3</v>
      </c>
      <c r="AN459" s="1">
        <f t="shared" si="261"/>
        <v>-8.2614948709396046E-3</v>
      </c>
      <c r="AO459" s="1">
        <f t="shared" si="261"/>
        <v>-7.0937338999117793E-3</v>
      </c>
    </row>
    <row r="460" spans="2:41">
      <c r="B460" s="1">
        <f t="shared" ref="B460:AO460" si="262">1/(B264*B411-B362*B313)*((B159*B264+B215*B313)/SQRT(B264^2+B313^2)-(B159*B362+B215*B411)/SQRT(B362^2+B411^2))</f>
        <v>-7.093733899911794E-3</v>
      </c>
      <c r="C460" s="1">
        <f t="shared" si="262"/>
        <v>-8.26149487093868E-3</v>
      </c>
      <c r="D460" s="1">
        <f t="shared" si="262"/>
        <v>-9.6984602277959339E-3</v>
      </c>
      <c r="E460" s="1">
        <f t="shared" si="262"/>
        <v>-1.1486258028316742E-2</v>
      </c>
      <c r="F460" s="1">
        <f t="shared" si="262"/>
        <v>-1.3391932269225226E-2</v>
      </c>
      <c r="G460" s="1">
        <f t="shared" si="262"/>
        <v>-1.3086880384676569E-2</v>
      </c>
      <c r="H460" s="1">
        <f t="shared" si="262"/>
        <v>-1.6040331495379628E-2</v>
      </c>
      <c r="I460" s="1">
        <f t="shared" si="262"/>
        <v>-1.9945921344812906E-2</v>
      </c>
      <c r="J460" s="1">
        <f t="shared" si="262"/>
        <v>-2.5216346322298459E-2</v>
      </c>
      <c r="K460" s="1">
        <f t="shared" si="262"/>
        <v>-3.2496125108566351E-2</v>
      </c>
      <c r="L460" s="1">
        <f t="shared" si="262"/>
        <v>-4.2826315624371412E-2</v>
      </c>
      <c r="M460" s="1">
        <f t="shared" si="262"/>
        <v>-5.7954709789003113E-2</v>
      </c>
      <c r="N460" s="1">
        <f t="shared" si="262"/>
        <v>-7.4038136997907927E-2</v>
      </c>
      <c r="O460" s="1">
        <f t="shared" si="262"/>
        <v>-0.10595742892486699</v>
      </c>
      <c r="P460" s="1">
        <f t="shared" si="262"/>
        <v>-0.16202864219792082</v>
      </c>
      <c r="Q460" s="1">
        <f t="shared" si="262"/>
        <v>-0.26336729940185549</v>
      </c>
      <c r="R460" s="1">
        <f t="shared" si="262"/>
        <v>-0.46173679514098326</v>
      </c>
      <c r="S460" s="1">
        <f t="shared" si="262"/>
        <v>-0.88397127795756747</v>
      </c>
      <c r="T460" s="1">
        <f t="shared" si="262"/>
        <v>-1.8213623477961767</v>
      </c>
      <c r="U460" s="1">
        <f t="shared" si="262"/>
        <v>-3.5613280095039683</v>
      </c>
      <c r="V460" s="1">
        <f t="shared" si="262"/>
        <v>-4.805110232088702</v>
      </c>
      <c r="W460" s="1">
        <f t="shared" si="262"/>
        <v>-3.5821570653171548</v>
      </c>
      <c r="X460" s="1">
        <f t="shared" si="262"/>
        <v>-1.8255684639788987</v>
      </c>
      <c r="Y460" s="1">
        <f t="shared" si="262"/>
        <v>-0.88384018484101456</v>
      </c>
      <c r="Z460" s="1">
        <f t="shared" si="262"/>
        <v>-0.46102723665693851</v>
      </c>
      <c r="AA460" s="1">
        <f t="shared" si="262"/>
        <v>-0.26275396800004486</v>
      </c>
      <c r="AB460" s="1">
        <f t="shared" si="262"/>
        <v>-0.16157380678195335</v>
      </c>
      <c r="AC460" s="1">
        <f t="shared" si="262"/>
        <v>-0.10724536874761671</v>
      </c>
      <c r="AD460" s="1">
        <f t="shared" si="262"/>
        <v>-7.9913006861593902E-2</v>
      </c>
      <c r="AE460" s="1">
        <f t="shared" si="262"/>
        <v>-5.7174904665412668E-2</v>
      </c>
      <c r="AF460" s="1">
        <f t="shared" si="262"/>
        <v>-4.2229661933591997E-2</v>
      </c>
      <c r="AG460" s="1">
        <f t="shared" si="262"/>
        <v>-3.203187253612623E-2</v>
      </c>
      <c r="AH460" s="1">
        <f t="shared" si="262"/>
        <v>-2.4849286995192382E-2</v>
      </c>
      <c r="AI460" s="1">
        <f t="shared" si="262"/>
        <v>-1.9651393852342852E-2</v>
      </c>
      <c r="AJ460" s="1">
        <f t="shared" si="262"/>
        <v>-1.580081157797256E-2</v>
      </c>
      <c r="AK460" s="1">
        <f t="shared" si="262"/>
        <v>-1.5812255515739886E-2</v>
      </c>
      <c r="AL460" s="1">
        <f t="shared" si="262"/>
        <v>-1.3398117012935938E-2</v>
      </c>
      <c r="AM460" s="1">
        <f t="shared" si="262"/>
        <v>-1.1199803139234833E-2</v>
      </c>
      <c r="AN460" s="1">
        <f t="shared" si="262"/>
        <v>-9.4549013167467225E-3</v>
      </c>
      <c r="AO460" s="1">
        <f t="shared" si="262"/>
        <v>-8.0528224925684212E-3</v>
      </c>
    </row>
    <row r="461" spans="2:41">
      <c r="B461" s="1">
        <f t="shared" ref="B461:AO461" si="263">1/(B265*B412-B363*B314)*((B160*B265+B216*B314)/SQRT(B265^2+B314^2)-(B160*B363+B216*B412)/SQRT(B363^2+B412^2))</f>
        <v>-6.296797746777009E-3</v>
      </c>
      <c r="C461" s="1">
        <f t="shared" si="263"/>
        <v>-7.2797186199464728E-3</v>
      </c>
      <c r="D461" s="1">
        <f t="shared" si="263"/>
        <v>-8.4769570141489687E-3</v>
      </c>
      <c r="E461" s="1">
        <f t="shared" si="263"/>
        <v>-9.9498095811130019E-3</v>
      </c>
      <c r="F461" s="1">
        <f t="shared" si="263"/>
        <v>-1.1475275541676364E-2</v>
      </c>
      <c r="G461" s="1">
        <f t="shared" si="263"/>
        <v>-1.0989509808221278E-2</v>
      </c>
      <c r="H461" s="1">
        <f t="shared" si="263"/>
        <v>-1.3298426501710786E-2</v>
      </c>
      <c r="I461" s="1">
        <f t="shared" si="263"/>
        <v>-1.6297203186417045E-2</v>
      </c>
      <c r="J461" s="1">
        <f t="shared" si="263"/>
        <v>-2.0261599733219424E-2</v>
      </c>
      <c r="K461" s="1">
        <f t="shared" si="263"/>
        <v>-2.5609469937392184E-2</v>
      </c>
      <c r="L461" s="1">
        <f t="shared" si="263"/>
        <v>-3.2992856940920585E-2</v>
      </c>
      <c r="M461" s="1">
        <f t="shared" si="263"/>
        <v>-4.3463875501490758E-2</v>
      </c>
      <c r="N461" s="1">
        <f t="shared" si="263"/>
        <v>-5.3252850338901037E-2</v>
      </c>
      <c r="O461" s="1">
        <f t="shared" si="263"/>
        <v>-7.3084749415977743E-2</v>
      </c>
      <c r="P461" s="1">
        <f t="shared" si="263"/>
        <v>-0.10639565674375578</v>
      </c>
      <c r="Q461" s="1">
        <f t="shared" si="263"/>
        <v>-0.16263196909730754</v>
      </c>
      <c r="R461" s="1">
        <f t="shared" si="263"/>
        <v>-0.26417859320119491</v>
      </c>
      <c r="S461" s="1">
        <f t="shared" si="263"/>
        <v>-0.46266866980132132</v>
      </c>
      <c r="T461" s="1">
        <f t="shared" si="263"/>
        <v>-0.88411653052817751</v>
      </c>
      <c r="U461" s="1">
        <f t="shared" si="263"/>
        <v>-1.8157302471232732</v>
      </c>
      <c r="V461" s="1">
        <f t="shared" si="263"/>
        <v>-3.5312665321609606</v>
      </c>
      <c r="W461" s="1">
        <f t="shared" si="263"/>
        <v>-4.8303425027675955</v>
      </c>
      <c r="X461" s="1">
        <f t="shared" si="263"/>
        <v>-3.5961317494432703</v>
      </c>
      <c r="Y461" s="1">
        <f t="shared" si="263"/>
        <v>-1.8283636875573828</v>
      </c>
      <c r="Z461" s="1">
        <f t="shared" si="263"/>
        <v>-0.88374214623824188</v>
      </c>
      <c r="AA461" s="1">
        <f t="shared" si="263"/>
        <v>-0.46054910711771518</v>
      </c>
      <c r="AB461" s="1">
        <f t="shared" si="263"/>
        <v>-0.26234276345746116</v>
      </c>
      <c r="AC461" s="1">
        <f t="shared" si="263"/>
        <v>-0.16338267949175089</v>
      </c>
      <c r="AD461" s="1">
        <f t="shared" si="263"/>
        <v>-0.11477686240077634</v>
      </c>
      <c r="AE461" s="1">
        <f t="shared" si="263"/>
        <v>-7.8945924106502738E-2</v>
      </c>
      <c r="AF461" s="1">
        <f t="shared" si="263"/>
        <v>-5.6448608700111903E-2</v>
      </c>
      <c r="AG461" s="1">
        <f t="shared" si="263"/>
        <v>-4.1674864245064003E-2</v>
      </c>
      <c r="AH461" s="1">
        <f t="shared" si="263"/>
        <v>-3.1600701968082047E-2</v>
      </c>
      <c r="AI461" s="1">
        <f t="shared" si="263"/>
        <v>-2.450868733221187E-2</v>
      </c>
      <c r="AJ461" s="1">
        <f t="shared" si="263"/>
        <v>-1.9378284224809587E-2</v>
      </c>
      <c r="AK461" s="1">
        <f t="shared" si="263"/>
        <v>-1.8918438157379917E-2</v>
      </c>
      <c r="AL461" s="1">
        <f t="shared" si="263"/>
        <v>-1.5811569262676222E-2</v>
      </c>
      <c r="AM461" s="1">
        <f t="shared" si="263"/>
        <v>-1.3069036849059704E-2</v>
      </c>
      <c r="AN461" s="1">
        <f t="shared" si="263"/>
        <v>-1.0922512898922154E-2</v>
      </c>
      <c r="AO461" s="1">
        <f t="shared" si="263"/>
        <v>-9.2192756455811396E-3</v>
      </c>
    </row>
    <row r="462" spans="2:41">
      <c r="B462" s="1">
        <f t="shared" ref="B462:AO462" si="264">1/(B266*B413-B364*B315)*((B161*B266+B217*B315)/SQRT(B266^2+B315^2)-(B161*B364+B217*B413)/SQRT(B364^2+B413^2))</f>
        <v>-5.6233091651219334E-3</v>
      </c>
      <c r="C462" s="1">
        <f t="shared" si="264"/>
        <v>-6.4578821759959174E-3</v>
      </c>
      <c r="D462" s="1">
        <f t="shared" si="264"/>
        <v>-7.4650682555169722E-3</v>
      </c>
      <c r="E462" s="1">
        <f t="shared" si="264"/>
        <v>-8.69158170111624E-3</v>
      </c>
      <c r="F462" s="1">
        <f t="shared" si="264"/>
        <v>-9.9267484503571292E-3</v>
      </c>
      <c r="G462" s="1">
        <f t="shared" si="264"/>
        <v>-9.3314306410388712E-3</v>
      </c>
      <c r="H462" s="1">
        <f t="shared" si="264"/>
        <v>-1.1165173741260028E-2</v>
      </c>
      <c r="I462" s="1">
        <f t="shared" si="264"/>
        <v>-1.3509337126359076E-2</v>
      </c>
      <c r="J462" s="1">
        <f t="shared" si="264"/>
        <v>-1.6553176211841981E-2</v>
      </c>
      <c r="K462" s="1">
        <f t="shared" si="264"/>
        <v>-2.057597820757201E-2</v>
      </c>
      <c r="L462" s="1">
        <f t="shared" si="264"/>
        <v>-2.6000664234088557E-2</v>
      </c>
      <c r="M462" s="1">
        <f t="shared" si="264"/>
        <v>-3.3486639844752232E-2</v>
      </c>
      <c r="N462" s="1">
        <f t="shared" si="264"/>
        <v>-3.9574793817836115E-2</v>
      </c>
      <c r="O462" s="1">
        <f t="shared" si="264"/>
        <v>-5.2463730992339204E-2</v>
      </c>
      <c r="P462" s="1">
        <f t="shared" si="264"/>
        <v>-7.3404892605927557E-2</v>
      </c>
      <c r="Q462" s="1">
        <f t="shared" si="264"/>
        <v>-0.10683204260172988</v>
      </c>
      <c r="R462" s="1">
        <f t="shared" si="264"/>
        <v>-0.16323172763442689</v>
      </c>
      <c r="S462" s="1">
        <f t="shared" si="264"/>
        <v>-0.26498248842700273</v>
      </c>
      <c r="T462" s="1">
        <f t="shared" si="264"/>
        <v>-0.46358438283102377</v>
      </c>
      <c r="U462" s="1">
        <f t="shared" si="264"/>
        <v>-0.88422839100909201</v>
      </c>
      <c r="V462" s="1">
        <f t="shared" si="264"/>
        <v>-1.7875732018868324</v>
      </c>
      <c r="W462" s="1">
        <f t="shared" si="264"/>
        <v>-3.5449646111156929</v>
      </c>
      <c r="X462" s="1">
        <f t="shared" si="264"/>
        <v>-4.8557721457092056</v>
      </c>
      <c r="Y462" s="1">
        <f t="shared" si="264"/>
        <v>-3.6101778049679321</v>
      </c>
      <c r="Z462" s="1">
        <f t="shared" si="264"/>
        <v>-1.831151637559139</v>
      </c>
      <c r="AA462" s="1">
        <f t="shared" si="264"/>
        <v>-0.88363553457613475</v>
      </c>
      <c r="AB462" s="1">
        <f t="shared" si="264"/>
        <v>-0.46006689405842449</v>
      </c>
      <c r="AC462" s="1">
        <f t="shared" si="264"/>
        <v>-0.26478906932750579</v>
      </c>
      <c r="AD462" s="1">
        <f t="shared" si="264"/>
        <v>-0.17319597731890976</v>
      </c>
      <c r="AE462" s="1">
        <f t="shared" si="264"/>
        <v>-0.11345469268106059</v>
      </c>
      <c r="AF462" s="1">
        <f t="shared" si="264"/>
        <v>-7.7969370392633477E-2</v>
      </c>
      <c r="AG462" s="1">
        <f t="shared" si="264"/>
        <v>-5.5716838453931564E-2</v>
      </c>
      <c r="AH462" s="1">
        <f t="shared" si="264"/>
        <v>-4.1116752219837759E-2</v>
      </c>
      <c r="AI462" s="1">
        <f t="shared" si="264"/>
        <v>-3.116744291678631E-2</v>
      </c>
      <c r="AJ462" s="1">
        <f t="shared" si="264"/>
        <v>-2.4166725429925186E-2</v>
      </c>
      <c r="AK462" s="1">
        <f t="shared" si="264"/>
        <v>-2.2956335068797296E-2</v>
      </c>
      <c r="AL462" s="1">
        <f t="shared" si="264"/>
        <v>-1.8889804423357897E-2</v>
      </c>
      <c r="AM462" s="1">
        <f t="shared" si="264"/>
        <v>-1.5415147056592183E-2</v>
      </c>
      <c r="AN462" s="1">
        <f t="shared" si="264"/>
        <v>-1.2738328254725328E-2</v>
      </c>
      <c r="AO462" s="1">
        <f t="shared" si="264"/>
        <v>-1.064404220493634E-2</v>
      </c>
    </row>
    <row r="463" spans="2:41">
      <c r="B463" s="1">
        <f t="shared" ref="B463:AO463" si="265">1/(B267*B414-B365*B316)*((B162*B267+B218*B316)/SQRT(B267^2+B316^2)-(B162*B365+B218*B414)/SQRT(B365^2+B414^2))</f>
        <v>-5.0495033978891855E-3</v>
      </c>
      <c r="C463" s="1">
        <f t="shared" si="265"/>
        <v>-5.7637356213434765E-3</v>
      </c>
      <c r="D463" s="1">
        <f t="shared" si="265"/>
        <v>-6.6184609738932443E-3</v>
      </c>
      <c r="E463" s="1">
        <f t="shared" si="265"/>
        <v>-7.6497592908676224E-3</v>
      </c>
      <c r="F463" s="1">
        <f t="shared" si="265"/>
        <v>-8.6600907764283665E-3</v>
      </c>
      <c r="G463" s="1">
        <f t="shared" si="265"/>
        <v>-8.0020006683640954E-3</v>
      </c>
      <c r="H463" s="1">
        <f t="shared" si="265"/>
        <v>-9.4788315296375266E-3</v>
      </c>
      <c r="I463" s="1">
        <f t="shared" si="265"/>
        <v>-1.1340371030262858E-2</v>
      </c>
      <c r="J463" s="1">
        <f t="shared" si="265"/>
        <v>-1.3719601324028635E-2</v>
      </c>
      <c r="K463" s="1">
        <f t="shared" si="265"/>
        <v>-1.6808235720603172E-2</v>
      </c>
      <c r="L463" s="1">
        <f t="shared" si="265"/>
        <v>-2.0889036302897377E-2</v>
      </c>
      <c r="M463" s="1">
        <f t="shared" si="265"/>
        <v>-2.638990061548848E-2</v>
      </c>
      <c r="N463" s="1">
        <f t="shared" si="265"/>
        <v>-3.0217694822878231E-2</v>
      </c>
      <c r="O463" s="1">
        <f t="shared" si="265"/>
        <v>-3.8910394773089843E-2</v>
      </c>
      <c r="P463" s="1">
        <f t="shared" si="265"/>
        <v>-5.2702140269514558E-2</v>
      </c>
      <c r="Q463" s="1">
        <f t="shared" si="265"/>
        <v>-7.3724019558815315E-2</v>
      </c>
      <c r="R463" s="1">
        <f t="shared" si="265"/>
        <v>-0.10726658300784708</v>
      </c>
      <c r="S463" s="1">
        <f t="shared" si="265"/>
        <v>-0.1638279154931685</v>
      </c>
      <c r="T463" s="1">
        <f t="shared" si="265"/>
        <v>-0.26577899501448116</v>
      </c>
      <c r="U463" s="1">
        <f t="shared" si="265"/>
        <v>-0.46448401211032003</v>
      </c>
      <c r="V463" s="1">
        <f t="shared" si="265"/>
        <v>-0.86378686663603277</v>
      </c>
      <c r="W463" s="1">
        <f t="shared" si="265"/>
        <v>-1.7902831474265315</v>
      </c>
      <c r="X463" s="1">
        <f t="shared" si="265"/>
        <v>-3.5587322912297323</v>
      </c>
      <c r="Y463" s="1">
        <f t="shared" si="265"/>
        <v>-4.8814012054290963</v>
      </c>
      <c r="Z463" s="1">
        <f t="shared" si="265"/>
        <v>-3.6242956225687122</v>
      </c>
      <c r="AA463" s="1">
        <f t="shared" si="265"/>
        <v>-1.8339321488249654</v>
      </c>
      <c r="AB463" s="1">
        <f t="shared" si="265"/>
        <v>-0.88352029961771794</v>
      </c>
      <c r="AC463" s="1">
        <f t="shared" si="265"/>
        <v>-0.4636177542379179</v>
      </c>
      <c r="AD463" s="1">
        <f t="shared" si="265"/>
        <v>-0.27807937527679155</v>
      </c>
      <c r="AE463" s="1">
        <f t="shared" si="265"/>
        <v>-0.171368806013109</v>
      </c>
      <c r="AF463" s="1">
        <f t="shared" si="265"/>
        <v>-0.11211534126711925</v>
      </c>
      <c r="AG463" s="1">
        <f t="shared" si="265"/>
        <v>-7.6983427097794196E-2</v>
      </c>
      <c r="AH463" s="1">
        <f t="shared" si="265"/>
        <v>-5.4979651596947433E-2</v>
      </c>
      <c r="AI463" s="1">
        <f t="shared" si="265"/>
        <v>-4.055536558719193E-2</v>
      </c>
      <c r="AJ463" s="1">
        <f t="shared" si="265"/>
        <v>-3.0732122780055597E-2</v>
      </c>
      <c r="AK463" s="1">
        <f t="shared" si="265"/>
        <v>-2.8314567009380266E-2</v>
      </c>
      <c r="AL463" s="1">
        <f t="shared" si="265"/>
        <v>-2.2886993367594297E-2</v>
      </c>
      <c r="AM463" s="1">
        <f t="shared" si="265"/>
        <v>-1.8406593640486472E-2</v>
      </c>
      <c r="AN463" s="1">
        <f t="shared" si="265"/>
        <v>-1.5016513685178708E-2</v>
      </c>
      <c r="AO463" s="1">
        <f t="shared" si="265"/>
        <v>-1.2406046293999808E-2</v>
      </c>
    </row>
    <row r="464" spans="2:41">
      <c r="B464" s="1">
        <f t="shared" ref="B464:AO464" si="266">1/(B268*B415-B366*B317)*((B163*B268+B219*B317)/SQRT(B268^2+B317^2)-(B163*B366+B219*B415)/SQRT(B366^2+B415^2))</f>
        <v>-4.5569940934730669E-3</v>
      </c>
      <c r="C464" s="1">
        <f t="shared" si="266"/>
        <v>-5.1726501121412182E-3</v>
      </c>
      <c r="D464" s="1">
        <f t="shared" si="266"/>
        <v>-5.9037550947623283E-3</v>
      </c>
      <c r="E464" s="1">
        <f t="shared" si="266"/>
        <v>-6.7785155763278558E-3</v>
      </c>
      <c r="F464" s="1">
        <f t="shared" si="266"/>
        <v>-7.612473326201059E-3</v>
      </c>
      <c r="G464" s="1">
        <f t="shared" si="266"/>
        <v>-6.9225874043597211E-3</v>
      </c>
      <c r="H464" s="1">
        <f t="shared" si="266"/>
        <v>-8.1268522102246714E-3</v>
      </c>
      <c r="I464" s="1">
        <f t="shared" si="266"/>
        <v>-9.6258833791939089E-3</v>
      </c>
      <c r="J464" s="1">
        <f t="shared" si="266"/>
        <v>-1.1515093570204402E-2</v>
      </c>
      <c r="K464" s="1">
        <f t="shared" si="266"/>
        <v>-1.3929208256234367E-2</v>
      </c>
      <c r="L464" s="1">
        <f t="shared" si="266"/>
        <v>-1.7062367016285069E-2</v>
      </c>
      <c r="M464" s="1">
        <f t="shared" si="266"/>
        <v>-2.1200753810589352E-2</v>
      </c>
      <c r="N464" s="1">
        <f t="shared" si="266"/>
        <v>-2.3604639196806668E-2</v>
      </c>
      <c r="O464" s="1">
        <f t="shared" si="266"/>
        <v>-2.9650570088311557E-2</v>
      </c>
      <c r="P464" s="1">
        <f t="shared" si="266"/>
        <v>-3.909156957222603E-2</v>
      </c>
      <c r="Q464" s="1">
        <f t="shared" si="266"/>
        <v>-5.2939956043047631E-2</v>
      </c>
      <c r="R464" s="1">
        <f t="shared" si="266"/>
        <v>-7.4042127548330519E-2</v>
      </c>
      <c r="S464" s="1">
        <f t="shared" si="266"/>
        <v>-0.10769927455040403</v>
      </c>
      <c r="T464" s="1">
        <f t="shared" si="266"/>
        <v>-0.16442053053917852</v>
      </c>
      <c r="U464" s="1">
        <f t="shared" si="266"/>
        <v>-0.266568123316831</v>
      </c>
      <c r="V464" s="1">
        <f t="shared" si="266"/>
        <v>-0.45018749039889677</v>
      </c>
      <c r="W464" s="1">
        <f t="shared" si="266"/>
        <v>-0.86368469120791547</v>
      </c>
      <c r="X464" s="1">
        <f t="shared" si="266"/>
        <v>-1.7929859285468304</v>
      </c>
      <c r="Y464" s="1">
        <f t="shared" si="266"/>
        <v>-3.5725699513892719</v>
      </c>
      <c r="Z464" s="1">
        <f t="shared" si="266"/>
        <v>-4.9072317527393432</v>
      </c>
      <c r="AA464" s="1">
        <f t="shared" si="266"/>
        <v>-3.6384855943723031</v>
      </c>
      <c r="AB464" s="1">
        <f t="shared" si="266"/>
        <v>-1.8367050544988606</v>
      </c>
      <c r="AC464" s="1">
        <f t="shared" si="266"/>
        <v>-0.88937443042158559</v>
      </c>
      <c r="AD464" s="1">
        <f t="shared" si="266"/>
        <v>-0.48259524540405879</v>
      </c>
      <c r="AE464" s="1">
        <f t="shared" si="266"/>
        <v>-0.27560339354223412</v>
      </c>
      <c r="AF464" s="1">
        <f t="shared" si="266"/>
        <v>-0.16950830341583784</v>
      </c>
      <c r="AG464" s="1">
        <f t="shared" si="266"/>
        <v>-0.11075891645872193</v>
      </c>
      <c r="AH464" s="1">
        <f t="shared" si="266"/>
        <v>-7.59881787254615E-2</v>
      </c>
      <c r="AI464" s="1">
        <f t="shared" si="266"/>
        <v>-5.423710730054572E-2</v>
      </c>
      <c r="AJ464" s="1">
        <f t="shared" si="266"/>
        <v>-3.9990744837677825E-2</v>
      </c>
      <c r="AK464" s="1">
        <f t="shared" si="266"/>
        <v>-3.5596550879392216E-2</v>
      </c>
      <c r="AL464" s="1">
        <f t="shared" si="266"/>
        <v>-2.818561516070953E-2</v>
      </c>
      <c r="AM464" s="1">
        <f t="shared" si="266"/>
        <v>-2.2290117222478839E-2</v>
      </c>
      <c r="AN464" s="1">
        <f t="shared" si="266"/>
        <v>-1.7920316683119504E-2</v>
      </c>
      <c r="AO464" s="1">
        <f t="shared" si="266"/>
        <v>-1.4615743797439332E-2</v>
      </c>
    </row>
    <row r="465" spans="2:41">
      <c r="B465" s="1">
        <f t="shared" ref="B465:AO465" si="267">1/(B269*B416-B367*B318)*((B164*B269+B220*B318)/SQRT(B269^2+B318^2)-(B164*B367+B220*B416)/SQRT(B367^2+B416^2))</f>
        <v>-4.131390810055491E-3</v>
      </c>
      <c r="C465" s="1">
        <f t="shared" si="267"/>
        <v>-4.6655775892608569E-3</v>
      </c>
      <c r="D465" s="1">
        <f t="shared" si="267"/>
        <v>-5.2954659703421652E-3</v>
      </c>
      <c r="E465" s="1">
        <f t="shared" si="267"/>
        <v>-6.0433527771435883E-3</v>
      </c>
      <c r="F465" s="1">
        <f t="shared" si="267"/>
        <v>-6.7373508213226414E-3</v>
      </c>
      <c r="G465" s="1">
        <f t="shared" si="267"/>
        <v>-6.0362356373800715E-3</v>
      </c>
      <c r="H465" s="1">
        <f t="shared" si="267"/>
        <v>-7.0292382901546236E-3</v>
      </c>
      <c r="I465" s="1">
        <f t="shared" si="267"/>
        <v>-8.2514383513491978E-3</v>
      </c>
      <c r="J465" s="1">
        <f t="shared" si="267"/>
        <v>-9.7725800882213047E-3</v>
      </c>
      <c r="K465" s="1">
        <f t="shared" si="267"/>
        <v>-1.1689333318366411E-2</v>
      </c>
      <c r="L465" s="1">
        <f t="shared" si="267"/>
        <v>-1.4138147182023542E-2</v>
      </c>
      <c r="M465" s="1">
        <f t="shared" si="267"/>
        <v>-1.7315555559244418E-2</v>
      </c>
      <c r="N465" s="1">
        <f t="shared" si="267"/>
        <v>-1.8799852505803447E-2</v>
      </c>
      <c r="O465" s="1">
        <f t="shared" si="267"/>
        <v>-2.3114957483065059E-2</v>
      </c>
      <c r="P465" s="1">
        <f t="shared" si="267"/>
        <v>-2.9790918798379747E-2</v>
      </c>
      <c r="Q465" s="1">
        <f t="shared" si="267"/>
        <v>-3.927238053747506E-2</v>
      </c>
      <c r="R465" s="1">
        <f t="shared" si="267"/>
        <v>-5.3177176397983271E-2</v>
      </c>
      <c r="S465" s="1">
        <f t="shared" si="267"/>
        <v>-7.4359213884475209E-2</v>
      </c>
      <c r="T465" s="1">
        <f t="shared" si="267"/>
        <v>-0.10813011389676577</v>
      </c>
      <c r="U465" s="1">
        <f t="shared" si="267"/>
        <v>-0.16500957081889819</v>
      </c>
      <c r="V465" s="1">
        <f t="shared" si="267"/>
        <v>-0.25633073042181226</v>
      </c>
      <c r="W465" s="1">
        <f t="shared" si="267"/>
        <v>-0.44971666915637692</v>
      </c>
      <c r="X465" s="1">
        <f t="shared" si="267"/>
        <v>-0.86357413562018648</v>
      </c>
      <c r="Y465" s="1">
        <f t="shared" si="267"/>
        <v>-1.795681384388139</v>
      </c>
      <c r="Z465" s="1">
        <f t="shared" si="267"/>
        <v>-3.5864779718661017</v>
      </c>
      <c r="AA465" s="1">
        <f t="shared" si="267"/>
        <v>-4.9332658851512745</v>
      </c>
      <c r="AB465" s="1">
        <f t="shared" si="267"/>
        <v>-3.6527481139377111</v>
      </c>
      <c r="AC465" s="1">
        <f t="shared" si="267"/>
        <v>-1.8486382878960972</v>
      </c>
      <c r="AD465" s="1">
        <f t="shared" si="267"/>
        <v>-0.91866974239635035</v>
      </c>
      <c r="AE465" s="1">
        <f t="shared" si="267"/>
        <v>-0.47969756472102881</v>
      </c>
      <c r="AF465" s="1">
        <f t="shared" si="267"/>
        <v>-0.27305779881628978</v>
      </c>
      <c r="AG465" s="1">
        <f t="shared" si="267"/>
        <v>-0.16761456251001616</v>
      </c>
      <c r="AH465" s="1">
        <f t="shared" si="267"/>
        <v>-0.10938553347009841</v>
      </c>
      <c r="AI465" s="1">
        <f t="shared" si="267"/>
        <v>-7.4983712901945471E-2</v>
      </c>
      <c r="AJ465" s="1">
        <f t="shared" si="267"/>
        <v>-5.3489266229980875E-2</v>
      </c>
      <c r="AK465" s="1">
        <f t="shared" si="267"/>
        <v>-4.5773489125752409E-2</v>
      </c>
      <c r="AL465" s="1">
        <f t="shared" si="267"/>
        <v>-3.537951868289315E-2</v>
      </c>
      <c r="AM465" s="1">
        <f t="shared" si="267"/>
        <v>-2.7437168104024537E-2</v>
      </c>
      <c r="AN465" s="1">
        <f t="shared" si="267"/>
        <v>-2.1688886216237439E-2</v>
      </c>
      <c r="AO465" s="1">
        <f t="shared" si="267"/>
        <v>-1.7431076600833432E-2</v>
      </c>
    </row>
    <row r="466" spans="2:41">
      <c r="B466" s="1">
        <f t="shared" ref="B466:AO466" si="268">1/(B270*B417-B368*B319)*((B165*B270+B221*B319)/SQRT(B270^2+B319^2)-(B165*B368+B221*B417)/SQRT(B368^2+B417^2))</f>
        <v>-3.7613107842943585E-3</v>
      </c>
      <c r="C466" s="1">
        <f t="shared" si="268"/>
        <v>-4.2276152004177437E-3</v>
      </c>
      <c r="D466" s="1">
        <f t="shared" si="268"/>
        <v>-4.7738896557246134E-3</v>
      </c>
      <c r="E466" s="1">
        <f t="shared" si="268"/>
        <v>-5.4179390469933017E-3</v>
      </c>
      <c r="F466" s="1">
        <f t="shared" si="268"/>
        <v>-5.9997104638495821E-3</v>
      </c>
      <c r="G466" s="1">
        <f t="shared" si="268"/>
        <v>-5.3009822779425866E-3</v>
      </c>
      <c r="H466" s="1">
        <f t="shared" si="268"/>
        <v>-6.1280405297327815E-3</v>
      </c>
      <c r="I466" s="1">
        <f t="shared" si="268"/>
        <v>-7.1356843760901978E-3</v>
      </c>
      <c r="J466" s="1">
        <f t="shared" si="268"/>
        <v>-8.3757544329469986E-3</v>
      </c>
      <c r="K466" s="1">
        <f t="shared" si="268"/>
        <v>-9.9189155966552655E-3</v>
      </c>
      <c r="L466" s="1">
        <f t="shared" si="268"/>
        <v>-1.1863082295296697E-2</v>
      </c>
      <c r="M466" s="1">
        <f t="shared" si="268"/>
        <v>-1.4346407459377247E-2</v>
      </c>
      <c r="N466" s="1">
        <f t="shared" si="268"/>
        <v>-1.5225027185566059E-2</v>
      </c>
      <c r="O466" s="1">
        <f t="shared" si="268"/>
        <v>-1.8372859785549034E-2</v>
      </c>
      <c r="P466" s="1">
        <f t="shared" si="268"/>
        <v>-2.3225600026260812E-2</v>
      </c>
      <c r="Q466" s="1">
        <f t="shared" si="268"/>
        <v>-2.9931035065122583E-2</v>
      </c>
      <c r="R466" s="1">
        <f t="shared" si="268"/>
        <v>-3.9452826353263241E-2</v>
      </c>
      <c r="S466" s="1">
        <f t="shared" si="268"/>
        <v>-5.3413799437023707E-2</v>
      </c>
      <c r="T466" s="1">
        <f t="shared" si="268"/>
        <v>-7.4675275913548694E-2</v>
      </c>
      <c r="U466" s="1">
        <f t="shared" si="268"/>
        <v>-0.10855909779317528</v>
      </c>
      <c r="V466" s="1">
        <f t="shared" si="268"/>
        <v>-0.15742313822798076</v>
      </c>
      <c r="W466" s="1">
        <f t="shared" si="268"/>
        <v>-0.25592572375323502</v>
      </c>
      <c r="X466" s="1">
        <f t="shared" si="268"/>
        <v>-0.44924183455808236</v>
      </c>
      <c r="Y466" s="1">
        <f t="shared" si="268"/>
        <v>-0.86345515047592558</v>
      </c>
      <c r="Z466" s="1">
        <f t="shared" si="268"/>
        <v>-1.7983693524373898</v>
      </c>
      <c r="AA466" s="1">
        <f t="shared" si="268"/>
        <v>-3.6004567343004328</v>
      </c>
      <c r="AB466" s="1">
        <f t="shared" si="268"/>
        <v>-4.959505727285995</v>
      </c>
      <c r="AC466" s="1">
        <f t="shared" si="268"/>
        <v>-3.6802735430461708</v>
      </c>
      <c r="AD466" s="1">
        <f t="shared" si="268"/>
        <v>-1.8993347114683363</v>
      </c>
      <c r="AE466" s="1">
        <f t="shared" si="268"/>
        <v>-0.91806396798170264</v>
      </c>
      <c r="AF466" s="1">
        <f t="shared" si="268"/>
        <v>-0.47664487733125888</v>
      </c>
      <c r="AG466" s="1">
        <f t="shared" si="268"/>
        <v>-0.27044238549095601</v>
      </c>
      <c r="AH466" s="1">
        <f t="shared" si="268"/>
        <v>-0.16568769257203447</v>
      </c>
      <c r="AI466" s="1">
        <f t="shared" si="268"/>
        <v>-0.10799531446018464</v>
      </c>
      <c r="AJ466" s="1">
        <f t="shared" si="268"/>
        <v>-7.3970120371700615E-2</v>
      </c>
      <c r="AK466" s="1">
        <f t="shared" si="268"/>
        <v>-6.047543401540785E-2</v>
      </c>
      <c r="AL466" s="1">
        <f t="shared" si="268"/>
        <v>-4.5424725578791819E-2</v>
      </c>
      <c r="AM466" s="1">
        <f t="shared" si="268"/>
        <v>-3.442483546444168E-2</v>
      </c>
      <c r="AN466" s="1">
        <f t="shared" si="268"/>
        <v>-2.668236320903539E-2</v>
      </c>
      <c r="AO466" s="1">
        <f t="shared" si="268"/>
        <v>-2.1083445478501325E-2</v>
      </c>
    </row>
    <row r="467" spans="2:41">
      <c r="B467" s="1">
        <f t="shared" ref="B467:AO467" si="269">1/(B271*B418-B369*B320)*((B166*B271+B222*B320)/SQRT(B271^2+B320^2)-(B166*B369+B222*B418)/SQRT(B369^2+B418^2))</f>
        <v>-3.440318353906938E-3</v>
      </c>
      <c r="C467" s="1">
        <f t="shared" si="269"/>
        <v>-3.8499436144211027E-3</v>
      </c>
      <c r="D467" s="1">
        <f t="shared" si="269"/>
        <v>-4.3269364582801013E-3</v>
      </c>
      <c r="E467" s="1">
        <f t="shared" si="269"/>
        <v>-4.8856577541058358E-3</v>
      </c>
      <c r="F467" s="1">
        <f t="shared" si="269"/>
        <v>-5.3770757600482243E-3</v>
      </c>
      <c r="G467" s="1">
        <f t="shared" si="269"/>
        <v>-4.6902784307856511E-3</v>
      </c>
      <c r="H467" s="1">
        <f t="shared" si="269"/>
        <v>-5.3861092387200759E-3</v>
      </c>
      <c r="I467" s="1">
        <f t="shared" si="269"/>
        <v>-6.2260741166577727E-3</v>
      </c>
      <c r="J467" s="1">
        <f t="shared" si="269"/>
        <v>-7.2493273642247743E-3</v>
      </c>
      <c r="K467" s="1">
        <f t="shared" si="269"/>
        <v>-8.5084409576765951E-3</v>
      </c>
      <c r="L467" s="1">
        <f t="shared" si="269"/>
        <v>-1.0075055571440452E-2</v>
      </c>
      <c r="M467" s="1">
        <f t="shared" si="269"/>
        <v>-1.2048403030519088E-2</v>
      </c>
      <c r="N467" s="1">
        <f t="shared" si="269"/>
        <v>-1.2524640487329861E-2</v>
      </c>
      <c r="O467" s="1">
        <f t="shared" si="269"/>
        <v>-1.486727552952714E-2</v>
      </c>
      <c r="P467" s="1">
        <f t="shared" si="269"/>
        <v>-1.8483334018780134E-2</v>
      </c>
      <c r="Q467" s="1">
        <f t="shared" si="269"/>
        <v>-2.336335215236272E-2</v>
      </c>
      <c r="R467" s="1">
        <f t="shared" si="269"/>
        <v>-3.0105428577211636E-2</v>
      </c>
      <c r="S467" s="1">
        <f t="shared" si="269"/>
        <v>-3.9677323010793492E-2</v>
      </c>
      <c r="T467" s="1">
        <f t="shared" si="269"/>
        <v>-5.3708021183748331E-2</v>
      </c>
      <c r="U467" s="1">
        <f t="shared" si="269"/>
        <v>-7.5067956244523393E-2</v>
      </c>
      <c r="V467" s="1">
        <f t="shared" si="269"/>
        <v>-0.10286011950350143</v>
      </c>
      <c r="W467" s="1">
        <f t="shared" si="269"/>
        <v>-0.15727133921237307</v>
      </c>
      <c r="X467" s="1">
        <f t="shared" si="269"/>
        <v>-0.25572006565730093</v>
      </c>
      <c r="Y467" s="1">
        <f t="shared" si="269"/>
        <v>-0.44900000558928344</v>
      </c>
      <c r="Z467" s="1">
        <f t="shared" si="269"/>
        <v>-0.86339170832432333</v>
      </c>
      <c r="AA467" s="1">
        <f t="shared" si="269"/>
        <v>-1.7997267295856723</v>
      </c>
      <c r="AB467" s="1">
        <f t="shared" si="269"/>
        <v>-3.6075579576090711</v>
      </c>
      <c r="AC467" s="1">
        <f t="shared" si="269"/>
        <v>-4.9843281852210968</v>
      </c>
      <c r="AD467" s="1">
        <f t="shared" si="269"/>
        <v>-3.7659729197351171</v>
      </c>
      <c r="AE467" s="1">
        <f t="shared" si="269"/>
        <v>-1.9155501016548502</v>
      </c>
      <c r="AF467" s="1">
        <f t="shared" si="269"/>
        <v>-0.91721170574595201</v>
      </c>
      <c r="AG467" s="1">
        <f t="shared" si="269"/>
        <v>-0.47370186264593039</v>
      </c>
      <c r="AH467" s="1">
        <f t="shared" si="269"/>
        <v>-0.26797781518630115</v>
      </c>
      <c r="AI467" s="1">
        <f t="shared" si="269"/>
        <v>-0.16388830479397981</v>
      </c>
      <c r="AJ467" s="1">
        <f t="shared" si="269"/>
        <v>-0.10670333396690906</v>
      </c>
      <c r="AK467" s="1">
        <f t="shared" si="269"/>
        <v>-8.2658438384919861E-2</v>
      </c>
      <c r="AL467" s="1">
        <f t="shared" si="269"/>
        <v>-5.99878662795311E-2</v>
      </c>
      <c r="AM467" s="1">
        <f t="shared" si="269"/>
        <v>-4.4229561933822242E-2</v>
      </c>
      <c r="AN467" s="1">
        <f t="shared" si="269"/>
        <v>-3.3496659691966232E-2</v>
      </c>
      <c r="AO467" s="1">
        <f t="shared" si="269"/>
        <v>-2.5949865572455273E-2</v>
      </c>
    </row>
    <row r="468" spans="2:41">
      <c r="B468" s="1">
        <f t="shared" ref="B468:AO468" si="270">1/(B272*B419-B370*B321)*((B167*B272+B223*B321)/SQRT(B272^2+B321^2)-(B167*B370+B223*B419)/SQRT(B370^2+B419^2))</f>
        <v>-3.131868707281573E-3</v>
      </c>
      <c r="C468" s="1">
        <f t="shared" si="270"/>
        <v>-3.4906364498369746E-3</v>
      </c>
      <c r="D468" s="1">
        <f t="shared" si="270"/>
        <v>-3.9060980207369089E-3</v>
      </c>
      <c r="E468" s="1">
        <f t="shared" si="270"/>
        <v>-4.389850064214538E-3</v>
      </c>
      <c r="F468" s="1">
        <f t="shared" si="270"/>
        <v>-4.8028802178778588E-3</v>
      </c>
      <c r="G468" s="1">
        <f t="shared" si="270"/>
        <v>-4.1278493167258273E-3</v>
      </c>
      <c r="H468" s="1">
        <f t="shared" si="270"/>
        <v>-4.7117044281574857E-3</v>
      </c>
      <c r="I468" s="1">
        <f t="shared" si="270"/>
        <v>-5.4106320517491599E-3</v>
      </c>
      <c r="J468" s="1">
        <f t="shared" si="270"/>
        <v>-6.2543113791952223E-3</v>
      </c>
      <c r="K468" s="1">
        <f t="shared" si="270"/>
        <v>-7.2820558133140385E-3</v>
      </c>
      <c r="L468" s="1">
        <f t="shared" si="270"/>
        <v>-8.5466470819330915E-3</v>
      </c>
      <c r="M468" s="1">
        <f t="shared" si="270"/>
        <v>-1.0120005500055842E-2</v>
      </c>
      <c r="N468" s="1">
        <f t="shared" si="270"/>
        <v>-1.030225548142105E-2</v>
      </c>
      <c r="O468" s="1">
        <f t="shared" si="270"/>
        <v>-1.2046827717661456E-2</v>
      </c>
      <c r="P468" s="1">
        <f t="shared" si="270"/>
        <v>-1.4763010512175215E-2</v>
      </c>
      <c r="Q468" s="1">
        <f t="shared" si="270"/>
        <v>-1.8355090156983275E-2</v>
      </c>
      <c r="R468" s="1">
        <f t="shared" si="270"/>
        <v>-2.3203439373493218E-2</v>
      </c>
      <c r="S468" s="1">
        <f t="shared" si="270"/>
        <v>-2.9902974187837973E-2</v>
      </c>
      <c r="T468" s="1">
        <f t="shared" si="270"/>
        <v>-3.9416694015679078E-2</v>
      </c>
      <c r="U468" s="1">
        <f t="shared" si="270"/>
        <v>-5.3366427714793545E-2</v>
      </c>
      <c r="V468" s="1">
        <f t="shared" si="270"/>
        <v>-6.9717028536257913E-2</v>
      </c>
      <c r="W468" s="1">
        <f t="shared" si="270"/>
        <v>-0.10157103343147114</v>
      </c>
      <c r="X468" s="1">
        <f t="shared" si="270"/>
        <v>-0.1554864448028189</v>
      </c>
      <c r="Y468" s="1">
        <f t="shared" si="270"/>
        <v>-0.25328985741573223</v>
      </c>
      <c r="Z468" s="1">
        <f t="shared" si="270"/>
        <v>-0.44610682420561204</v>
      </c>
      <c r="AA468" s="1">
        <f t="shared" si="270"/>
        <v>-0.86249060251936382</v>
      </c>
      <c r="AB468" s="1">
        <f t="shared" si="270"/>
        <v>-1.8153861149820274</v>
      </c>
      <c r="AC468" s="1">
        <f t="shared" si="270"/>
        <v>-3.6907615618831922</v>
      </c>
      <c r="AD468" s="1">
        <f t="shared" si="270"/>
        <v>-5.2287978337451548</v>
      </c>
      <c r="AE468" s="1">
        <f t="shared" si="270"/>
        <v>-3.9343026469662528</v>
      </c>
      <c r="AF468" s="1">
        <f t="shared" si="270"/>
        <v>-1.9465833859888164</v>
      </c>
      <c r="AG468" s="1">
        <f t="shared" si="270"/>
        <v>-0.91467651197008215</v>
      </c>
      <c r="AH468" s="1">
        <f t="shared" si="270"/>
        <v>-0.46752710798305408</v>
      </c>
      <c r="AI468" s="1">
        <f t="shared" si="270"/>
        <v>-0.26296272536511783</v>
      </c>
      <c r="AJ468" s="1">
        <f t="shared" si="270"/>
        <v>-0.16027195379224982</v>
      </c>
      <c r="AK468" s="1">
        <f t="shared" si="270"/>
        <v>-0.11643658430765849</v>
      </c>
      <c r="AL468" s="1">
        <f t="shared" si="270"/>
        <v>-8.097821767735397E-2</v>
      </c>
      <c r="AM468" s="1">
        <f t="shared" si="270"/>
        <v>-5.7722157878746606E-2</v>
      </c>
      <c r="AN468" s="1">
        <f t="shared" si="270"/>
        <v>-4.2505989646424186E-2</v>
      </c>
      <c r="AO468" s="1">
        <f t="shared" si="270"/>
        <v>-3.2161894826602304E-2</v>
      </c>
    </row>
    <row r="469" spans="2:41">
      <c r="B469" s="1">
        <f t="shared" ref="B469:AO469" si="271">1/(B273*B420-B371*B322)*((B168*B273+B224*B322)/SQRT(B273^2+B322^2)-(B168*B371+B224*B420)/SQRT(B371^2+B420^2))</f>
        <v>-2.8539653293598987E-3</v>
      </c>
      <c r="C469" s="1">
        <f t="shared" si="271"/>
        <v>-3.16897379495607E-3</v>
      </c>
      <c r="D469" s="1">
        <f t="shared" si="271"/>
        <v>-3.5318887867219653E-3</v>
      </c>
      <c r="E469" s="1">
        <f t="shared" si="271"/>
        <v>-3.9521292854812068E-3</v>
      </c>
      <c r="F469" s="1">
        <f t="shared" si="271"/>
        <v>-4.2998926589084786E-3</v>
      </c>
      <c r="G469" s="1">
        <f t="shared" si="271"/>
        <v>-3.6402343218311295E-3</v>
      </c>
      <c r="H469" s="1">
        <f t="shared" si="271"/>
        <v>-4.1322103922307452E-3</v>
      </c>
      <c r="I469" s="1">
        <f t="shared" si="271"/>
        <v>-4.7166679723768994E-3</v>
      </c>
      <c r="J469" s="1">
        <f t="shared" si="271"/>
        <v>-5.416312830371816E-3</v>
      </c>
      <c r="K469" s="1">
        <f t="shared" si="271"/>
        <v>-6.2608523882896096E-3</v>
      </c>
      <c r="L469" s="1">
        <f t="shared" si="271"/>
        <v>-7.2896368664696048E-3</v>
      </c>
      <c r="M469" s="1">
        <f t="shared" si="271"/>
        <v>-8.5554965222160873E-3</v>
      </c>
      <c r="N469" s="1">
        <f t="shared" si="271"/>
        <v>-8.5340288986608583E-3</v>
      </c>
      <c r="O469" s="1">
        <f t="shared" si="271"/>
        <v>-9.842949943871443E-3</v>
      </c>
      <c r="P469" s="1">
        <f t="shared" si="271"/>
        <v>-1.1911044651908058E-2</v>
      </c>
      <c r="Q469" s="1">
        <f t="shared" si="271"/>
        <v>-1.4598003297354617E-2</v>
      </c>
      <c r="R469" s="1">
        <f t="shared" si="271"/>
        <v>-1.8152071335889707E-2</v>
      </c>
      <c r="S469" s="1">
        <f t="shared" si="271"/>
        <v>-2.295018632035364E-2</v>
      </c>
      <c r="T469" s="1">
        <f t="shared" si="271"/>
        <v>-2.9582183775071654E-2</v>
      </c>
      <c r="U469" s="1">
        <f t="shared" si="271"/>
        <v>-3.9003443897713541E-2</v>
      </c>
      <c r="V469" s="1">
        <f t="shared" si="271"/>
        <v>-4.8890221982511362E-2</v>
      </c>
      <c r="W469" s="1">
        <f t="shared" si="271"/>
        <v>-6.8494126080917386E-2</v>
      </c>
      <c r="X469" s="1">
        <f t="shared" si="271"/>
        <v>-9.9891776866399135E-2</v>
      </c>
      <c r="Y469" s="1">
        <f t="shared" si="271"/>
        <v>-0.15314844915830703</v>
      </c>
      <c r="Z469" s="1">
        <f t="shared" si="271"/>
        <v>-0.25007402070905499</v>
      </c>
      <c r="AA469" s="1">
        <f t="shared" si="271"/>
        <v>-0.44218173616821149</v>
      </c>
      <c r="AB469" s="1">
        <f t="shared" si="271"/>
        <v>-0.86088298991889023</v>
      </c>
      <c r="AC469" s="1">
        <f t="shared" si="271"/>
        <v>-1.8278442641678905</v>
      </c>
      <c r="AD469" s="1">
        <f t="shared" si="271"/>
        <v>-3.8104156017508917</v>
      </c>
      <c r="AE469" s="1">
        <f t="shared" si="271"/>
        <v>-5.6086403478322806</v>
      </c>
      <c r="AF469" s="1">
        <f t="shared" si="271"/>
        <v>-4.14057487654315</v>
      </c>
      <c r="AG469" s="1">
        <f t="shared" si="271"/>
        <v>-1.9807093888286051</v>
      </c>
      <c r="AH469" s="1">
        <f t="shared" si="271"/>
        <v>-0.91026194965260721</v>
      </c>
      <c r="AI469" s="1">
        <f t="shared" si="271"/>
        <v>-0.45975167693107161</v>
      </c>
      <c r="AJ469" s="1">
        <f t="shared" si="271"/>
        <v>-0.25689684985315792</v>
      </c>
      <c r="AK469" s="1">
        <f t="shared" si="271"/>
        <v>-0.17225738030243232</v>
      </c>
      <c r="AL469" s="1">
        <f t="shared" si="271"/>
        <v>-0.11351504957468796</v>
      </c>
      <c r="AM469" s="1">
        <f t="shared" si="271"/>
        <v>-7.7574387445350362E-2</v>
      </c>
      <c r="AN469" s="1">
        <f t="shared" si="271"/>
        <v>-5.5195065381573864E-2</v>
      </c>
      <c r="AO469" s="1">
        <f t="shared" si="271"/>
        <v>-4.0592374756567996E-2</v>
      </c>
    </row>
    <row r="470" spans="2:41">
      <c r="B470" s="1">
        <f t="shared" ref="B470:AO470" si="272">1/(B274*B421-B372*B323)*((B169*B274+B225*B323)/SQRT(B274^2+B323^2)-(B169*B372+B225*B421)/SQRT(B372^2+B421^2))</f>
        <v>-2.6095355080916717E-3</v>
      </c>
      <c r="C470" s="1">
        <f t="shared" si="272"/>
        <v>-2.8874242081327367E-3</v>
      </c>
      <c r="D470" s="1">
        <f t="shared" si="272"/>
        <v>-3.2060413017582145E-3</v>
      </c>
      <c r="E470" s="1">
        <f t="shared" si="272"/>
        <v>-3.5730950851421217E-3</v>
      </c>
      <c r="F470" s="1">
        <f t="shared" si="272"/>
        <v>-3.8672636457972244E-3</v>
      </c>
      <c r="G470" s="1">
        <f t="shared" si="272"/>
        <v>-3.2266054837946944E-3</v>
      </c>
      <c r="H470" s="1">
        <f t="shared" si="272"/>
        <v>-3.6440855035173858E-3</v>
      </c>
      <c r="I470" s="1">
        <f t="shared" si="272"/>
        <v>-4.1365710603039722E-3</v>
      </c>
      <c r="J470" s="1">
        <f t="shared" si="272"/>
        <v>-4.7216310033173087E-3</v>
      </c>
      <c r="K470" s="1">
        <f t="shared" si="272"/>
        <v>-5.4219929560784599E-3</v>
      </c>
      <c r="L470" s="1">
        <f t="shared" si="272"/>
        <v>-6.267392558022067E-3</v>
      </c>
      <c r="M470" s="1">
        <f t="shared" si="272"/>
        <v>-7.2972168279947678E-3</v>
      </c>
      <c r="N470" s="1">
        <f t="shared" si="272"/>
        <v>-7.1388427081193456E-3</v>
      </c>
      <c r="O470" s="1">
        <f t="shared" si="272"/>
        <v>-8.1307394916440533E-3</v>
      </c>
      <c r="P470" s="1">
        <f t="shared" si="272"/>
        <v>-9.7297691120509025E-3</v>
      </c>
      <c r="Q470" s="1">
        <f t="shared" si="272"/>
        <v>-1.1774992707194613E-2</v>
      </c>
      <c r="R470" s="1">
        <f t="shared" si="272"/>
        <v>-1.4432619247043347E-2</v>
      </c>
      <c r="S470" s="1">
        <f t="shared" si="272"/>
        <v>-1.7948512039076561E-2</v>
      </c>
      <c r="T470" s="1">
        <f t="shared" si="272"/>
        <v>-2.2696137410174577E-2</v>
      </c>
      <c r="U470" s="1">
        <f t="shared" si="272"/>
        <v>-2.9260185489418302E-2</v>
      </c>
      <c r="V470" s="1">
        <f t="shared" si="272"/>
        <v>-3.5365904778429241E-2</v>
      </c>
      <c r="W470" s="1">
        <f t="shared" si="272"/>
        <v>-4.797305632344373E-2</v>
      </c>
      <c r="X470" s="1">
        <f t="shared" si="272"/>
        <v>-6.7256934921293282E-2</v>
      </c>
      <c r="Y470" s="1">
        <f t="shared" si="272"/>
        <v>-9.8186541902329907E-2</v>
      </c>
      <c r="Z470" s="1">
        <f t="shared" si="272"/>
        <v>-0.15075991315470455</v>
      </c>
      <c r="AA470" s="1">
        <f t="shared" si="272"/>
        <v>-0.24675216698895541</v>
      </c>
      <c r="AB470" s="1">
        <f t="shared" si="272"/>
        <v>-0.43801863283067066</v>
      </c>
      <c r="AC470" s="1">
        <f t="shared" si="272"/>
        <v>-0.85233126580229512</v>
      </c>
      <c r="AD470" s="1">
        <f t="shared" si="272"/>
        <v>-1.8111713886577583</v>
      </c>
      <c r="AE470" s="1">
        <f t="shared" si="272"/>
        <v>-4.0068901482569288</v>
      </c>
      <c r="AF470" s="1">
        <f t="shared" si="272"/>
        <v>-6.0309107080150453</v>
      </c>
      <c r="AG470" s="1">
        <f t="shared" si="272"/>
        <v>-4.3607708847365849</v>
      </c>
      <c r="AH470" s="1">
        <f t="shared" si="272"/>
        <v>-2.0126407027433864</v>
      </c>
      <c r="AI470" s="1">
        <f t="shared" si="272"/>
        <v>-0.90414825749372696</v>
      </c>
      <c r="AJ470" s="1">
        <f t="shared" si="272"/>
        <v>-0.4512588740415357</v>
      </c>
      <c r="AK470" s="1">
        <f t="shared" si="272"/>
        <v>-0.27300890954487794</v>
      </c>
      <c r="AL470" s="1">
        <f t="shared" si="272"/>
        <v>-0.16779100491931492</v>
      </c>
      <c r="AM470" s="1">
        <f t="shared" si="272"/>
        <v>-0.10867372106215191</v>
      </c>
      <c r="AN470" s="1">
        <f t="shared" si="272"/>
        <v>-7.4078000252273762E-2</v>
      </c>
      <c r="AO470" s="1">
        <f t="shared" si="272"/>
        <v>-5.2616109636813277E-2</v>
      </c>
    </row>
    <row r="471" spans="2:41">
      <c r="B471" s="1">
        <f t="shared" ref="B471:AO471" si="273">1/(B275*B422-B373*B324)*((B170*B275+B226*B324)/SQRT(B275^2+B324^2)-(B170*B373+B226*B422)/SQRT(B373^2+B422^2))</f>
        <v>-2.3935886676791358E-3</v>
      </c>
      <c r="C471" s="1">
        <f t="shared" si="273"/>
        <v>-2.6398086603414733E-3</v>
      </c>
      <c r="D471" s="1">
        <f t="shared" si="273"/>
        <v>-2.9208516351263546E-3</v>
      </c>
      <c r="E471" s="1">
        <f t="shared" si="273"/>
        <v>-3.2430705111912792E-3</v>
      </c>
      <c r="F471" s="1">
        <f t="shared" si="273"/>
        <v>-3.4929357719385118E-3</v>
      </c>
      <c r="G471" s="1">
        <f t="shared" si="273"/>
        <v>-2.8734536597639993E-3</v>
      </c>
      <c r="H471" s="1">
        <f t="shared" si="273"/>
        <v>-3.2300227031494466E-3</v>
      </c>
      <c r="I471" s="1">
        <f t="shared" si="273"/>
        <v>-3.6479363584831811E-3</v>
      </c>
      <c r="J471" s="1">
        <f t="shared" si="273"/>
        <v>-4.1409313204232839E-3</v>
      </c>
      <c r="K471" s="1">
        <f t="shared" si="273"/>
        <v>-4.7265935203191518E-3</v>
      </c>
      <c r="L471" s="1">
        <f t="shared" si="273"/>
        <v>-5.427672428048382E-3</v>
      </c>
      <c r="M471" s="1">
        <f t="shared" si="273"/>
        <v>-6.2739318873628411E-3</v>
      </c>
      <c r="N471" s="1">
        <f t="shared" si="273"/>
        <v>-6.0243736552436124E-3</v>
      </c>
      <c r="O471" s="1">
        <f t="shared" si="273"/>
        <v>-6.7821191727834521E-3</v>
      </c>
      <c r="P471" s="1">
        <f t="shared" si="273"/>
        <v>-8.0354887019693927E-3</v>
      </c>
      <c r="Q471" s="1">
        <f t="shared" si="273"/>
        <v>-9.616394639802418E-3</v>
      </c>
      <c r="R471" s="1">
        <f t="shared" si="273"/>
        <v>-1.1638674784991424E-2</v>
      </c>
      <c r="S471" s="1">
        <f t="shared" si="273"/>
        <v>-1.4266862315442819E-2</v>
      </c>
      <c r="T471" s="1">
        <f t="shared" si="273"/>
        <v>-1.774441774302616E-2</v>
      </c>
      <c r="U471" s="1">
        <f t="shared" si="273"/>
        <v>-2.2441300353185357E-2</v>
      </c>
      <c r="V471" s="1">
        <f t="shared" si="273"/>
        <v>-2.6253749718875136E-2</v>
      </c>
      <c r="W471" s="1">
        <f t="shared" si="273"/>
        <v>-3.4666091459348909E-2</v>
      </c>
      <c r="X471" s="1">
        <f t="shared" si="273"/>
        <v>-4.7047671888571028E-2</v>
      </c>
      <c r="Y471" s="1">
        <f t="shared" si="273"/>
        <v>-6.6005614825160069E-2</v>
      </c>
      <c r="Z471" s="1">
        <f t="shared" si="273"/>
        <v>-9.6455545118127345E-2</v>
      </c>
      <c r="AA471" s="1">
        <f t="shared" si="273"/>
        <v>-0.1483210388448877</v>
      </c>
      <c r="AB471" s="1">
        <f t="shared" si="273"/>
        <v>-0.24332397207700524</v>
      </c>
      <c r="AC471" s="1">
        <f t="shared" si="273"/>
        <v>-0.4289585998317651</v>
      </c>
      <c r="AD471" s="1">
        <f t="shared" si="273"/>
        <v>-0.81657693345065141</v>
      </c>
      <c r="AE471" s="1">
        <f t="shared" si="273"/>
        <v>-1.8380864324730921</v>
      </c>
      <c r="AF471" s="1">
        <f t="shared" si="273"/>
        <v>-4.2162982124110782</v>
      </c>
      <c r="AG471" s="1">
        <f t="shared" si="273"/>
        <v>-6.5020883743859033</v>
      </c>
      <c r="AH471" s="1">
        <f t="shared" si="273"/>
        <v>-4.5957975345044773</v>
      </c>
      <c r="AI471" s="1">
        <f t="shared" si="273"/>
        <v>-2.0418802930873667</v>
      </c>
      <c r="AJ471" s="1">
        <f t="shared" si="273"/>
        <v>-0.89623006970843577</v>
      </c>
      <c r="AK471" s="1">
        <f t="shared" si="273"/>
        <v>-0.47487214779843567</v>
      </c>
      <c r="AL471" s="1">
        <f t="shared" si="273"/>
        <v>-0.26608289845466743</v>
      </c>
      <c r="AM471" s="1">
        <f t="shared" si="273"/>
        <v>-0.16064750214550258</v>
      </c>
      <c r="AN471" s="1">
        <f t="shared" si="273"/>
        <v>-0.10366365771507211</v>
      </c>
      <c r="AO471" s="1">
        <f t="shared" si="273"/>
        <v>-7.0493133494600624E-2</v>
      </c>
    </row>
    <row r="472" spans="2:41">
      <c r="B472" s="1">
        <f t="shared" ref="B472:AO472" si="274">1/(B276*B423-B374*B325)*((B171*B276+B227*B325)/SQRT(B276^2+B325^2)-(B171*B374+B227*B423)/SQRT(B374^2+B423^2))</f>
        <v>-2.2020098030011009E-3</v>
      </c>
      <c r="C472" s="1">
        <f t="shared" si="274"/>
        <v>-2.4210664198524119E-3</v>
      </c>
      <c r="D472" s="1">
        <f t="shared" si="274"/>
        <v>-2.6700553374786268E-3</v>
      </c>
      <c r="E472" s="1">
        <f t="shared" si="274"/>
        <v>-2.9542470063348147E-3</v>
      </c>
      <c r="F472" s="1">
        <f t="shared" si="274"/>
        <v>-3.1672646330793012E-3</v>
      </c>
      <c r="G472" s="1">
        <f t="shared" si="274"/>
        <v>-2.5701214712503845E-3</v>
      </c>
      <c r="H472" s="1">
        <f t="shared" si="274"/>
        <v>-2.8764993219716384E-3</v>
      </c>
      <c r="I472" s="1">
        <f t="shared" si="274"/>
        <v>-3.2334396583440011E-3</v>
      </c>
      <c r="J472" s="1">
        <f t="shared" si="274"/>
        <v>-3.6517868862953624E-3</v>
      </c>
      <c r="K472" s="1">
        <f t="shared" si="274"/>
        <v>-4.1452911720490301E-3</v>
      </c>
      <c r="L472" s="1">
        <f t="shared" si="274"/>
        <v>-4.7315555227367828E-3</v>
      </c>
      <c r="M472" s="1">
        <f t="shared" si="274"/>
        <v>-5.4333512454707491E-3</v>
      </c>
      <c r="N472" s="1">
        <f t="shared" si="274"/>
        <v>-5.1242256932162514E-3</v>
      </c>
      <c r="O472" s="1">
        <f t="shared" si="274"/>
        <v>-5.706739395873307E-3</v>
      </c>
      <c r="P472" s="1">
        <f t="shared" si="274"/>
        <v>-6.7012543607947771E-3</v>
      </c>
      <c r="Q472" s="1">
        <f t="shared" si="274"/>
        <v>-7.9400959939044911E-3</v>
      </c>
      <c r="R472" s="1">
        <f t="shared" si="274"/>
        <v>-9.5028286998762694E-3</v>
      </c>
      <c r="S472" s="1">
        <f t="shared" si="274"/>
        <v>-1.1502093803635163E-2</v>
      </c>
      <c r="T472" s="1">
        <f t="shared" si="274"/>
        <v>-1.4100736483689629E-2</v>
      </c>
      <c r="U472" s="1">
        <f t="shared" si="274"/>
        <v>-1.7539793968497051E-2</v>
      </c>
      <c r="V472" s="1">
        <f t="shared" si="274"/>
        <v>-1.9919343096629002E-2</v>
      </c>
      <c r="W472" s="1">
        <f t="shared" si="274"/>
        <v>-2.5710399955189363E-2</v>
      </c>
      <c r="X472" s="1">
        <f t="shared" si="274"/>
        <v>-3.3961329682821444E-2</v>
      </c>
      <c r="Y472" s="1">
        <f t="shared" si="274"/>
        <v>-4.6114181677660675E-2</v>
      </c>
      <c r="Z472" s="1">
        <f t="shared" si="274"/>
        <v>-6.4740332990567528E-2</v>
      </c>
      <c r="AA472" s="1">
        <f t="shared" si="274"/>
        <v>-9.4699019538812032E-2</v>
      </c>
      <c r="AB472" s="1">
        <f t="shared" si="274"/>
        <v>-0.1458320671441129</v>
      </c>
      <c r="AC472" s="1">
        <f t="shared" si="274"/>
        <v>-0.23645643304453862</v>
      </c>
      <c r="AD472" s="1">
        <f t="shared" si="274"/>
        <v>-0.40040026268370105</v>
      </c>
      <c r="AE472" s="1">
        <f t="shared" si="274"/>
        <v>-0.80910921239966493</v>
      </c>
      <c r="AF472" s="1">
        <f t="shared" si="274"/>
        <v>-1.8624010260377535</v>
      </c>
      <c r="AG472" s="1">
        <f t="shared" si="274"/>
        <v>-4.4394218946222379</v>
      </c>
      <c r="AH472" s="1">
        <f t="shared" si="274"/>
        <v>-7.0299216354027694</v>
      </c>
      <c r="AI472" s="1">
        <f t="shared" si="274"/>
        <v>-4.846559257742979</v>
      </c>
      <c r="AJ472" s="1">
        <f t="shared" si="274"/>
        <v>-2.0678743386350411</v>
      </c>
      <c r="AK472" s="1">
        <f t="shared" si="274"/>
        <v>-0.93815082239985736</v>
      </c>
      <c r="AL472" s="1">
        <f t="shared" si="274"/>
        <v>-0.46455430769879291</v>
      </c>
      <c r="AM472" s="1">
        <f t="shared" si="274"/>
        <v>-0.25515409268284794</v>
      </c>
      <c r="AN472" s="1">
        <f t="shared" si="274"/>
        <v>-0.15316887910857468</v>
      </c>
      <c r="AO472" s="1">
        <f t="shared" si="274"/>
        <v>-9.8491769338685364E-2</v>
      </c>
    </row>
    <row r="473" spans="2:41">
      <c r="B473" s="1">
        <f t="shared" ref="B473:AO473" si="275">1/(B277*B424-B375*B326)*((B172*B277+B228*B326)/SQRT(B277^2+B326^2)-(B172*B375+B228*B424)/SQRT(B375^2+B424^2))</f>
        <v>-2.0313844261099332E-3</v>
      </c>
      <c r="C473" s="1">
        <f t="shared" si="275"/>
        <v>-2.2270247181372955E-3</v>
      </c>
      <c r="D473" s="1">
        <f t="shared" si="275"/>
        <v>-2.4485217650148708E-3</v>
      </c>
      <c r="E473" s="1">
        <f t="shared" si="275"/>
        <v>-2.7002750275381578E-3</v>
      </c>
      <c r="F473" s="1">
        <f t="shared" si="275"/>
        <v>-2.8824719431485078E-3</v>
      </c>
      <c r="G473" s="1">
        <f t="shared" si="275"/>
        <v>-2.3081258969621346E-3</v>
      </c>
      <c r="H473" s="1">
        <f t="shared" si="275"/>
        <v>-2.5728472266121254E-3</v>
      </c>
      <c r="I473" s="1">
        <f t="shared" si="275"/>
        <v>-2.8795447689660011E-3</v>
      </c>
      <c r="J473" s="1">
        <f t="shared" si="275"/>
        <v>-3.2368563490152054E-3</v>
      </c>
      <c r="K473" s="1">
        <f t="shared" si="275"/>
        <v>-3.6556370865193409E-3</v>
      </c>
      <c r="L473" s="1">
        <f t="shared" si="275"/>
        <v>-4.1496506146636719E-3</v>
      </c>
      <c r="M473" s="1">
        <f t="shared" si="275"/>
        <v>-4.7365170099031408E-3</v>
      </c>
      <c r="N473" s="1">
        <f t="shared" si="275"/>
        <v>-4.389860830465519E-3</v>
      </c>
      <c r="O473" s="1">
        <f t="shared" si="275"/>
        <v>-4.8396969327982702E-3</v>
      </c>
      <c r="P473" s="1">
        <f t="shared" si="275"/>
        <v>-5.6375384734734966E-3</v>
      </c>
      <c r="Q473" s="1">
        <f t="shared" si="275"/>
        <v>-6.6202838947690317E-3</v>
      </c>
      <c r="R473" s="1">
        <f t="shared" si="275"/>
        <v>-7.8445630158235011E-3</v>
      </c>
      <c r="S473" s="1">
        <f t="shared" si="275"/>
        <v>-9.3890734758100922E-3</v>
      </c>
      <c r="T473" s="1">
        <f t="shared" si="275"/>
        <v>-1.136525269819846E-2</v>
      </c>
      <c r="U473" s="1">
        <f t="shared" si="275"/>
        <v>-1.3934245759597841E-2</v>
      </c>
      <c r="V473" s="1">
        <f t="shared" si="275"/>
        <v>-1.5396618290571359E-2</v>
      </c>
      <c r="W473" s="1">
        <f t="shared" si="275"/>
        <v>-1.9490490591938001E-2</v>
      </c>
      <c r="X473" s="1">
        <f t="shared" si="275"/>
        <v>-2.5163950834844712E-2</v>
      </c>
      <c r="Y473" s="1">
        <f t="shared" si="275"/>
        <v>-3.3251697211189021E-2</v>
      </c>
      <c r="Z473" s="1">
        <f t="shared" si="275"/>
        <v>-4.5172702257092273E-2</v>
      </c>
      <c r="AA473" s="1">
        <f t="shared" si="275"/>
        <v>-6.3461264036931586E-2</v>
      </c>
      <c r="AB473" s="1">
        <f t="shared" si="275"/>
        <v>-9.2917214721869076E-2</v>
      </c>
      <c r="AC473" s="1">
        <f t="shared" si="275"/>
        <v>-0.14084546335931539</v>
      </c>
      <c r="AD473" s="1">
        <f t="shared" si="275"/>
        <v>-0.21581132006540557</v>
      </c>
      <c r="AE473" s="1">
        <f t="shared" si="275"/>
        <v>-0.39135079530575972</v>
      </c>
      <c r="AF473" s="1">
        <f t="shared" si="275"/>
        <v>-0.79989720785608331</v>
      </c>
      <c r="AG473" s="1">
        <f t="shared" si="275"/>
        <v>-1.883602521962924</v>
      </c>
      <c r="AH473" s="1">
        <f t="shared" si="275"/>
        <v>-4.6770203548242062</v>
      </c>
      <c r="AI473" s="1">
        <f t="shared" si="275"/>
        <v>-7.6237336108508593</v>
      </c>
      <c r="AJ473" s="1">
        <f t="shared" si="275"/>
        <v>-5.1139299836917163</v>
      </c>
      <c r="AK473" s="1">
        <f t="shared" si="275"/>
        <v>-2.1800033282539455</v>
      </c>
      <c r="AL473" s="1">
        <f t="shared" si="275"/>
        <v>-0.92806588668016321</v>
      </c>
      <c r="AM473" s="1">
        <f t="shared" si="275"/>
        <v>-0.44761780240592119</v>
      </c>
      <c r="AN473" s="1">
        <f t="shared" si="275"/>
        <v>-0.24348272834505486</v>
      </c>
      <c r="AO473" s="1">
        <f t="shared" si="275"/>
        <v>-0.14536693470108131</v>
      </c>
    </row>
    <row r="474" spans="2:41">
      <c r="B474" s="1">
        <f t="shared" ref="B474:AO474" si="276">1/(B278*B425-B376*B327)*((B173*B278+B229*B327)/SQRT(B278^2+B327^2)-(B173*B376+B229*B425)/SQRT(B376^2+B425^2))</f>
        <v>-1.8788625171122105E-3</v>
      </c>
      <c r="C474" s="1">
        <f t="shared" si="276"/>
        <v>-2.0542212262944391E-3</v>
      </c>
      <c r="D474" s="1">
        <f t="shared" si="276"/>
        <v>-2.2520205726504609E-3</v>
      </c>
      <c r="E474" s="1">
        <f t="shared" si="276"/>
        <v>-2.4759542670096993E-3</v>
      </c>
      <c r="F474" s="1">
        <f t="shared" si="276"/>
        <v>-2.6322360474529322E-3</v>
      </c>
      <c r="G474" s="1">
        <f t="shared" si="276"/>
        <v>-2.0806584416390196E-3</v>
      </c>
      <c r="H474" s="1">
        <f t="shared" si="276"/>
        <v>-2.3105747764992058E-3</v>
      </c>
      <c r="I474" s="1">
        <f t="shared" si="276"/>
        <v>-2.5755728054063739E-3</v>
      </c>
      <c r="J474" s="1">
        <f t="shared" si="276"/>
        <v>-2.8825900004530833E-3</v>
      </c>
      <c r="K474" s="1">
        <f t="shared" si="276"/>
        <v>-3.2402727748123937E-3</v>
      </c>
      <c r="L474" s="1">
        <f t="shared" si="276"/>
        <v>-3.6594869587268431E-3</v>
      </c>
      <c r="M474" s="1">
        <f t="shared" si="276"/>
        <v>-4.1540096477277154E-3</v>
      </c>
      <c r="N474" s="1">
        <f t="shared" si="276"/>
        <v>-3.7852652659015368E-3</v>
      </c>
      <c r="O474" s="1">
        <f t="shared" si="276"/>
        <v>-4.1335974740347343E-3</v>
      </c>
      <c r="P474" s="1">
        <f t="shared" si="276"/>
        <v>-4.7800445400425868E-3</v>
      </c>
      <c r="Q474" s="1">
        <f t="shared" si="276"/>
        <v>-5.568257778940989E-3</v>
      </c>
      <c r="R474" s="1">
        <f t="shared" si="276"/>
        <v>-6.5392090408091762E-3</v>
      </c>
      <c r="S474" s="1">
        <f t="shared" si="276"/>
        <v>-7.748891423157515E-3</v>
      </c>
      <c r="T474" s="1">
        <f t="shared" si="276"/>
        <v>-9.2751311617982699E-3</v>
      </c>
      <c r="U474" s="1">
        <f t="shared" si="276"/>
        <v>-1.122815442031079E-2</v>
      </c>
      <c r="V474" s="1">
        <f t="shared" si="276"/>
        <v>-1.2092134414208132E-2</v>
      </c>
      <c r="W474" s="1">
        <f t="shared" si="276"/>
        <v>-1.5053001962321667E-2</v>
      </c>
      <c r="X474" s="1">
        <f t="shared" si="276"/>
        <v>-1.9059629582332482E-2</v>
      </c>
      <c r="Y474" s="1">
        <f t="shared" si="276"/>
        <v>-2.4614455942168569E-2</v>
      </c>
      <c r="Z474" s="1">
        <f t="shared" si="276"/>
        <v>-3.2537273612638203E-2</v>
      </c>
      <c r="AA474" s="1">
        <f t="shared" si="276"/>
        <v>-4.4223353737368014E-2</v>
      </c>
      <c r="AB474" s="1">
        <f t="shared" si="276"/>
        <v>-6.2168589989176008E-2</v>
      </c>
      <c r="AC474" s="1">
        <f t="shared" si="276"/>
        <v>-8.9256173232885455E-2</v>
      </c>
      <c r="AD474" s="1">
        <f t="shared" si="276"/>
        <v>-0.12584053371651771</v>
      </c>
      <c r="AE474" s="1">
        <f t="shared" si="276"/>
        <v>-0.20916035651741943</v>
      </c>
      <c r="AF474" s="1">
        <f t="shared" si="276"/>
        <v>-0.38159353602330942</v>
      </c>
      <c r="AG474" s="1">
        <f t="shared" si="276"/>
        <v>-0.78884230418602441</v>
      </c>
      <c r="AH474" s="1">
        <f t="shared" si="276"/>
        <v>-1.9011231990779951</v>
      </c>
      <c r="AI474" s="1">
        <f t="shared" si="276"/>
        <v>-4.9297970186586406</v>
      </c>
      <c r="AJ474" s="1">
        <f t="shared" si="276"/>
        <v>-8.2948166818501914</v>
      </c>
      <c r="AK474" s="1">
        <f t="shared" si="276"/>
        <v>-5.5671769961882083</v>
      </c>
      <c r="AL474" s="1">
        <f t="shared" si="276"/>
        <v>-2.2219287834742767</v>
      </c>
      <c r="AM474" s="1">
        <f t="shared" si="276"/>
        <v>-0.90548156310854211</v>
      </c>
      <c r="AN474" s="1">
        <f t="shared" si="276"/>
        <v>-0.42879000710911686</v>
      </c>
      <c r="AO474" s="1">
        <f t="shared" si="276"/>
        <v>-0.23108692018502483</v>
      </c>
    </row>
    <row r="475" spans="2:41">
      <c r="B475" s="1">
        <f t="shared" ref="B475:AO475" si="277">1/(B279*B426-B377*B328)*((B174*B279+B230*B328)/SQRT(B279^2+B328^2)-(B174*B377+B230*B426)/SQRT(B377^2+B426^2))</f>
        <v>-1.7417456429973013E-3</v>
      </c>
      <c r="C475" s="1">
        <f t="shared" si="277"/>
        <v>-1.8994324931914189E-3</v>
      </c>
      <c r="D475" s="1">
        <f t="shared" si="277"/>
        <v>-2.0766775666203937E-3</v>
      </c>
      <c r="E475" s="1">
        <f t="shared" si="277"/>
        <v>-2.2765984337105314E-3</v>
      </c>
      <c r="F475" s="1">
        <f t="shared" si="277"/>
        <v>-2.4109445121359954E-3</v>
      </c>
      <c r="G475" s="1">
        <f t="shared" si="277"/>
        <v>-1.8817278657478533E-3</v>
      </c>
      <c r="H475" s="1">
        <f t="shared" si="277"/>
        <v>-2.082331140950004E-3</v>
      </c>
      <c r="I475" s="1">
        <f t="shared" si="277"/>
        <v>-2.3124297845252047E-3</v>
      </c>
      <c r="J475" s="1">
        <f t="shared" si="277"/>
        <v>-2.5776374013872956E-3</v>
      </c>
      <c r="K475" s="1">
        <f t="shared" si="277"/>
        <v>-2.8848967176920586E-3</v>
      </c>
      <c r="L475" s="1">
        <f t="shared" si="277"/>
        <v>-3.2428606507863638E-3</v>
      </c>
      <c r="M475" s="1">
        <f t="shared" si="277"/>
        <v>-3.6624031422280833E-3</v>
      </c>
      <c r="N475" s="1">
        <f t="shared" si="277"/>
        <v>-3.2822913238589697E-3</v>
      </c>
      <c r="O475" s="1">
        <f t="shared" si="277"/>
        <v>-3.5521015605941542E-3</v>
      </c>
      <c r="P475" s="1">
        <f t="shared" si="277"/>
        <v>-4.0804419640940552E-3</v>
      </c>
      <c r="Q475" s="1">
        <f t="shared" si="277"/>
        <v>-4.7187279608083225E-3</v>
      </c>
      <c r="R475" s="1">
        <f t="shared" si="277"/>
        <v>-5.4970360243880925E-3</v>
      </c>
      <c r="S475" s="1">
        <f t="shared" si="277"/>
        <v>-6.4558513276584562E-3</v>
      </c>
      <c r="T475" s="1">
        <f t="shared" si="277"/>
        <v>-7.6505100762762953E-3</v>
      </c>
      <c r="U475" s="1">
        <f t="shared" si="277"/>
        <v>-9.1579389416969366E-3</v>
      </c>
      <c r="V475" s="1">
        <f t="shared" si="277"/>
        <v>-9.6251802696197906E-3</v>
      </c>
      <c r="W475" s="1">
        <f t="shared" si="277"/>
        <v>-1.1808502667942282E-2</v>
      </c>
      <c r="X475" s="1">
        <f t="shared" si="277"/>
        <v>-1.470244471661738E-2</v>
      </c>
      <c r="Y475" s="1">
        <f t="shared" si="277"/>
        <v>-1.8619768133941405E-2</v>
      </c>
      <c r="Z475" s="1">
        <f t="shared" si="277"/>
        <v>-2.4052993445323238E-2</v>
      </c>
      <c r="AA475" s="1">
        <f t="shared" si="277"/>
        <v>-3.1806449647617883E-2</v>
      </c>
      <c r="AB475" s="1">
        <f t="shared" si="277"/>
        <v>-4.325068867189568E-2</v>
      </c>
      <c r="AC475" s="1">
        <f t="shared" si="277"/>
        <v>-5.9396094734984237E-2</v>
      </c>
      <c r="AD475" s="1">
        <f t="shared" si="277"/>
        <v>-7.803169476206176E-2</v>
      </c>
      <c r="AE475" s="1">
        <f t="shared" si="277"/>
        <v>-0.12119782483674477</v>
      </c>
      <c r="AF475" s="1">
        <f t="shared" si="277"/>
        <v>-0.20214809164092745</v>
      </c>
      <c r="AG475" s="1">
        <f t="shared" si="277"/>
        <v>-0.37101362292268902</v>
      </c>
      <c r="AH475" s="1">
        <f t="shared" si="277"/>
        <v>-0.77571304950325959</v>
      </c>
      <c r="AI475" s="1">
        <f t="shared" si="277"/>
        <v>-1.9144438068925471</v>
      </c>
      <c r="AJ475" s="1">
        <f t="shared" si="277"/>
        <v>-5.2010368477944917</v>
      </c>
      <c r="AK475" s="1">
        <f t="shared" si="277"/>
        <v>-9.2801872545555018</v>
      </c>
      <c r="AL475" s="1">
        <f t="shared" si="277"/>
        <v>-6.0774433458643129</v>
      </c>
      <c r="AM475" s="1">
        <f t="shared" si="277"/>
        <v>-2.2401842452214105</v>
      </c>
      <c r="AN475" s="1">
        <f t="shared" si="277"/>
        <v>-0.87705496251879667</v>
      </c>
      <c r="AO475" s="1">
        <f t="shared" si="277"/>
        <v>-0.40794190208976122</v>
      </c>
    </row>
    <row r="476" spans="2:41">
      <c r="B476" s="1">
        <f t="shared" ref="B476:AO476" si="278">1/(B280*B427-B378*B329)*((B175*B280+B231*B329)/SQRT(B280^2+B329^2)-(B175*B378+B231*B427)/SQRT(B378^2+B427^2))</f>
        <v>-1.6160629428606543E-3</v>
      </c>
      <c r="C476" s="1">
        <f t="shared" si="278"/>
        <v>-1.7581138712860769E-3</v>
      </c>
      <c r="D476" s="1">
        <f t="shared" si="278"/>
        <v>-1.9172580445320103E-3</v>
      </c>
      <c r="E476" s="1">
        <f t="shared" si="278"/>
        <v>-2.0961367540524001E-3</v>
      </c>
      <c r="F476" s="1">
        <f t="shared" si="278"/>
        <v>-2.211584421313537E-3</v>
      </c>
      <c r="G476" s="1">
        <f t="shared" si="278"/>
        <v>-1.7038204431178987E-3</v>
      </c>
      <c r="H476" s="1">
        <f t="shared" si="278"/>
        <v>-1.8792732798055957E-3</v>
      </c>
      <c r="I476" s="1">
        <f t="shared" si="278"/>
        <v>-2.0796181775112289E-3</v>
      </c>
      <c r="J476" s="1">
        <f t="shared" si="278"/>
        <v>-2.3094211298562606E-3</v>
      </c>
      <c r="K476" s="1">
        <f t="shared" si="278"/>
        <v>-2.5742888098725558E-3</v>
      </c>
      <c r="L476" s="1">
        <f t="shared" si="278"/>
        <v>-2.8811554216947614E-3</v>
      </c>
      <c r="M476" s="1">
        <f t="shared" si="278"/>
        <v>-3.2386633329297299E-3</v>
      </c>
      <c r="N476" s="1">
        <f t="shared" si="278"/>
        <v>-2.853941687578858E-3</v>
      </c>
      <c r="O476" s="1">
        <f t="shared" si="278"/>
        <v>-3.0616057789106727E-3</v>
      </c>
      <c r="P476" s="1">
        <f t="shared" si="278"/>
        <v>-3.4957486418713034E-3</v>
      </c>
      <c r="Q476" s="1">
        <f t="shared" si="278"/>
        <v>-4.015840907148677E-3</v>
      </c>
      <c r="R476" s="1">
        <f t="shared" si="278"/>
        <v>-4.6442003743757312E-3</v>
      </c>
      <c r="S476" s="1">
        <f t="shared" si="278"/>
        <v>-5.4104580339641075E-3</v>
      </c>
      <c r="T476" s="1">
        <f t="shared" si="278"/>
        <v>-6.3545054613038396E-3</v>
      </c>
      <c r="U476" s="1">
        <f t="shared" si="278"/>
        <v>-7.5308772001506435E-3</v>
      </c>
      <c r="V476" s="1">
        <f t="shared" si="278"/>
        <v>-7.7287600611877956E-3</v>
      </c>
      <c r="W476" s="1">
        <f t="shared" si="278"/>
        <v>-9.3614256414266163E-3</v>
      </c>
      <c r="X476" s="1">
        <f t="shared" si="278"/>
        <v>-1.1486684766223887E-2</v>
      </c>
      <c r="Y476" s="1">
        <f t="shared" si="278"/>
        <v>-1.4304468098541542E-2</v>
      </c>
      <c r="Z476" s="1">
        <f t="shared" si="278"/>
        <v>-1.8120053995124751E-2</v>
      </c>
      <c r="AA476" s="1">
        <f t="shared" si="278"/>
        <v>-2.3414550211007631E-2</v>
      </c>
      <c r="AB476" s="1">
        <f t="shared" si="278"/>
        <v>-3.0974423352201044E-2</v>
      </c>
      <c r="AC476" s="1">
        <f t="shared" si="278"/>
        <v>-4.0986887697254858E-2</v>
      </c>
      <c r="AD476" s="1">
        <f t="shared" si="278"/>
        <v>-5.0604468025806454E-2</v>
      </c>
      <c r="AE476" s="1">
        <f t="shared" si="278"/>
        <v>-7.4539514746341198E-2</v>
      </c>
      <c r="AF476" s="1">
        <f t="shared" si="278"/>
        <v>-0.11603977989929178</v>
      </c>
      <c r="AG476" s="1">
        <f t="shared" si="278"/>
        <v>-0.19425226542106089</v>
      </c>
      <c r="AH476" s="1">
        <f t="shared" si="278"/>
        <v>-0.35877264639743472</v>
      </c>
      <c r="AI476" s="1">
        <f t="shared" si="278"/>
        <v>-0.7592271872394124</v>
      </c>
      <c r="AJ476" s="1">
        <f t="shared" si="278"/>
        <v>-1.9230842125977143</v>
      </c>
      <c r="AK476" s="1">
        <f t="shared" si="278"/>
        <v>-5.4837084148950286</v>
      </c>
      <c r="AL476" s="1">
        <f t="shared" si="278"/>
        <v>-10.816007114969482</v>
      </c>
      <c r="AM476" s="1">
        <f t="shared" si="278"/>
        <v>-6.6645816635822523</v>
      </c>
      <c r="AN476" s="1">
        <f t="shared" si="278"/>
        <v>-2.2407071477882012</v>
      </c>
      <c r="AO476" s="1">
        <f t="shared" si="278"/>
        <v>-0.84073874637788293</v>
      </c>
    </row>
    <row r="477" spans="2:41">
      <c r="B477" s="1">
        <f t="shared" ref="B477:AO477" si="279">1/(B281*B428-B379*B330)*((B176*B281+B232*B330)/SQRT(B281^2+B330^2)-(B176*B379+B232*B428)/SQRT(B379^2+B428^2))</f>
        <v>-1.5032438753631722E-3</v>
      </c>
      <c r="C477" s="1">
        <f t="shared" si="279"/>
        <v>-1.6316401466509374E-3</v>
      </c>
      <c r="D477" s="1">
        <f t="shared" si="279"/>
        <v>-1.7750387193131631E-3</v>
      </c>
      <c r="E477" s="1">
        <f t="shared" si="279"/>
        <v>-1.9356889088426048E-3</v>
      </c>
      <c r="F477" s="1">
        <f t="shared" si="279"/>
        <v>-2.0351099608905349E-3</v>
      </c>
      <c r="G477" s="1">
        <f t="shared" si="279"/>
        <v>-1.5482275134940037E-3</v>
      </c>
      <c r="H477" s="1">
        <f t="shared" si="279"/>
        <v>-1.7024049118128499E-3</v>
      </c>
      <c r="I477" s="1">
        <f t="shared" si="279"/>
        <v>-1.877713676728898E-3</v>
      </c>
      <c r="J477" s="1">
        <f t="shared" si="279"/>
        <v>-2.0778943982832851E-3</v>
      </c>
      <c r="K477" s="1">
        <f t="shared" si="279"/>
        <v>-2.3075094634034793E-3</v>
      </c>
      <c r="L477" s="1">
        <f t="shared" si="279"/>
        <v>-2.5721611398516054E-3</v>
      </c>
      <c r="M477" s="1">
        <f t="shared" si="279"/>
        <v>-2.8787782158787192E-3</v>
      </c>
      <c r="N477" s="1">
        <f t="shared" si="279"/>
        <v>-2.4952377726499718E-3</v>
      </c>
      <c r="O477" s="1">
        <f t="shared" si="279"/>
        <v>-2.6544721525997191E-3</v>
      </c>
      <c r="P477" s="1">
        <f t="shared" si="279"/>
        <v>-3.0140846451174592E-3</v>
      </c>
      <c r="Q477" s="1">
        <f t="shared" si="279"/>
        <v>-3.4415832671395455E-3</v>
      </c>
      <c r="R477" s="1">
        <f t="shared" si="279"/>
        <v>-3.9537413232897476E-3</v>
      </c>
      <c r="S477" s="1">
        <f t="shared" si="279"/>
        <v>-4.572550291398002E-3</v>
      </c>
      <c r="T477" s="1">
        <f t="shared" si="279"/>
        <v>-5.3272115185923072E-3</v>
      </c>
      <c r="U477" s="1">
        <f t="shared" si="279"/>
        <v>-6.2570438006523208E-3</v>
      </c>
      <c r="V477" s="1">
        <f t="shared" si="279"/>
        <v>-6.2750485786538801E-3</v>
      </c>
      <c r="W477" s="1">
        <f t="shared" si="279"/>
        <v>-7.5151069219186861E-3</v>
      </c>
      <c r="X477" s="1">
        <f t="shared" si="279"/>
        <v>-9.1037306951757425E-3</v>
      </c>
      <c r="Y477" s="1">
        <f t="shared" si="279"/>
        <v>-1.1172115872857295E-2</v>
      </c>
      <c r="Z477" s="1">
        <f t="shared" si="279"/>
        <v>-1.391523391392529E-2</v>
      </c>
      <c r="AA477" s="1">
        <f t="shared" si="279"/>
        <v>-1.7630964968098198E-2</v>
      </c>
      <c r="AB477" s="1">
        <f t="shared" si="279"/>
        <v>-2.2789101568592207E-2</v>
      </c>
      <c r="AC477" s="1">
        <f t="shared" si="279"/>
        <v>-2.9216646107375087E-2</v>
      </c>
      <c r="AD477" s="1">
        <f t="shared" si="279"/>
        <v>-3.4103607083733084E-2</v>
      </c>
      <c r="AE477" s="1">
        <f t="shared" si="279"/>
        <v>-4.8152537800951523E-2</v>
      </c>
      <c r="AF477" s="1">
        <f t="shared" si="279"/>
        <v>-7.103080097654596E-2</v>
      </c>
      <c r="AG477" s="1">
        <f t="shared" si="279"/>
        <v>-0.110817862813876</v>
      </c>
      <c r="AH477" s="1">
        <f t="shared" si="279"/>
        <v>-0.18615422551285141</v>
      </c>
      <c r="AI477" s="1">
        <f t="shared" si="279"/>
        <v>-0.3458889486416441</v>
      </c>
      <c r="AJ477" s="1">
        <f t="shared" si="279"/>
        <v>-0.74055667730338404</v>
      </c>
      <c r="AK477" s="1">
        <f t="shared" si="279"/>
        <v>-1.8270289886607634</v>
      </c>
      <c r="AL477" s="1">
        <f t="shared" si="279"/>
        <v>-5.9525372409429416</v>
      </c>
      <c r="AM477" s="1">
        <f t="shared" si="279"/>
        <v>-12.773907387195054</v>
      </c>
      <c r="AN477" s="1">
        <f t="shared" si="279"/>
        <v>-7.2983189088535747</v>
      </c>
      <c r="AO477" s="1">
        <f t="shared" si="279"/>
        <v>-2.2184124722997374</v>
      </c>
    </row>
    <row r="478" spans="2:41">
      <c r="B478" s="1">
        <f t="shared" ref="B478:AO478" si="280">1/(B282*B429-B380*B331)*((B177*B282+B233*B331)/SQRT(B282^2+B331^2)-(B177*B380+B233*B429)/SQRT(B380^2+B429^2))</f>
        <v>-1.4012163820140827E-3</v>
      </c>
      <c r="C478" s="1">
        <f t="shared" si="280"/>
        <v>-1.5176048077659369E-3</v>
      </c>
      <c r="D478" s="1">
        <f t="shared" si="280"/>
        <v>-1.6472092600781042E-3</v>
      </c>
      <c r="E478" s="1">
        <f t="shared" si="280"/>
        <v>-1.7919540339124322E-3</v>
      </c>
      <c r="F478" s="1">
        <f t="shared" si="280"/>
        <v>-1.8776786267252568E-3</v>
      </c>
      <c r="G478" s="1">
        <f t="shared" si="280"/>
        <v>-1.4109189151285417E-3</v>
      </c>
      <c r="H478" s="1">
        <f t="shared" si="280"/>
        <v>-1.5469388773486394E-3</v>
      </c>
      <c r="I478" s="1">
        <f t="shared" si="280"/>
        <v>-1.7009893290203474E-3</v>
      </c>
      <c r="J478" s="1">
        <f t="shared" si="280"/>
        <v>-1.8761540122583741E-3</v>
      </c>
      <c r="K478" s="1">
        <f t="shared" si="280"/>
        <v>-2.0761705454748172E-3</v>
      </c>
      <c r="L478" s="1">
        <f t="shared" si="280"/>
        <v>-2.3055977082541371E-3</v>
      </c>
      <c r="M478" s="1">
        <f t="shared" si="280"/>
        <v>-2.5700333622780411E-3</v>
      </c>
      <c r="N478" s="1">
        <f t="shared" si="280"/>
        <v>-2.1915301166779491E-3</v>
      </c>
      <c r="O478" s="1">
        <f t="shared" si="280"/>
        <v>-2.3126200729467906E-3</v>
      </c>
      <c r="P478" s="1">
        <f t="shared" si="280"/>
        <v>-2.6125225487389795E-3</v>
      </c>
      <c r="Q478" s="1">
        <f t="shared" si="280"/>
        <v>-2.9665220609809253E-3</v>
      </c>
      <c r="R478" s="1">
        <f t="shared" si="280"/>
        <v>-3.3873660694600932E-3</v>
      </c>
      <c r="S478" s="1">
        <f t="shared" si="280"/>
        <v>-3.8915762958358761E-3</v>
      </c>
      <c r="T478" s="1">
        <f t="shared" si="280"/>
        <v>-4.5008166532139078E-3</v>
      </c>
      <c r="U478" s="1">
        <f t="shared" si="280"/>
        <v>-5.2438570312226575E-3</v>
      </c>
      <c r="V478" s="1">
        <f t="shared" si="280"/>
        <v>-5.1412962748233699E-3</v>
      </c>
      <c r="W478" s="1">
        <f t="shared" si="280"/>
        <v>-6.0955804552791041E-3</v>
      </c>
      <c r="X478" s="1">
        <f t="shared" si="280"/>
        <v>-7.3008819842242034E-3</v>
      </c>
      <c r="Y478" s="1">
        <f t="shared" si="280"/>
        <v>-8.8452528500588649E-3</v>
      </c>
      <c r="Z478" s="1">
        <f t="shared" si="280"/>
        <v>-1.0856452142276957E-2</v>
      </c>
      <c r="AA478" s="1">
        <f t="shared" si="280"/>
        <v>-1.3524431332125032E-2</v>
      </c>
      <c r="AB478" s="1">
        <f t="shared" si="280"/>
        <v>-1.7139566081069271E-2</v>
      </c>
      <c r="AC478" s="1">
        <f t="shared" si="280"/>
        <v>-2.1378513311036056E-2</v>
      </c>
      <c r="AD478" s="1">
        <f t="shared" si="280"/>
        <v>-2.3681724591468094E-2</v>
      </c>
      <c r="AE478" s="1">
        <f t="shared" si="280"/>
        <v>-3.2308396228937809E-2</v>
      </c>
      <c r="AF478" s="1">
        <f t="shared" si="280"/>
        <v>-4.5662228169596933E-2</v>
      </c>
      <c r="AG478" s="1">
        <f t="shared" si="280"/>
        <v>-6.7450891837752172E-2</v>
      </c>
      <c r="AH478" s="1">
        <f t="shared" si="280"/>
        <v>-0.10545204812542344</v>
      </c>
      <c r="AI478" s="1">
        <f t="shared" si="280"/>
        <v>-0.17773187170700275</v>
      </c>
      <c r="AJ478" s="1">
        <f t="shared" si="280"/>
        <v>-0.33216667258663246</v>
      </c>
      <c r="AK478" s="1">
        <f t="shared" si="280"/>
        <v>-0.65366945430450951</v>
      </c>
      <c r="AL478" s="1">
        <f t="shared" si="280"/>
        <v>-1.7897820292860935</v>
      </c>
      <c r="AM478" s="1">
        <f t="shared" si="280"/>
        <v>-6.4801503446468054</v>
      </c>
      <c r="AN478" s="1">
        <f t="shared" si="280"/>
        <v>-15.299079179259618</v>
      </c>
      <c r="AO478" s="1">
        <f t="shared" si="280"/>
        <v>-7.9785037026348347</v>
      </c>
    </row>
    <row r="479" spans="2:41">
      <c r="B479" s="1">
        <f t="shared" ref="B479:AO479" si="281">1/(B283*B430-B381*B332)*((B178*B283+B234*B332)/SQRT(B283^2+B332^2)-(B178*B381+B234*B430)/SQRT(B381^2+B430^2))</f>
        <v>-1.3086927488024434E-3</v>
      </c>
      <c r="C479" s="1">
        <f t="shared" si="281"/>
        <v>-1.4144840577964015E-3</v>
      </c>
      <c r="D479" s="1">
        <f t="shared" si="281"/>
        <v>-1.5319587268578239E-3</v>
      </c>
      <c r="E479" s="1">
        <f t="shared" si="281"/>
        <v>-1.662770139054895E-3</v>
      </c>
      <c r="F479" s="1">
        <f t="shared" si="281"/>
        <v>-1.7367472800778113E-3</v>
      </c>
      <c r="G479" s="1">
        <f t="shared" si="281"/>
        <v>-1.28929334237639E-3</v>
      </c>
      <c r="H479" s="1">
        <f t="shared" si="281"/>
        <v>-1.4097425161401118E-3</v>
      </c>
      <c r="I479" s="1">
        <f t="shared" si="281"/>
        <v>-1.5456501978580546E-3</v>
      </c>
      <c r="J479" s="1">
        <f t="shared" si="281"/>
        <v>-1.6995736947971927E-3</v>
      </c>
      <c r="K479" s="1">
        <f t="shared" si="281"/>
        <v>-1.8745942864629825E-3</v>
      </c>
      <c r="L479" s="1">
        <f t="shared" si="281"/>
        <v>-2.0744466191590372E-3</v>
      </c>
      <c r="M479" s="1">
        <f t="shared" si="281"/>
        <v>-2.3036858645065373E-3</v>
      </c>
      <c r="N479" s="1">
        <f t="shared" si="281"/>
        <v>-1.9328566932051488E-3</v>
      </c>
      <c r="O479" s="1">
        <f t="shared" si="281"/>
        <v>-2.0237421655971023E-3</v>
      </c>
      <c r="P479" s="1">
        <f t="shared" si="281"/>
        <v>-2.2754103340964643E-3</v>
      </c>
      <c r="Q479" s="1">
        <f t="shared" si="281"/>
        <v>-2.5705400391967045E-3</v>
      </c>
      <c r="R479" s="1">
        <f t="shared" si="281"/>
        <v>-2.9189187081815923E-3</v>
      </c>
      <c r="S479" s="1">
        <f t="shared" si="281"/>
        <v>-3.333097894453756E-3</v>
      </c>
      <c r="T479" s="1">
        <f t="shared" si="281"/>
        <v>-3.8293468835338576E-3</v>
      </c>
      <c r="U479" s="1">
        <f t="shared" si="281"/>
        <v>-4.4290007988447427E-3</v>
      </c>
      <c r="V479" s="1">
        <f t="shared" si="281"/>
        <v>-4.2462566848279161E-3</v>
      </c>
      <c r="W479" s="1">
        <f t="shared" si="281"/>
        <v>-4.9891782378702412E-3</v>
      </c>
      <c r="X479" s="1">
        <f t="shared" si="281"/>
        <v>-5.9156977309812332E-3</v>
      </c>
      <c r="Y479" s="1">
        <f t="shared" si="281"/>
        <v>-7.0860997939168622E-3</v>
      </c>
      <c r="Z479" s="1">
        <f t="shared" si="281"/>
        <v>-8.586011846007836E-3</v>
      </c>
      <c r="AA479" s="1">
        <f t="shared" si="281"/>
        <v>-1.0539720858413535E-2</v>
      </c>
      <c r="AB479" s="1">
        <f t="shared" si="281"/>
        <v>-1.3132098836673049E-2</v>
      </c>
      <c r="AC479" s="1">
        <f t="shared" si="281"/>
        <v>-1.5987333033074261E-2</v>
      </c>
      <c r="AD479" s="1">
        <f t="shared" si="281"/>
        <v>-1.6841998487636928E-2</v>
      </c>
      <c r="AE479" s="1">
        <f t="shared" si="281"/>
        <v>-2.2335100895758887E-2</v>
      </c>
      <c r="AF479" s="1">
        <f t="shared" si="281"/>
        <v>-3.0491865391972444E-2</v>
      </c>
      <c r="AG479" s="1">
        <f t="shared" si="281"/>
        <v>-4.3134914614414314E-2</v>
      </c>
      <c r="AH479" s="1">
        <f t="shared" si="281"/>
        <v>-6.3802128184976811E-2</v>
      </c>
      <c r="AI479" s="1">
        <f t="shared" si="281"/>
        <v>-9.9946362316661166E-2</v>
      </c>
      <c r="AJ479" s="1">
        <f t="shared" si="281"/>
        <v>-0.16899151499430043</v>
      </c>
      <c r="AK479" s="1">
        <f t="shared" si="281"/>
        <v>-0.27596569706542023</v>
      </c>
      <c r="AL479" s="1">
        <f t="shared" si="281"/>
        <v>-0.60533221965192829</v>
      </c>
      <c r="AM479" s="1">
        <f t="shared" si="281"/>
        <v>-1.7417400250922448</v>
      </c>
      <c r="AN479" s="1">
        <f t="shared" si="281"/>
        <v>-7.0343007264823525</v>
      </c>
      <c r="AO479" s="1">
        <f t="shared" si="281"/>
        <v>-18.6261828370811</v>
      </c>
    </row>
    <row r="488" spans="1:41">
      <c r="A488" s="1" t="s">
        <v>127</v>
      </c>
    </row>
    <row r="489" spans="1:41">
      <c r="B489" s="1">
        <f t="shared" ref="B489:AO489" si="282">-1/B293*(1+B244/SQRT(B244^2+B293^2))</f>
        <v>-75.327884937698627</v>
      </c>
      <c r="C489" s="1">
        <f t="shared" si="282"/>
        <v>75.889828289048779</v>
      </c>
      <c r="D489" s="1">
        <f t="shared" si="282"/>
        <v>21.173935885838734</v>
      </c>
      <c r="E489" s="1">
        <f t="shared" si="282"/>
        <v>11.379209327124144</v>
      </c>
      <c r="F489" s="1">
        <f t="shared" si="282"/>
        <v>7.6219107404646378</v>
      </c>
      <c r="G489" s="1">
        <f t="shared" si="282"/>
        <v>5.6864043989689632</v>
      </c>
      <c r="H489" s="1">
        <f t="shared" si="282"/>
        <v>4.5003320659357335</v>
      </c>
      <c r="I489" s="1">
        <f t="shared" si="282"/>
        <v>3.7163291315793345</v>
      </c>
      <c r="J489" s="1">
        <f t="shared" si="282"/>
        <v>3.1615641244680273</v>
      </c>
      <c r="K489" s="1">
        <f t="shared" si="282"/>
        <v>2.7491724519896126</v>
      </c>
      <c r="L489" s="1">
        <f t="shared" si="282"/>
        <v>2.4309861896946883</v>
      </c>
      <c r="M489" s="1">
        <f t="shared" si="282"/>
        <v>2.1782444480948633</v>
      </c>
      <c r="N489" s="1">
        <f t="shared" si="282"/>
        <v>1.972754955684527</v>
      </c>
      <c r="O489" s="1">
        <f t="shared" si="282"/>
        <v>1.7996129623265888</v>
      </c>
      <c r="P489" s="1">
        <f t="shared" si="282"/>
        <v>1.6536810272608575</v>
      </c>
      <c r="Q489" s="1">
        <f t="shared" si="282"/>
        <v>1.5294706051589435</v>
      </c>
      <c r="R489" s="1">
        <f t="shared" si="282"/>
        <v>1.4224951757238471</v>
      </c>
      <c r="S489" s="1">
        <f t="shared" si="282"/>
        <v>1.3294186266054409</v>
      </c>
      <c r="T489" s="1">
        <f t="shared" si="282"/>
        <v>1.2477101009764011</v>
      </c>
      <c r="U489" s="1">
        <f t="shared" si="282"/>
        <v>1.1754156945077718</v>
      </c>
      <c r="V489" s="1">
        <f t="shared" si="282"/>
        <v>1.1110034346653102</v>
      </c>
      <c r="W489" s="1">
        <f t="shared" si="282"/>
        <v>1.052489849906157</v>
      </c>
      <c r="X489" s="1">
        <f t="shared" si="282"/>
        <v>0.9997986478590013</v>
      </c>
      <c r="Y489" s="1">
        <f t="shared" si="282"/>
        <v>0.95210579678064722</v>
      </c>
      <c r="Z489" s="1">
        <f t="shared" si="282"/>
        <v>0.90873518527196273</v>
      </c>
      <c r="AA489" s="1">
        <f t="shared" si="282"/>
        <v>0.86912696072130691</v>
      </c>
      <c r="AB489" s="1">
        <f t="shared" si="282"/>
        <v>0.83281364434284466</v>
      </c>
      <c r="AC489" s="1">
        <f t="shared" si="282"/>
        <v>0.79940188727174299</v>
      </c>
      <c r="AD489" s="1">
        <f t="shared" si="282"/>
        <v>0.76843566202186409</v>
      </c>
      <c r="AE489" s="1">
        <f t="shared" si="282"/>
        <v>0.73921045500487226</v>
      </c>
      <c r="AF489" s="1">
        <f t="shared" si="282"/>
        <v>0.71211379043241452</v>
      </c>
      <c r="AG489" s="1">
        <f t="shared" si="282"/>
        <v>0.68692244413573789</v>
      </c>
      <c r="AH489" s="1">
        <f t="shared" si="282"/>
        <v>0.6634432195555473</v>
      </c>
      <c r="AI489" s="1">
        <f t="shared" si="282"/>
        <v>0.64150808133086579</v>
      </c>
      <c r="AJ489" s="1">
        <f t="shared" si="282"/>
        <v>0.62097020257308355</v>
      </c>
      <c r="AK489" s="1">
        <f t="shared" si="282"/>
        <v>0.60170073232035859</v>
      </c>
      <c r="AL489" s="1">
        <f t="shared" si="282"/>
        <v>0.58303947795745226</v>
      </c>
      <c r="AM489" s="1">
        <f t="shared" si="282"/>
        <v>0.56542611638121487</v>
      </c>
      <c r="AN489" s="1">
        <f t="shared" si="282"/>
        <v>0.54883682914623222</v>
      </c>
      <c r="AO489" s="1">
        <f t="shared" si="282"/>
        <v>0.53318545398033934</v>
      </c>
    </row>
    <row r="490" spans="1:41">
      <c r="B490" s="1">
        <f t="shared" ref="B490:AO490" si="283">-1/B294*(1+B245/SQRT(B245^2+B294^2))</f>
        <v>-20.622464478733267</v>
      </c>
      <c r="C490" s="1">
        <f t="shared" si="283"/>
        <v>-76.138572205077594</v>
      </c>
      <c r="D490" s="1">
        <f t="shared" si="283"/>
        <v>76.57011235194777</v>
      </c>
      <c r="E490" s="1">
        <f t="shared" si="283"/>
        <v>21.674415237901496</v>
      </c>
      <c r="F490" s="1">
        <f t="shared" si="283"/>
        <v>11.63977529155431</v>
      </c>
      <c r="G490" s="1">
        <f t="shared" si="283"/>
        <v>7.7672653190844221</v>
      </c>
      <c r="H490" s="1">
        <f t="shared" si="283"/>
        <v>5.7501244509878733</v>
      </c>
      <c r="I490" s="1">
        <f t="shared" si="283"/>
        <v>4.5445851630731084</v>
      </c>
      <c r="J490" s="1">
        <f t="shared" si="283"/>
        <v>3.7487224773295167</v>
      </c>
      <c r="K490" s="1">
        <f t="shared" si="283"/>
        <v>3.1862484990765143</v>
      </c>
      <c r="L490" s="1">
        <f t="shared" si="283"/>
        <v>2.768582711798298</v>
      </c>
      <c r="M490" s="1">
        <f t="shared" si="283"/>
        <v>2.4466373243507933</v>
      </c>
      <c r="N490" s="1">
        <f t="shared" si="283"/>
        <v>2.1911255433965957</v>
      </c>
      <c r="O490" s="1">
        <f t="shared" si="283"/>
        <v>1.9801853216555201</v>
      </c>
      <c r="P490" s="1">
        <f t="shared" si="283"/>
        <v>1.8053446009979088</v>
      </c>
      <c r="Q490" s="1">
        <f t="shared" si="283"/>
        <v>1.6586108340386065</v>
      </c>
      <c r="R490" s="1">
        <f t="shared" si="283"/>
        <v>1.5337549917625151</v>
      </c>
      <c r="S490" s="1">
        <f t="shared" si="283"/>
        <v>1.4262525418818903</v>
      </c>
      <c r="T490" s="1">
        <f t="shared" si="283"/>
        <v>1.3327401977154876</v>
      </c>
      <c r="U490" s="1">
        <f t="shared" si="283"/>
        <v>1.2506672722428958</v>
      </c>
      <c r="V490" s="1">
        <f t="shared" si="283"/>
        <v>1.1780651236254969</v>
      </c>
      <c r="W490" s="1">
        <f t="shared" si="283"/>
        <v>1.1125456373534837</v>
      </c>
      <c r="X490" s="1">
        <f t="shared" si="283"/>
        <v>1.0538868017304011</v>
      </c>
      <c r="Y490" s="1">
        <f t="shared" si="283"/>
        <v>1.0010698767043791</v>
      </c>
      <c r="Z490" s="1">
        <f t="shared" si="283"/>
        <v>0.95326749124189736</v>
      </c>
      <c r="AA490" s="1">
        <f t="shared" si="283"/>
        <v>0.909800877050427</v>
      </c>
      <c r="AB490" s="1">
        <f t="shared" si="283"/>
        <v>0.87010804672131969</v>
      </c>
      <c r="AC490" s="1">
        <f t="shared" si="283"/>
        <v>0.8337197906270869</v>
      </c>
      <c r="AD490" s="1">
        <f t="shared" si="283"/>
        <v>0.80010927750806593</v>
      </c>
      <c r="AE490" s="1">
        <f t="shared" si="283"/>
        <v>0.76849194978984703</v>
      </c>
      <c r="AF490" s="1">
        <f t="shared" si="283"/>
        <v>0.73926289004880019</v>
      </c>
      <c r="AG490" s="1">
        <f t="shared" si="283"/>
        <v>0.71216275380528837</v>
      </c>
      <c r="AH490" s="1">
        <f t="shared" si="283"/>
        <v>0.68696826841513681</v>
      </c>
      <c r="AI490" s="1">
        <f t="shared" si="283"/>
        <v>0.66348619628929839</v>
      </c>
      <c r="AJ490" s="1">
        <f t="shared" si="283"/>
        <v>0.641548467155585</v>
      </c>
      <c r="AK490" s="1">
        <f t="shared" si="283"/>
        <v>0.62100822427275282</v>
      </c>
      <c r="AL490" s="1">
        <f t="shared" si="283"/>
        <v>0.60115791850432632</v>
      </c>
      <c r="AM490" s="1">
        <f t="shared" si="283"/>
        <v>0.5824575365371224</v>
      </c>
      <c r="AN490" s="1">
        <f t="shared" si="283"/>
        <v>0.56487546337250594</v>
      </c>
      <c r="AO490" s="1">
        <f t="shared" si="283"/>
        <v>0.54831502020967049</v>
      </c>
    </row>
    <row r="491" spans="1:41">
      <c r="B491" s="1">
        <f t="shared" ref="B491:AO491" si="284">-1/B295*(1+B246/SQRT(B246^2+B295^2))</f>
        <v>-11.01472040848277</v>
      </c>
      <c r="C491" s="1">
        <f t="shared" si="284"/>
        <v>-21.178732991354547</v>
      </c>
      <c r="D491" s="1">
        <f t="shared" si="284"/>
        <v>-76.762835630228551</v>
      </c>
      <c r="E491" s="1">
        <f t="shared" si="284"/>
        <v>77.099960492066344</v>
      </c>
      <c r="F491" s="1">
        <f t="shared" si="284"/>
        <v>22.123006953789442</v>
      </c>
      <c r="G491" s="1">
        <f t="shared" si="284"/>
        <v>11.877181539937505</v>
      </c>
      <c r="H491" s="1">
        <f t="shared" si="284"/>
        <v>7.86359511499706</v>
      </c>
      <c r="I491" s="1">
        <f t="shared" si="284"/>
        <v>5.8129753725664148</v>
      </c>
      <c r="J491" s="1">
        <f t="shared" si="284"/>
        <v>4.5884120549628191</v>
      </c>
      <c r="K491" s="1">
        <f t="shared" si="284"/>
        <v>3.7808829572662179</v>
      </c>
      <c r="L491" s="1">
        <f t="shared" si="284"/>
        <v>3.2107948208996828</v>
      </c>
      <c r="M491" s="1">
        <f t="shared" si="284"/>
        <v>2.7879057778067313</v>
      </c>
      <c r="N491" s="1">
        <f t="shared" si="284"/>
        <v>2.4622305446141302</v>
      </c>
      <c r="O491" s="1">
        <f t="shared" si="284"/>
        <v>2.1999748982385383</v>
      </c>
      <c r="P491" s="1">
        <f t="shared" si="284"/>
        <v>1.986918559185072</v>
      </c>
      <c r="Q491" s="1">
        <f t="shared" si="284"/>
        <v>1.8110682131897211</v>
      </c>
      <c r="R491" s="1">
        <f t="shared" si="284"/>
        <v>1.6635346786313032</v>
      </c>
      <c r="S491" s="1">
        <f t="shared" si="284"/>
        <v>1.5380348559842005</v>
      </c>
      <c r="T491" s="1">
        <f t="shared" si="284"/>
        <v>1.4300064146375839</v>
      </c>
      <c r="U491" s="1">
        <f t="shared" si="284"/>
        <v>1.3360590266553727</v>
      </c>
      <c r="V491" s="1">
        <f t="shared" si="284"/>
        <v>1.2536222602244382</v>
      </c>
      <c r="W491" s="1">
        <f t="shared" si="284"/>
        <v>1.1797756126377144</v>
      </c>
      <c r="X491" s="1">
        <f t="shared" si="284"/>
        <v>1.1140872465452736</v>
      </c>
      <c r="Y491" s="1">
        <f t="shared" si="284"/>
        <v>1.0552832691366985</v>
      </c>
      <c r="Z491" s="1">
        <f t="shared" si="284"/>
        <v>1.0023407064909027</v>
      </c>
      <c r="AA491" s="1">
        <f t="shared" si="284"/>
        <v>0.95442885418169787</v>
      </c>
      <c r="AB491" s="1">
        <f t="shared" si="284"/>
        <v>0.91086629128439733</v>
      </c>
      <c r="AC491" s="1">
        <f t="shared" si="284"/>
        <v>0.87108889871585404</v>
      </c>
      <c r="AD491" s="1">
        <f t="shared" si="284"/>
        <v>0.8344832117121741</v>
      </c>
      <c r="AE491" s="1">
        <f t="shared" si="284"/>
        <v>0.80016985576735744</v>
      </c>
      <c r="AF491" s="1">
        <f t="shared" si="284"/>
        <v>0.76854823681473194</v>
      </c>
      <c r="AG491" s="1">
        <f t="shared" si="284"/>
        <v>0.73931532446269788</v>
      </c>
      <c r="AH491" s="1">
        <f t="shared" si="284"/>
        <v>0.71221171664170757</v>
      </c>
      <c r="AI491" s="1">
        <f t="shared" si="284"/>
        <v>0.68701409223595677</v>
      </c>
      <c r="AJ491" s="1">
        <f t="shared" si="284"/>
        <v>0.6635291726296193</v>
      </c>
      <c r="AK491" s="1">
        <f t="shared" si="284"/>
        <v>0.6415888526416399</v>
      </c>
      <c r="AL491" s="1">
        <f t="shared" si="284"/>
        <v>0.62043266954261</v>
      </c>
      <c r="AM491" s="1">
        <f t="shared" si="284"/>
        <v>0.60054188927192576</v>
      </c>
      <c r="AN491" s="1">
        <f t="shared" si="284"/>
        <v>0.58187553397528158</v>
      </c>
      <c r="AO491" s="1">
        <f t="shared" si="284"/>
        <v>0.56432475901600232</v>
      </c>
    </row>
    <row r="492" spans="1:41">
      <c r="B492" s="1">
        <f t="shared" ref="B492:AO492" si="285">-1/B296*(1+B247/SQRT(B247^2+B296^2))</f>
        <v>-7.363207946548898</v>
      </c>
      <c r="C492" s="1">
        <f t="shared" si="285"/>
        <v>-11.293405081062676</v>
      </c>
      <c r="D492" s="1">
        <f t="shared" si="285"/>
        <v>-21.678720054675217</v>
      </c>
      <c r="E492" s="1">
        <f t="shared" si="285"/>
        <v>-77.251752947419277</v>
      </c>
      <c r="F492" s="1">
        <f t="shared" si="285"/>
        <v>77.519293782888909</v>
      </c>
      <c r="G492" s="1">
        <f t="shared" si="285"/>
        <v>22.509615832169967</v>
      </c>
      <c r="H492" s="1">
        <f t="shared" si="285"/>
        <v>12.03139273579762</v>
      </c>
      <c r="I492" s="1">
        <f t="shared" si="285"/>
        <v>7.9578370096516551</v>
      </c>
      <c r="J492" s="1">
        <f t="shared" si="285"/>
        <v>5.8749322073750303</v>
      </c>
      <c r="K492" s="1">
        <f t="shared" si="285"/>
        <v>4.6317980294696781</v>
      </c>
      <c r="L492" s="1">
        <f t="shared" si="285"/>
        <v>3.8128018120741873</v>
      </c>
      <c r="M492" s="1">
        <f t="shared" si="285"/>
        <v>3.2351976692590632</v>
      </c>
      <c r="N492" s="1">
        <f t="shared" si="285"/>
        <v>2.807138154704703</v>
      </c>
      <c r="O492" s="1">
        <f t="shared" si="285"/>
        <v>2.4729363265724711</v>
      </c>
      <c r="P492" s="1">
        <f t="shared" si="285"/>
        <v>2.2079909272751936</v>
      </c>
      <c r="Q492" s="1">
        <f t="shared" si="285"/>
        <v>1.993640442487653</v>
      </c>
      <c r="R492" s="1">
        <f t="shared" si="285"/>
        <v>1.816783590789816</v>
      </c>
      <c r="S492" s="1">
        <f t="shared" si="285"/>
        <v>1.6684524053166836</v>
      </c>
      <c r="T492" s="1">
        <f t="shared" si="285"/>
        <v>1.5423100791321742</v>
      </c>
      <c r="U492" s="1">
        <f t="shared" si="285"/>
        <v>1.433756702026534</v>
      </c>
      <c r="V492" s="1">
        <f t="shared" si="285"/>
        <v>1.3393750411175902</v>
      </c>
      <c r="W492" s="1">
        <f t="shared" si="285"/>
        <v>1.2555298729594619</v>
      </c>
      <c r="X492" s="1">
        <f t="shared" si="285"/>
        <v>1.1814853545424391</v>
      </c>
      <c r="Y492" s="1">
        <f t="shared" si="285"/>
        <v>1.1156282520252305</v>
      </c>
      <c r="Z492" s="1">
        <f t="shared" si="285"/>
        <v>1.0566792437129788</v>
      </c>
      <c r="AA492" s="1">
        <f t="shared" si="285"/>
        <v>1.0036111302309403</v>
      </c>
      <c r="AB492" s="1">
        <f t="shared" si="285"/>
        <v>0.95558987974910692</v>
      </c>
      <c r="AC492" s="1">
        <f t="shared" si="285"/>
        <v>0.91193142303858044</v>
      </c>
      <c r="AD492" s="1">
        <f t="shared" si="285"/>
        <v>0.87191524074290128</v>
      </c>
      <c r="AE492" s="1">
        <f t="shared" si="285"/>
        <v>0.83454858761413631</v>
      </c>
      <c r="AF492" s="1">
        <f t="shared" si="285"/>
        <v>0.80023043314495113</v>
      </c>
      <c r="AG492" s="1">
        <f t="shared" si="285"/>
        <v>0.7686045230955173</v>
      </c>
      <c r="AH492" s="1">
        <f t="shared" si="285"/>
        <v>0.73936775824569501</v>
      </c>
      <c r="AI492" s="1">
        <f t="shared" si="285"/>
        <v>0.71226067894091183</v>
      </c>
      <c r="AJ492" s="1">
        <f t="shared" si="285"/>
        <v>0.68705991559753143</v>
      </c>
      <c r="AK492" s="1">
        <f t="shared" si="285"/>
        <v>0.66357214857592262</v>
      </c>
      <c r="AL492" s="1">
        <f t="shared" si="285"/>
        <v>0.64097751297593841</v>
      </c>
      <c r="AM492" s="1">
        <f t="shared" si="285"/>
        <v>0.61977947660695842</v>
      </c>
      <c r="AN492" s="1">
        <f t="shared" si="285"/>
        <v>0.59992578936895469</v>
      </c>
      <c r="AO492" s="1">
        <f t="shared" si="285"/>
        <v>0.58129347212903704</v>
      </c>
    </row>
    <row r="493" spans="1:41">
      <c r="B493" s="1">
        <f t="shared" ref="B493:AO493" si="286">-1/B297*(1+B248/SQRT(B248^2+B297^2))</f>
        <v>-5.4941928342129449</v>
      </c>
      <c r="C493" s="1">
        <f t="shared" si="286"/>
        <v>-7.5235896855088731</v>
      </c>
      <c r="D493" s="1">
        <f t="shared" si="286"/>
        <v>-11.561190212648979</v>
      </c>
      <c r="E493" s="1">
        <f t="shared" si="286"/>
        <v>-22.131492720664806</v>
      </c>
      <c r="F493" s="1">
        <f t="shared" si="286"/>
        <v>-77.644453321132232</v>
      </c>
      <c r="G493" s="1">
        <f t="shared" si="286"/>
        <v>77.847554360117556</v>
      </c>
      <c r="H493" s="1">
        <f t="shared" si="286"/>
        <v>22.753625690613621</v>
      </c>
      <c r="I493" s="1">
        <f t="shared" si="286"/>
        <v>12.182241593052691</v>
      </c>
      <c r="J493" s="1">
        <f t="shared" si="286"/>
        <v>8.0514863948990563</v>
      </c>
      <c r="K493" s="1">
        <f t="shared" si="286"/>
        <v>5.9369857556807304</v>
      </c>
      <c r="L493" s="1">
        <f t="shared" si="286"/>
        <v>4.6754435599396755</v>
      </c>
      <c r="M493" s="1">
        <f t="shared" si="286"/>
        <v>3.8449982896153125</v>
      </c>
      <c r="N493" s="1">
        <f t="shared" si="286"/>
        <v>3.2598562605998684</v>
      </c>
      <c r="O493" s="1">
        <f t="shared" si="286"/>
        <v>2.8206508404168105</v>
      </c>
      <c r="P493" s="1">
        <f t="shared" si="286"/>
        <v>2.4828880347492208</v>
      </c>
      <c r="Q493" s="1">
        <f t="shared" si="286"/>
        <v>2.21620426340266</v>
      </c>
      <c r="R493" s="1">
        <f t="shared" si="286"/>
        <v>2.0005300652897549</v>
      </c>
      <c r="S493" s="1">
        <f t="shared" si="286"/>
        <v>1.8226431026739076</v>
      </c>
      <c r="T493" s="1">
        <f t="shared" si="286"/>
        <v>1.6734951813471051</v>
      </c>
      <c r="U493" s="1">
        <f t="shared" si="286"/>
        <v>1.5466947361182248</v>
      </c>
      <c r="V493" s="1">
        <f t="shared" si="286"/>
        <v>1.4376035044985127</v>
      </c>
      <c r="W493" s="1">
        <f t="shared" si="286"/>
        <v>1.3416041525423401</v>
      </c>
      <c r="X493" s="1">
        <f t="shared" si="286"/>
        <v>1.2575154887522766</v>
      </c>
      <c r="Y493" s="1">
        <f t="shared" si="286"/>
        <v>1.1832651066445483</v>
      </c>
      <c r="Z493" s="1">
        <f t="shared" si="286"/>
        <v>1.1172324335158708</v>
      </c>
      <c r="AA493" s="1">
        <f t="shared" si="286"/>
        <v>1.058132506896452</v>
      </c>
      <c r="AB493" s="1">
        <f t="shared" si="286"/>
        <v>1.0049337360198309</v>
      </c>
      <c r="AC493" s="1">
        <f t="shared" si="286"/>
        <v>0.95679863029430945</v>
      </c>
      <c r="AD493" s="1">
        <f t="shared" si="286"/>
        <v>0.91287284793151502</v>
      </c>
      <c r="AE493" s="1">
        <f t="shared" si="286"/>
        <v>0.872026616997438</v>
      </c>
      <c r="AF493" s="1">
        <f t="shared" si="286"/>
        <v>0.83465148276134693</v>
      </c>
      <c r="AG493" s="1">
        <f t="shared" si="286"/>
        <v>0.80032577607863353</v>
      </c>
      <c r="AH493" s="1">
        <f t="shared" si="286"/>
        <v>0.76869311241021687</v>
      </c>
      <c r="AI493" s="1">
        <f t="shared" si="286"/>
        <v>0.73945028421731729</v>
      </c>
      <c r="AJ493" s="1">
        <f t="shared" si="286"/>
        <v>0.71233774122031157</v>
      </c>
      <c r="AK493" s="1">
        <f t="shared" si="286"/>
        <v>0.68713203755815244</v>
      </c>
      <c r="AL493" s="1">
        <f t="shared" si="286"/>
        <v>0.66294626047468297</v>
      </c>
      <c r="AM493" s="1">
        <f t="shared" si="286"/>
        <v>0.64030688471227426</v>
      </c>
      <c r="AN493" s="1">
        <f t="shared" si="286"/>
        <v>0.61914803154584741</v>
      </c>
      <c r="AO493" s="1">
        <f t="shared" si="286"/>
        <v>0.5993302105512317</v>
      </c>
    </row>
    <row r="494" spans="1:41">
      <c r="B494" s="1">
        <f t="shared" ref="B494:AO494" si="287">-1/B298*(1+B249/SQRT(B249^2+B298^2))</f>
        <v>-4.3665441292640033</v>
      </c>
      <c r="C494" s="1">
        <f t="shared" si="287"/>
        <v>-5.5912593199283975</v>
      </c>
      <c r="D494" s="1">
        <f t="shared" si="287"/>
        <v>-7.6719956299361529</v>
      </c>
      <c r="E494" s="1">
        <f t="shared" si="287"/>
        <v>-11.802998322165246</v>
      </c>
      <c r="F494" s="1">
        <f t="shared" si="287"/>
        <v>-22.51773943421831</v>
      </c>
      <c r="G494" s="1">
        <f t="shared" si="287"/>
        <v>-77.935764530357758</v>
      </c>
      <c r="H494" s="1">
        <f t="shared" si="287"/>
        <v>78.023770188500606</v>
      </c>
      <c r="I494" s="1">
        <f t="shared" si="287"/>
        <v>22.964143629124532</v>
      </c>
      <c r="J494" s="1">
        <f t="shared" si="287"/>
        <v>12.316816257512562</v>
      </c>
      <c r="K494" s="1">
        <f t="shared" si="287"/>
        <v>8.1363326270144523</v>
      </c>
      <c r="L494" s="1">
        <f t="shared" si="287"/>
        <v>5.9936482648819105</v>
      </c>
      <c r="M494" s="1">
        <f t="shared" si="287"/>
        <v>4.7154737529437529</v>
      </c>
      <c r="N494" s="1">
        <f t="shared" si="287"/>
        <v>3.874608066821088</v>
      </c>
      <c r="O494" s="1">
        <f t="shared" si="287"/>
        <v>3.2750890694473864</v>
      </c>
      <c r="P494" s="1">
        <f t="shared" si="287"/>
        <v>2.831491204708612</v>
      </c>
      <c r="Q494" s="1">
        <f t="shared" si="287"/>
        <v>2.4916683706106899</v>
      </c>
      <c r="R494" s="1">
        <f t="shared" si="287"/>
        <v>2.2234539408288385</v>
      </c>
      <c r="S494" s="1">
        <f t="shared" si="287"/>
        <v>2.0066133137249107</v>
      </c>
      <c r="T494" s="1">
        <f t="shared" si="287"/>
        <v>1.8278181124424639</v>
      </c>
      <c r="U494" s="1">
        <f t="shared" si="287"/>
        <v>1.6779497566769348</v>
      </c>
      <c r="V494" s="1">
        <f t="shared" si="287"/>
        <v>1.5505685815374799</v>
      </c>
      <c r="W494" s="1">
        <f t="shared" si="287"/>
        <v>1.4396778310427802</v>
      </c>
      <c r="X494" s="1">
        <f t="shared" si="287"/>
        <v>1.3434392277539238</v>
      </c>
      <c r="Y494" s="1">
        <f t="shared" si="287"/>
        <v>1.259150211715282</v>
      </c>
      <c r="Z494" s="1">
        <f t="shared" si="287"/>
        <v>1.1847304219446262</v>
      </c>
      <c r="AA494" s="1">
        <f t="shared" si="287"/>
        <v>1.1185532555438027</v>
      </c>
      <c r="AB494" s="1">
        <f t="shared" si="287"/>
        <v>1.05932911393729</v>
      </c>
      <c r="AC494" s="1">
        <f t="shared" si="287"/>
        <v>1.0060227963196542</v>
      </c>
      <c r="AD494" s="1">
        <f t="shared" si="287"/>
        <v>0.95761142155136225</v>
      </c>
      <c r="AE494" s="1">
        <f t="shared" si="287"/>
        <v>0.91279827837567273</v>
      </c>
      <c r="AF494" s="1">
        <f t="shared" si="287"/>
        <v>0.87195794655938386</v>
      </c>
      <c r="AG494" s="1">
        <f t="shared" si="287"/>
        <v>0.83458804142451193</v>
      </c>
      <c r="AH494" s="1">
        <f t="shared" si="287"/>
        <v>0.80026699113017696</v>
      </c>
      <c r="AI494" s="1">
        <f t="shared" si="287"/>
        <v>0.76863849147294572</v>
      </c>
      <c r="AJ494" s="1">
        <f t="shared" si="287"/>
        <v>0.73939940169776419</v>
      </c>
      <c r="AK494" s="1">
        <f t="shared" si="287"/>
        <v>0.71229022739989734</v>
      </c>
      <c r="AL494" s="1">
        <f t="shared" si="287"/>
        <v>0.68634807985334045</v>
      </c>
      <c r="AM494" s="1">
        <f t="shared" si="287"/>
        <v>0.66212322902000942</v>
      </c>
      <c r="AN494" s="1">
        <f t="shared" si="287"/>
        <v>0.63953337127245358</v>
      </c>
      <c r="AO494" s="1">
        <f t="shared" si="287"/>
        <v>0.61841972426115177</v>
      </c>
    </row>
    <row r="495" spans="1:41">
      <c r="B495" s="1">
        <f t="shared" ref="B495:AO495" si="288">-1/B299*(1+B250/SQRT(B250^2+B299^2))</f>
        <v>-3.6176015294286614</v>
      </c>
      <c r="C495" s="1">
        <f t="shared" si="288"/>
        <v>-4.4328865447421411</v>
      </c>
      <c r="D495" s="1">
        <f t="shared" si="288"/>
        <v>-5.6860184307252108</v>
      </c>
      <c r="E495" s="1">
        <f t="shared" si="288"/>
        <v>-7.8151737642249941</v>
      </c>
      <c r="F495" s="1">
        <f t="shared" si="288"/>
        <v>-12.030684099316682</v>
      </c>
      <c r="G495" s="1">
        <f t="shared" si="288"/>
        <v>-22.849185765829088</v>
      </c>
      <c r="H495" s="1">
        <f t="shared" si="288"/>
        <v>-78.100221918724813</v>
      </c>
      <c r="I495" s="1">
        <f t="shared" si="288"/>
        <v>78.178255970052959</v>
      </c>
      <c r="J495" s="1">
        <f t="shared" si="288"/>
        <v>23.158786065507012</v>
      </c>
      <c r="K495" s="1">
        <f t="shared" si="288"/>
        <v>12.445191241383846</v>
      </c>
      <c r="L495" s="1">
        <f t="shared" si="288"/>
        <v>8.2184826027674589</v>
      </c>
      <c r="M495" s="1">
        <f t="shared" si="288"/>
        <v>6.0489317052346161</v>
      </c>
      <c r="N495" s="1">
        <f t="shared" si="288"/>
        <v>4.7546999717164713</v>
      </c>
      <c r="O495" s="1">
        <f t="shared" si="288"/>
        <v>3.8940287448765027</v>
      </c>
      <c r="P495" s="1">
        <f t="shared" si="288"/>
        <v>3.2885181055433663</v>
      </c>
      <c r="Q495" s="1">
        <f t="shared" si="288"/>
        <v>2.8421277832346257</v>
      </c>
      <c r="R495" s="1">
        <f t="shared" si="288"/>
        <v>2.5002883853038278</v>
      </c>
      <c r="S495" s="1">
        <f t="shared" si="288"/>
        <v>2.2305741420949721</v>
      </c>
      <c r="T495" s="1">
        <f t="shared" si="288"/>
        <v>2.0125897662203571</v>
      </c>
      <c r="U495" s="1">
        <f t="shared" si="288"/>
        <v>1.832903494112885</v>
      </c>
      <c r="V495" s="1">
        <f t="shared" si="288"/>
        <v>1.6823280162427314</v>
      </c>
      <c r="W495" s="1">
        <f t="shared" si="288"/>
        <v>1.552868489480026</v>
      </c>
      <c r="X495" s="1">
        <f t="shared" si="288"/>
        <v>1.441696822309039</v>
      </c>
      <c r="Y495" s="1">
        <f t="shared" si="288"/>
        <v>1.345225469693577</v>
      </c>
      <c r="Z495" s="1">
        <f t="shared" si="288"/>
        <v>1.2607415219381275</v>
      </c>
      <c r="AA495" s="1">
        <f t="shared" si="288"/>
        <v>1.1861568905875768</v>
      </c>
      <c r="AB495" s="1">
        <f t="shared" si="288"/>
        <v>1.1198391130315082</v>
      </c>
      <c r="AC495" s="1">
        <f t="shared" si="288"/>
        <v>1.060494084607702</v>
      </c>
      <c r="AD495" s="1">
        <f t="shared" si="288"/>
        <v>1.0068834179615438</v>
      </c>
      <c r="AE495" s="1">
        <f t="shared" si="288"/>
        <v>0.95750415293595825</v>
      </c>
      <c r="AF495" s="1">
        <f t="shared" si="288"/>
        <v>0.91269983871230609</v>
      </c>
      <c r="AG495" s="1">
        <f t="shared" si="288"/>
        <v>0.87186729455116552</v>
      </c>
      <c r="AH495" s="1">
        <f t="shared" si="288"/>
        <v>0.83450429252644431</v>
      </c>
      <c r="AI495" s="1">
        <f t="shared" si="288"/>
        <v>0.80018938926143723</v>
      </c>
      <c r="AJ495" s="1">
        <f t="shared" si="288"/>
        <v>0.76856638661386034</v>
      </c>
      <c r="AK495" s="1">
        <f t="shared" si="288"/>
        <v>0.73933223199740461</v>
      </c>
      <c r="AL495" s="1">
        <f t="shared" si="288"/>
        <v>0.71143734302241013</v>
      </c>
      <c r="AM495" s="1">
        <f t="shared" si="288"/>
        <v>0.68545625380164465</v>
      </c>
      <c r="AN495" s="1">
        <f t="shared" si="288"/>
        <v>0.66128670512250931</v>
      </c>
      <c r="AO495" s="1">
        <f t="shared" si="288"/>
        <v>0.63874719200226449</v>
      </c>
    </row>
    <row r="496" spans="1:41">
      <c r="B496" s="1">
        <f t="shared" ref="B496:AO496" si="289">-1/B300*(1+B251/SQRT(B251^2+B300^2))</f>
        <v>-3.0856165984924648</v>
      </c>
      <c r="C496" s="1">
        <f t="shared" si="289"/>
        <v>-3.6658769869804706</v>
      </c>
      <c r="D496" s="1">
        <f t="shared" si="289"/>
        <v>-4.4984039698000426</v>
      </c>
      <c r="E496" s="1">
        <f t="shared" si="289"/>
        <v>-5.7789761884825701</v>
      </c>
      <c r="F496" s="1">
        <f t="shared" si="289"/>
        <v>-7.9539190356780809</v>
      </c>
      <c r="G496" s="1">
        <f t="shared" si="289"/>
        <v>-12.237453370084594</v>
      </c>
      <c r="H496" s="1">
        <f t="shared" si="289"/>
        <v>-23.05142740913578</v>
      </c>
      <c r="I496" s="1">
        <f t="shared" si="289"/>
        <v>-78.246189638182116</v>
      </c>
      <c r="J496" s="1">
        <f t="shared" si="289"/>
        <v>78.31567229827337</v>
      </c>
      <c r="K496" s="1">
        <f t="shared" si="289"/>
        <v>23.34059072631408</v>
      </c>
      <c r="L496" s="1">
        <f t="shared" si="289"/>
        <v>12.5687840789269</v>
      </c>
      <c r="M496" s="1">
        <f t="shared" si="289"/>
        <v>8.2987548846213404</v>
      </c>
      <c r="N496" s="1">
        <f t="shared" si="289"/>
        <v>6.1033718852067409</v>
      </c>
      <c r="O496" s="1">
        <f t="shared" si="289"/>
        <v>4.7806133570032205</v>
      </c>
      <c r="P496" s="1">
        <f t="shared" si="289"/>
        <v>3.9113773087795161</v>
      </c>
      <c r="Q496" s="1">
        <f t="shared" si="289"/>
        <v>3.3018972962126778</v>
      </c>
      <c r="R496" s="1">
        <f t="shared" si="289"/>
        <v>2.852733109091643</v>
      </c>
      <c r="S496" s="1">
        <f t="shared" si="289"/>
        <v>2.5088878563620254</v>
      </c>
      <c r="T496" s="1">
        <f t="shared" si="289"/>
        <v>2.2376803013494868</v>
      </c>
      <c r="U496" s="1">
        <f t="shared" si="289"/>
        <v>2.0185563015726293</v>
      </c>
      <c r="V496" s="1">
        <f t="shared" si="289"/>
        <v>1.837981674845401</v>
      </c>
      <c r="W496" s="1">
        <f t="shared" si="289"/>
        <v>1.6849691583695365</v>
      </c>
      <c r="X496" s="1">
        <f t="shared" si="289"/>
        <v>1.5551669274255995</v>
      </c>
      <c r="Y496" s="1">
        <f t="shared" si="289"/>
        <v>1.4437146868411794</v>
      </c>
      <c r="Z496" s="1">
        <f t="shared" si="289"/>
        <v>1.347010834315677</v>
      </c>
      <c r="AA496" s="1">
        <f t="shared" si="289"/>
        <v>1.262332139438098</v>
      </c>
      <c r="AB496" s="1">
        <f t="shared" si="289"/>
        <v>1.1875828053892568</v>
      </c>
      <c r="AC496" s="1">
        <f t="shared" si="289"/>
        <v>1.1211245227175668</v>
      </c>
      <c r="AD496" s="1">
        <f t="shared" si="289"/>
        <v>1.0614393723638862</v>
      </c>
      <c r="AE496" s="1">
        <f t="shared" si="289"/>
        <v>1.0067660826197324</v>
      </c>
      <c r="AF496" s="1">
        <f t="shared" si="289"/>
        <v>0.95739688130477119</v>
      </c>
      <c r="AG496" s="1">
        <f t="shared" si="289"/>
        <v>0.91260139656199257</v>
      </c>
      <c r="AH496" s="1">
        <f t="shared" si="289"/>
        <v>0.87177664047858883</v>
      </c>
      <c r="AI496" s="1">
        <f t="shared" si="289"/>
        <v>0.83442054190447301</v>
      </c>
      <c r="AJ496" s="1">
        <f t="shared" si="289"/>
        <v>0.8001117859451502</v>
      </c>
      <c r="AK496" s="1">
        <f t="shared" si="289"/>
        <v>0.7684942805331193</v>
      </c>
      <c r="AL496" s="1">
        <f t="shared" si="289"/>
        <v>0.73841885587409029</v>
      </c>
      <c r="AM496" s="1">
        <f t="shared" si="289"/>
        <v>0.7104843911202372</v>
      </c>
      <c r="AN496" s="1">
        <f t="shared" si="289"/>
        <v>0.68456426246927493</v>
      </c>
      <c r="AO496" s="1">
        <f t="shared" si="289"/>
        <v>0.66045004366085802</v>
      </c>
    </row>
    <row r="497" spans="2:41">
      <c r="B497" s="1">
        <f t="shared" ref="B497:AO497" si="290">-1/B301*(1+B252/SQRT(B252^2+B301^2))</f>
        <v>-2.6888395790217801</v>
      </c>
      <c r="C497" s="1">
        <f t="shared" si="290"/>
        <v>-3.1222610505038135</v>
      </c>
      <c r="D497" s="1">
        <f t="shared" si="290"/>
        <v>-3.7137051822875402</v>
      </c>
      <c r="E497" s="1">
        <f t="shared" si="290"/>
        <v>-4.5630438823410326</v>
      </c>
      <c r="F497" s="1">
        <f t="shared" si="290"/>
        <v>-5.8700482615111165</v>
      </c>
      <c r="G497" s="1">
        <f t="shared" si="290"/>
        <v>-8.0827735506459035</v>
      </c>
      <c r="H497" s="1">
        <f t="shared" si="290"/>
        <v>-12.368746823087001</v>
      </c>
      <c r="I497" s="1">
        <f t="shared" si="290"/>
        <v>-23.240307534541657</v>
      </c>
      <c r="J497" s="1">
        <f t="shared" si="290"/>
        <v>-78.376282637547021</v>
      </c>
      <c r="K497" s="1">
        <f t="shared" si="290"/>
        <v>78.438395258873228</v>
      </c>
      <c r="L497" s="1">
        <f t="shared" si="290"/>
        <v>23.510454505753856</v>
      </c>
      <c r="M497" s="1">
        <f t="shared" si="290"/>
        <v>12.687706096000531</v>
      </c>
      <c r="N497" s="1">
        <f t="shared" si="290"/>
        <v>8.3771488005606791</v>
      </c>
      <c r="O497" s="1">
        <f t="shared" si="290"/>
        <v>6.1391901085208449</v>
      </c>
      <c r="P497" s="1">
        <f t="shared" si="290"/>
        <v>4.8037170569863523</v>
      </c>
      <c r="Q497" s="1">
        <f t="shared" si="290"/>
        <v>3.9286403963569239</v>
      </c>
      <c r="R497" s="1">
        <f t="shared" si="290"/>
        <v>3.3152258234001648</v>
      </c>
      <c r="S497" s="1">
        <f t="shared" si="290"/>
        <v>2.8633066310539843</v>
      </c>
      <c r="T497" s="1">
        <f t="shared" si="290"/>
        <v>2.5174664039339025</v>
      </c>
      <c r="U497" s="1">
        <f t="shared" si="290"/>
        <v>2.2447721504418681</v>
      </c>
      <c r="V497" s="1">
        <f t="shared" si="290"/>
        <v>2.024512726054025</v>
      </c>
      <c r="W497" s="1">
        <f t="shared" si="290"/>
        <v>1.8410444898303902</v>
      </c>
      <c r="X497" s="1">
        <f t="shared" si="290"/>
        <v>1.6876083244514648</v>
      </c>
      <c r="Y497" s="1">
        <f t="shared" si="290"/>
        <v>1.5574638771844187</v>
      </c>
      <c r="Z497" s="1">
        <f t="shared" si="290"/>
        <v>1.4457314104745622</v>
      </c>
      <c r="AA497" s="1">
        <f t="shared" si="290"/>
        <v>1.3487953104385586</v>
      </c>
      <c r="AB497" s="1">
        <f t="shared" si="290"/>
        <v>1.2639220552784469</v>
      </c>
      <c r="AC497" s="1">
        <f t="shared" si="290"/>
        <v>1.1890081591263866</v>
      </c>
      <c r="AD497" s="1">
        <f t="shared" si="290"/>
        <v>1.1221675010158179</v>
      </c>
      <c r="AE497" s="1">
        <f t="shared" si="290"/>
        <v>1.0613104953447283</v>
      </c>
      <c r="AF497" s="1">
        <f t="shared" si="290"/>
        <v>1.0066487435999283</v>
      </c>
      <c r="AG497" s="1">
        <f t="shared" si="290"/>
        <v>0.95728960666240259</v>
      </c>
      <c r="AH497" s="1">
        <f t="shared" si="290"/>
        <v>0.91250295192862019</v>
      </c>
      <c r="AI497" s="1">
        <f t="shared" si="290"/>
        <v>0.87168598434496081</v>
      </c>
      <c r="AJ497" s="1">
        <f t="shared" si="290"/>
        <v>0.83433678956142721</v>
      </c>
      <c r="AK497" s="1">
        <f t="shared" si="290"/>
        <v>0.80003418118374969</v>
      </c>
      <c r="AL497" s="1">
        <f t="shared" si="290"/>
        <v>0.76751376870360566</v>
      </c>
      <c r="AM497" s="1">
        <f t="shared" si="290"/>
        <v>0.73739829562336989</v>
      </c>
      <c r="AN497" s="1">
        <f t="shared" si="290"/>
        <v>0.70953124599317374</v>
      </c>
      <c r="AO497" s="1">
        <f t="shared" si="290"/>
        <v>0.68367211077804546</v>
      </c>
    </row>
    <row r="498" spans="2:41">
      <c r="B498" s="1">
        <f t="shared" ref="B498:AO498" si="291">-1/B302*(1+B253/SQRT(B253^2+B302^2))</f>
        <v>-2.3818188273423213</v>
      </c>
      <c r="C498" s="1">
        <f t="shared" si="291"/>
        <v>-2.7175773582600966</v>
      </c>
      <c r="D498" s="1">
        <f t="shared" si="291"/>
        <v>-3.1586415757207273</v>
      </c>
      <c r="E498" s="1">
        <f t="shared" si="291"/>
        <v>-3.7610559873006135</v>
      </c>
      <c r="F498" s="1">
        <f t="shared" si="291"/>
        <v>-4.6267578684177391</v>
      </c>
      <c r="G498" s="1">
        <f t="shared" si="291"/>
        <v>-5.9555801343663086</v>
      </c>
      <c r="H498" s="1">
        <f t="shared" si="291"/>
        <v>-8.1661226900119726</v>
      </c>
      <c r="I498" s="1">
        <f t="shared" si="291"/>
        <v>-12.495196211870208</v>
      </c>
      <c r="J498" s="1">
        <f t="shared" si="291"/>
        <v>-23.416750691374016</v>
      </c>
      <c r="K498" s="1">
        <f t="shared" si="291"/>
        <v>-78.492678835860445</v>
      </c>
      <c r="L498" s="1">
        <f t="shared" si="291"/>
        <v>78.548409509349057</v>
      </c>
      <c r="M498" s="1">
        <f t="shared" si="291"/>
        <v>23.669223290538689</v>
      </c>
      <c r="N498" s="1">
        <f t="shared" si="291"/>
        <v>12.802077114999529</v>
      </c>
      <c r="O498" s="1">
        <f t="shared" si="291"/>
        <v>8.4283675761083146</v>
      </c>
      <c r="P498" s="1">
        <f t="shared" si="291"/>
        <v>6.1710251453236973</v>
      </c>
      <c r="Q498" s="1">
        <f t="shared" si="291"/>
        <v>4.8266642157450868</v>
      </c>
      <c r="R498" s="1">
        <f t="shared" si="291"/>
        <v>3.9458168173569463</v>
      </c>
      <c r="S498" s="1">
        <f t="shared" si="291"/>
        <v>3.3285028876324532</v>
      </c>
      <c r="T498" s="1">
        <f t="shared" si="291"/>
        <v>2.873847807376996</v>
      </c>
      <c r="U498" s="1">
        <f t="shared" si="291"/>
        <v>2.5260236533151526</v>
      </c>
      <c r="V498" s="1">
        <f t="shared" si="291"/>
        <v>2.2518494241677951</v>
      </c>
      <c r="W498" s="1">
        <f t="shared" si="291"/>
        <v>2.0281044219997395</v>
      </c>
      <c r="X498" s="1">
        <f t="shared" si="291"/>
        <v>1.8441045958355919</v>
      </c>
      <c r="Y498" s="1">
        <f t="shared" si="291"/>
        <v>1.6902454908691251</v>
      </c>
      <c r="Z498" s="1">
        <f t="shared" si="291"/>
        <v>1.5597593206282896</v>
      </c>
      <c r="AA498" s="1">
        <f t="shared" si="291"/>
        <v>1.4477469790861637</v>
      </c>
      <c r="AB498" s="1">
        <f t="shared" si="291"/>
        <v>1.3505788869093303</v>
      </c>
      <c r="AC498" s="1">
        <f t="shared" si="291"/>
        <v>1.2655112605427277</v>
      </c>
      <c r="AD498" s="1">
        <f t="shared" si="291"/>
        <v>1.1901646397981174</v>
      </c>
      <c r="AE498" s="1">
        <f t="shared" si="291"/>
        <v>1.1220253071866519</v>
      </c>
      <c r="AF498" s="1">
        <f t="shared" si="291"/>
        <v>1.0611816138040553</v>
      </c>
      <c r="AG498" s="1">
        <f t="shared" si="291"/>
        <v>1.0065314009076163</v>
      </c>
      <c r="AH498" s="1">
        <f t="shared" si="291"/>
        <v>0.95718232901345535</v>
      </c>
      <c r="AI498" s="1">
        <f t="shared" si="291"/>
        <v>0.91240450481607771</v>
      </c>
      <c r="AJ498" s="1">
        <f t="shared" si="291"/>
        <v>0.87159532615358859</v>
      </c>
      <c r="AK498" s="1">
        <f t="shared" si="291"/>
        <v>0.83425303550013696</v>
      </c>
      <c r="AL498" s="1">
        <f t="shared" si="291"/>
        <v>0.79897888443459963</v>
      </c>
      <c r="AM498" s="1">
        <f t="shared" si="291"/>
        <v>0.7664181713277719</v>
      </c>
      <c r="AN498" s="1">
        <f t="shared" si="291"/>
        <v>0.73637750857854356</v>
      </c>
      <c r="AO498" s="1">
        <f t="shared" si="291"/>
        <v>0.70857791325487507</v>
      </c>
    </row>
    <row r="499" spans="2:41">
      <c r="B499" s="1">
        <f t="shared" ref="B499:AO499" si="292">-1/B303*(1+B254/SQRT(B254^2+B303^2))</f>
        <v>-2.137338366933943</v>
      </c>
      <c r="C499" s="1">
        <f t="shared" si="292"/>
        <v>-2.4049462503351355</v>
      </c>
      <c r="D499" s="1">
        <f t="shared" si="292"/>
        <v>-2.7461489162314687</v>
      </c>
      <c r="E499" s="1">
        <f t="shared" si="292"/>
        <v>-3.194739936939039</v>
      </c>
      <c r="F499" s="1">
        <f t="shared" si="292"/>
        <v>-3.8079009555234773</v>
      </c>
      <c r="G499" s="1">
        <f t="shared" si="292"/>
        <v>-4.6869718302610295</v>
      </c>
      <c r="H499" s="1">
        <f t="shared" si="292"/>
        <v>-6.011429990101135</v>
      </c>
      <c r="I499" s="1">
        <f t="shared" si="292"/>
        <v>-8.2475970694082239</v>
      </c>
      <c r="J499" s="1">
        <f t="shared" si="292"/>
        <v>-12.61690684461054</v>
      </c>
      <c r="K499" s="1">
        <f t="shared" si="292"/>
        <v>-23.581631520988047</v>
      </c>
      <c r="L499" s="1">
        <f t="shared" si="292"/>
        <v>-78.59720208841479</v>
      </c>
      <c r="M499" s="1">
        <f t="shared" si="292"/>
        <v>78.647381633136078</v>
      </c>
      <c r="N499" s="1">
        <f t="shared" si="292"/>
        <v>23.817691120879285</v>
      </c>
      <c r="O499" s="1">
        <f t="shared" si="292"/>
        <v>12.875855514588178</v>
      </c>
      <c r="P499" s="1">
        <f t="shared" si="292"/>
        <v>8.4736480745937968</v>
      </c>
      <c r="Q499" s="1">
        <f t="shared" si="292"/>
        <v>6.2025502418330589</v>
      </c>
      <c r="R499" s="1">
        <f t="shared" si="292"/>
        <v>4.8494532088357456</v>
      </c>
      <c r="S499" s="1">
        <f t="shared" si="292"/>
        <v>3.9629054207400785</v>
      </c>
      <c r="T499" s="1">
        <f t="shared" si="292"/>
        <v>3.3417277081412138</v>
      </c>
      <c r="U499" s="1">
        <f t="shared" si="292"/>
        <v>2.8843561058906722</v>
      </c>
      <c r="V499" s="1">
        <f t="shared" si="292"/>
        <v>2.5345592350110504</v>
      </c>
      <c r="W499" s="1">
        <f t="shared" si="292"/>
        <v>2.2561157320352563</v>
      </c>
      <c r="X499" s="1">
        <f t="shared" si="292"/>
        <v>2.0316923194296468</v>
      </c>
      <c r="Y499" s="1">
        <f t="shared" si="292"/>
        <v>1.8471619617247865</v>
      </c>
      <c r="Z499" s="1">
        <f t="shared" si="292"/>
        <v>1.6928806340975746</v>
      </c>
      <c r="AA499" s="1">
        <f t="shared" si="292"/>
        <v>1.5620532396912543</v>
      </c>
      <c r="AB499" s="1">
        <f t="shared" si="292"/>
        <v>1.4497613785950396</v>
      </c>
      <c r="AC499" s="1">
        <f t="shared" si="292"/>
        <v>1.3523615526042012</v>
      </c>
      <c r="AD499" s="1">
        <f t="shared" si="292"/>
        <v>1.2668006213444489</v>
      </c>
      <c r="AE499" s="1">
        <f t="shared" si="292"/>
        <v>1.1900069742320853</v>
      </c>
      <c r="AF499" s="1">
        <f t="shared" si="292"/>
        <v>1.1218831077500069</v>
      </c>
      <c r="AG499" s="1">
        <f t="shared" si="292"/>
        <v>1.0610527277484565</v>
      </c>
      <c r="AH499" s="1">
        <f t="shared" si="292"/>
        <v>1.006414054548284</v>
      </c>
      <c r="AI499" s="1">
        <f t="shared" si="292"/>
        <v>0.95707504836253299</v>
      </c>
      <c r="AJ499" s="1">
        <f t="shared" si="292"/>
        <v>0.91230605522825525</v>
      </c>
      <c r="AK499" s="1">
        <f t="shared" si="292"/>
        <v>0.87150466590778009</v>
      </c>
      <c r="AL499" s="1">
        <f t="shared" si="292"/>
        <v>0.8331141027797101</v>
      </c>
      <c r="AM499" s="1">
        <f t="shared" si="292"/>
        <v>0.79779969649168891</v>
      </c>
      <c r="AN499" s="1">
        <f t="shared" si="292"/>
        <v>0.76532230660476852</v>
      </c>
      <c r="AO499" s="1">
        <f t="shared" si="292"/>
        <v>0.7353565011703026</v>
      </c>
    </row>
    <row r="500" spans="2:41">
      <c r="B500" s="1">
        <f t="shared" ref="B500:AO500" si="293">-1/B304*(1+B255/SQRT(B255^2+B304^2))</f>
        <v>-1.9381352416190307</v>
      </c>
      <c r="C500" s="1">
        <f t="shared" si="293"/>
        <v>-2.15634503809253</v>
      </c>
      <c r="D500" s="1">
        <f t="shared" si="293"/>
        <v>-2.42796346157369</v>
      </c>
      <c r="E500" s="1">
        <f t="shared" si="293"/>
        <v>-2.7745426616942632</v>
      </c>
      <c r="F500" s="1">
        <f t="shared" si="293"/>
        <v>-3.2305386676661412</v>
      </c>
      <c r="G500" s="1">
        <f t="shared" si="293"/>
        <v>-3.8523423886137511</v>
      </c>
      <c r="H500" s="1">
        <f t="shared" si="293"/>
        <v>-4.7264995756916273</v>
      </c>
      <c r="I500" s="1">
        <f t="shared" si="293"/>
        <v>-6.0664448559073341</v>
      </c>
      <c r="J500" s="1">
        <f t="shared" si="293"/>
        <v>-8.3271929756757999</v>
      </c>
      <c r="K500" s="1">
        <f t="shared" si="293"/>
        <v>-12.733993669443644</v>
      </c>
      <c r="L500" s="1">
        <f t="shared" si="293"/>
        <v>-23.735773125931864</v>
      </c>
      <c r="M500" s="1">
        <f t="shared" si="293"/>
        <v>-78.691387750515943</v>
      </c>
      <c r="N500" s="1">
        <f t="shared" si="293"/>
        <v>78.736718281481544</v>
      </c>
      <c r="O500" s="1">
        <f t="shared" si="293"/>
        <v>23.911312059914941</v>
      </c>
      <c r="P500" s="1">
        <f t="shared" si="293"/>
        <v>12.940456581941248</v>
      </c>
      <c r="Q500" s="1">
        <f t="shared" si="293"/>
        <v>8.5182607322073221</v>
      </c>
      <c r="R500" s="1">
        <f t="shared" si="293"/>
        <v>6.2337638592298177</v>
      </c>
      <c r="S500" s="1">
        <f t="shared" si="293"/>
        <v>4.8720825000782417</v>
      </c>
      <c r="T500" s="1">
        <f t="shared" si="293"/>
        <v>3.979905094714415</v>
      </c>
      <c r="U500" s="1">
        <f t="shared" si="293"/>
        <v>3.3548995229721617</v>
      </c>
      <c r="V500" s="1">
        <f t="shared" si="293"/>
        <v>2.8948310040871412</v>
      </c>
      <c r="W500" s="1">
        <f t="shared" si="293"/>
        <v>2.539702636937061</v>
      </c>
      <c r="X500" s="1">
        <f t="shared" si="293"/>
        <v>2.2603765726905829</v>
      </c>
      <c r="Y500" s="1">
        <f t="shared" si="293"/>
        <v>2.0352763766359319</v>
      </c>
      <c r="Z500" s="1">
        <f t="shared" si="293"/>
        <v>1.8502165565106623</v>
      </c>
      <c r="AA500" s="1">
        <f t="shared" si="293"/>
        <v>1.6955137307072532</v>
      </c>
      <c r="AB500" s="1">
        <f t="shared" si="293"/>
        <v>1.5643456163702474</v>
      </c>
      <c r="AC500" s="1">
        <f t="shared" si="293"/>
        <v>1.4517745949627814</v>
      </c>
      <c r="AD500" s="1">
        <f t="shared" si="293"/>
        <v>1.3538077881861361</v>
      </c>
      <c r="AE500" s="1">
        <f t="shared" si="293"/>
        <v>1.2666248432854996</v>
      </c>
      <c r="AF500" s="1">
        <f t="shared" si="293"/>
        <v>1.1898493016440612</v>
      </c>
      <c r="AG500" s="1">
        <f t="shared" si="293"/>
        <v>1.1217409027138603</v>
      </c>
      <c r="AH500" s="1">
        <f t="shared" si="293"/>
        <v>1.0609238371845211</v>
      </c>
      <c r="AI500" s="1">
        <f t="shared" si="293"/>
        <v>1.0062967045274178</v>
      </c>
      <c r="AJ500" s="1">
        <f t="shared" si="293"/>
        <v>0.95696776471423928</v>
      </c>
      <c r="AK500" s="1">
        <f t="shared" si="293"/>
        <v>0.91220760316904193</v>
      </c>
      <c r="AL500" s="1">
        <f t="shared" si="293"/>
        <v>0.87027180000513005</v>
      </c>
      <c r="AM500" s="1">
        <f t="shared" si="293"/>
        <v>0.8318414260526189</v>
      </c>
      <c r="AN500" s="1">
        <f t="shared" si="293"/>
        <v>0.79662019191590816</v>
      </c>
      <c r="AO500" s="1">
        <f t="shared" si="293"/>
        <v>0.76422618193552516</v>
      </c>
    </row>
    <row r="501" spans="2:41">
      <c r="B501" s="1">
        <f t="shared" ref="B501:AO501" si="294">-1/B305*(1+B256/SQRT(B256^2+B305^2))</f>
        <v>-1.7716013413714831</v>
      </c>
      <c r="C501" s="1">
        <f t="shared" si="294"/>
        <v>-1.9526857623223992</v>
      </c>
      <c r="D501" s="1">
        <f t="shared" si="294"/>
        <v>-2.1736770360026449</v>
      </c>
      <c r="E501" s="1">
        <f t="shared" si="294"/>
        <v>-2.4489301771197423</v>
      </c>
      <c r="F501" s="1">
        <f t="shared" si="294"/>
        <v>-2.8003687727488518</v>
      </c>
      <c r="G501" s="1">
        <f t="shared" si="294"/>
        <v>-3.2615953907537181</v>
      </c>
      <c r="H501" s="1">
        <f t="shared" si="294"/>
        <v>-3.8777432790171908</v>
      </c>
      <c r="I501" s="1">
        <f t="shared" si="294"/>
        <v>-4.7604452954856216</v>
      </c>
      <c r="J501" s="1">
        <f t="shared" si="294"/>
        <v>-6.1134782035700717</v>
      </c>
      <c r="K501" s="1">
        <f t="shared" si="294"/>
        <v>-8.3947122404415371</v>
      </c>
      <c r="L501" s="1">
        <f t="shared" si="294"/>
        <v>-12.83190265133709</v>
      </c>
      <c r="M501" s="1">
        <f t="shared" si="294"/>
        <v>-23.861373543584882</v>
      </c>
      <c r="N501" s="1">
        <f t="shared" si="294"/>
        <v>-78.76572118764058</v>
      </c>
      <c r="O501" s="1">
        <f t="shared" si="294"/>
        <v>78.780899488126195</v>
      </c>
      <c r="P501" s="1">
        <f t="shared" si="294"/>
        <v>23.974337982830388</v>
      </c>
      <c r="Q501" s="1">
        <f t="shared" si="294"/>
        <v>12.989687181502594</v>
      </c>
      <c r="R501" s="1">
        <f t="shared" si="294"/>
        <v>8.5525282870968571</v>
      </c>
      <c r="S501" s="1">
        <f t="shared" si="294"/>
        <v>6.2578452616577849</v>
      </c>
      <c r="T501" s="1">
        <f t="shared" si="294"/>
        <v>4.8895865252106683</v>
      </c>
      <c r="U501" s="1">
        <f t="shared" si="294"/>
        <v>3.9930760427997045</v>
      </c>
      <c r="V501" s="1">
        <f t="shared" si="294"/>
        <v>3.3651157980306783</v>
      </c>
      <c r="W501" s="1">
        <f t="shared" si="294"/>
        <v>2.8988262998966148</v>
      </c>
      <c r="X501" s="1">
        <f t="shared" si="294"/>
        <v>2.5429545967699201</v>
      </c>
      <c r="Y501" s="1">
        <f t="shared" si="294"/>
        <v>2.2630711435243316</v>
      </c>
      <c r="Z501" s="1">
        <f t="shared" si="294"/>
        <v>2.0375433422012699</v>
      </c>
      <c r="AA501" s="1">
        <f t="shared" si="294"/>
        <v>1.852148891247174</v>
      </c>
      <c r="AB501" s="1">
        <f t="shared" si="294"/>
        <v>1.6971796042817195</v>
      </c>
      <c r="AC501" s="1">
        <f t="shared" si="294"/>
        <v>1.5657960524898438</v>
      </c>
      <c r="AD501" s="1">
        <f t="shared" si="294"/>
        <v>1.4526695484559762</v>
      </c>
      <c r="AE501" s="1">
        <f t="shared" si="294"/>
        <v>1.3529568636562059</v>
      </c>
      <c r="AF501" s="1">
        <f t="shared" si="294"/>
        <v>1.2658661730141043</v>
      </c>
      <c r="AG501" s="1">
        <f t="shared" si="294"/>
        <v>1.1891687868425831</v>
      </c>
      <c r="AH501" s="1">
        <f t="shared" si="294"/>
        <v>1.1211271542524579</v>
      </c>
      <c r="AI501" s="1">
        <f t="shared" si="294"/>
        <v>1.0603675596781441</v>
      </c>
      <c r="AJ501" s="1">
        <f t="shared" si="294"/>
        <v>1.0057902398065697</v>
      </c>
      <c r="AK501" s="1">
        <f t="shared" si="294"/>
        <v>0.95650474892118464</v>
      </c>
      <c r="AL501" s="1">
        <f t="shared" si="294"/>
        <v>0.91054221044316985</v>
      </c>
      <c r="AM501" s="1">
        <f t="shared" si="294"/>
        <v>0.86859332940257261</v>
      </c>
      <c r="AN501" s="1">
        <f t="shared" si="294"/>
        <v>0.83029043405532699</v>
      </c>
      <c r="AO501" s="1">
        <f t="shared" si="294"/>
        <v>0.79518280309940126</v>
      </c>
    </row>
    <row r="502" spans="2:41">
      <c r="B502" s="1">
        <f t="shared" ref="B502:AO502" si="295">-1/B306*(1+B257/SQRT(B257^2+B306^2))</f>
        <v>-1.6281409998463579</v>
      </c>
      <c r="C502" s="1">
        <f t="shared" si="295"/>
        <v>-1.7802872438230517</v>
      </c>
      <c r="D502" s="1">
        <f t="shared" si="295"/>
        <v>-1.9628900919477037</v>
      </c>
      <c r="E502" s="1">
        <f t="shared" si="295"/>
        <v>-2.185823782592708</v>
      </c>
      <c r="F502" s="1">
        <f t="shared" si="295"/>
        <v>-2.4636108632127192</v>
      </c>
      <c r="G502" s="1">
        <f t="shared" si="295"/>
        <v>-2.81729177036196</v>
      </c>
      <c r="H502" s="1">
        <f t="shared" si="295"/>
        <v>-3.2715400115927413</v>
      </c>
      <c r="I502" s="1">
        <f t="shared" si="295"/>
        <v>-3.8906037939334013</v>
      </c>
      <c r="J502" s="1">
        <f t="shared" si="295"/>
        <v>-4.7775980195545786</v>
      </c>
      <c r="K502" s="1">
        <f t="shared" si="295"/>
        <v>-6.137167985244524</v>
      </c>
      <c r="L502" s="1">
        <f t="shared" si="295"/>
        <v>-8.4285333056360212</v>
      </c>
      <c r="M502" s="1">
        <f t="shared" si="295"/>
        <v>-12.880457837274326</v>
      </c>
      <c r="N502" s="1">
        <f t="shared" si="295"/>
        <v>-23.922568694968813</v>
      </c>
      <c r="O502" s="1">
        <f t="shared" si="295"/>
        <v>-78.774544037904391</v>
      </c>
      <c r="P502" s="1">
        <f t="shared" si="295"/>
        <v>78.784116685907705</v>
      </c>
      <c r="Q502" s="1">
        <f t="shared" si="295"/>
        <v>23.97965901267132</v>
      </c>
      <c r="R502" s="1">
        <f t="shared" si="295"/>
        <v>12.99387099027849</v>
      </c>
      <c r="S502" s="1">
        <f t="shared" si="295"/>
        <v>8.5554514124331753</v>
      </c>
      <c r="T502" s="1">
        <f t="shared" si="295"/>
        <v>6.2599037974519938</v>
      </c>
      <c r="U502" s="1">
        <f t="shared" si="295"/>
        <v>4.8910846734931468</v>
      </c>
      <c r="V502" s="1">
        <f t="shared" si="295"/>
        <v>3.9942042110814131</v>
      </c>
      <c r="W502" s="1">
        <f t="shared" si="295"/>
        <v>3.3607975110421453</v>
      </c>
      <c r="X502" s="1">
        <f t="shared" si="295"/>
        <v>2.8953844859444331</v>
      </c>
      <c r="Y502" s="1">
        <f t="shared" si="295"/>
        <v>2.5401530952073634</v>
      </c>
      <c r="Z502" s="1">
        <f t="shared" si="295"/>
        <v>2.2607497932992278</v>
      </c>
      <c r="AA502" s="1">
        <f t="shared" si="295"/>
        <v>2.0355903519970493</v>
      </c>
      <c r="AB502" s="1">
        <f t="shared" si="295"/>
        <v>1.8504841732693007</v>
      </c>
      <c r="AC502" s="1">
        <f t="shared" si="295"/>
        <v>1.6957444359146558</v>
      </c>
      <c r="AD502" s="1">
        <f t="shared" si="295"/>
        <v>1.5641148711142103</v>
      </c>
      <c r="AE502" s="1">
        <f t="shared" si="295"/>
        <v>1.4493357154986262</v>
      </c>
      <c r="AF502" s="1">
        <f t="shared" si="295"/>
        <v>1.3500046216886767</v>
      </c>
      <c r="AG502" s="1">
        <f t="shared" si="295"/>
        <v>1.2632341854311904</v>
      </c>
      <c r="AH502" s="1">
        <f t="shared" si="295"/>
        <v>1.1868080744744185</v>
      </c>
      <c r="AI502" s="1">
        <f t="shared" si="295"/>
        <v>1.1189981597334695</v>
      </c>
      <c r="AJ502" s="1">
        <f t="shared" si="295"/>
        <v>1.0584380035852814</v>
      </c>
      <c r="AK502" s="1">
        <f t="shared" si="295"/>
        <v>1.0040335322526841</v>
      </c>
      <c r="AL502" s="1">
        <f t="shared" si="295"/>
        <v>0.95354643268627481</v>
      </c>
      <c r="AM502" s="1">
        <f t="shared" si="295"/>
        <v>0.90766980587630464</v>
      </c>
      <c r="AN502" s="1">
        <f t="shared" si="295"/>
        <v>0.86594760725743103</v>
      </c>
      <c r="AO502" s="1">
        <f t="shared" si="295"/>
        <v>0.82784580189617196</v>
      </c>
    </row>
    <row r="503" spans="2:41">
      <c r="B503" s="1">
        <f t="shared" ref="B503:AO503" si="296">-1/B307*(1+B258/SQRT(B258^2+B307^2))</f>
        <v>-1.5062673207209465</v>
      </c>
      <c r="C503" s="1">
        <f t="shared" si="296"/>
        <v>-1.6358966821897756</v>
      </c>
      <c r="D503" s="1">
        <f t="shared" si="296"/>
        <v>-1.7892921779255957</v>
      </c>
      <c r="E503" s="1">
        <f t="shared" si="296"/>
        <v>-1.9734644439259579</v>
      </c>
      <c r="F503" s="1">
        <f t="shared" si="296"/>
        <v>-2.198403526012823</v>
      </c>
      <c r="G503" s="1">
        <f t="shared" si="296"/>
        <v>-2.4778812586015255</v>
      </c>
      <c r="H503" s="1">
        <f t="shared" si="296"/>
        <v>-2.825864972044593</v>
      </c>
      <c r="I503" s="1">
        <f t="shared" si="296"/>
        <v>-3.2823340218859198</v>
      </c>
      <c r="J503" s="1">
        <f t="shared" si="296"/>
        <v>-3.9045498218294661</v>
      </c>
      <c r="K503" s="1">
        <f t="shared" si="296"/>
        <v>-4.7961722343756881</v>
      </c>
      <c r="L503" s="1">
        <f t="shared" si="296"/>
        <v>-6.1627625560453181</v>
      </c>
      <c r="M503" s="1">
        <f t="shared" si="296"/>
        <v>-8.4649315755601862</v>
      </c>
      <c r="N503" s="1">
        <f t="shared" si="296"/>
        <v>-12.932348488269923</v>
      </c>
      <c r="O503" s="1">
        <f t="shared" si="296"/>
        <v>-23.942569438564089</v>
      </c>
      <c r="P503" s="1">
        <f t="shared" si="296"/>
        <v>-78.780938110674626</v>
      </c>
      <c r="Q503" s="1">
        <f t="shared" si="296"/>
        <v>78.79043722407549</v>
      </c>
      <c r="R503" s="1">
        <f t="shared" si="296"/>
        <v>23.990132441950291</v>
      </c>
      <c r="S503" s="1">
        <f t="shared" si="296"/>
        <v>13.002118647224449</v>
      </c>
      <c r="T503" s="1">
        <f t="shared" si="296"/>
        <v>8.5612189115771127</v>
      </c>
      <c r="U503" s="1">
        <f t="shared" si="296"/>
        <v>6.2639674176138991</v>
      </c>
      <c r="V503" s="1">
        <f t="shared" si="296"/>
        <v>4.8940429368070939</v>
      </c>
      <c r="W503" s="1">
        <f t="shared" si="296"/>
        <v>3.9897432436404081</v>
      </c>
      <c r="X503" s="1">
        <f t="shared" si="296"/>
        <v>3.3573302428065466</v>
      </c>
      <c r="Y503" s="1">
        <f t="shared" si="296"/>
        <v>2.8926216794339821</v>
      </c>
      <c r="Z503" s="1">
        <f t="shared" si="296"/>
        <v>2.5379046990478145</v>
      </c>
      <c r="AA503" s="1">
        <f t="shared" si="296"/>
        <v>2.2588870090920365</v>
      </c>
      <c r="AB503" s="1">
        <f t="shared" si="296"/>
        <v>2.0340233256982794</v>
      </c>
      <c r="AC503" s="1">
        <f t="shared" si="296"/>
        <v>1.8491485578244651</v>
      </c>
      <c r="AD503" s="1">
        <f t="shared" si="296"/>
        <v>1.6940971600859036</v>
      </c>
      <c r="AE503" s="1">
        <f t="shared" si="296"/>
        <v>1.560565224559886</v>
      </c>
      <c r="AF503" s="1">
        <f t="shared" si="296"/>
        <v>1.4462164123546772</v>
      </c>
      <c r="AG503" s="1">
        <f t="shared" si="296"/>
        <v>1.3472426965375182</v>
      </c>
      <c r="AH503" s="1">
        <f t="shared" si="296"/>
        <v>1.2607721226287729</v>
      </c>
      <c r="AI503" s="1">
        <f t="shared" si="296"/>
        <v>1.1845999633695092</v>
      </c>
      <c r="AJ503" s="1">
        <f t="shared" si="296"/>
        <v>1.1170069329446022</v>
      </c>
      <c r="AK503" s="1">
        <f t="shared" si="296"/>
        <v>1.0566334216469653</v>
      </c>
      <c r="AL503" s="1">
        <f t="shared" si="296"/>
        <v>1.0009106991004406</v>
      </c>
      <c r="AM503" s="1">
        <f t="shared" si="296"/>
        <v>0.95051974271819439</v>
      </c>
      <c r="AN503" s="1">
        <f t="shared" si="296"/>
        <v>0.90489172412546937</v>
      </c>
      <c r="AO503" s="1">
        <f t="shared" si="296"/>
        <v>0.863388973824884</v>
      </c>
    </row>
    <row r="504" spans="2:41">
      <c r="B504" s="1">
        <f t="shared" ref="B504:AO504" si="297">-1/B308*(1+B259/SQRT(B259^2+B308^2))</f>
        <v>-1.4012624136117513</v>
      </c>
      <c r="C504" s="1">
        <f t="shared" si="297"/>
        <v>-1.5130043902198043</v>
      </c>
      <c r="D504" s="1">
        <f t="shared" si="297"/>
        <v>-1.6436395506223647</v>
      </c>
      <c r="E504" s="1">
        <f t="shared" si="297"/>
        <v>-1.7982789060410931</v>
      </c>
      <c r="F504" s="1">
        <f t="shared" si="297"/>
        <v>-1.9840123920597807</v>
      </c>
      <c r="G504" s="1">
        <f t="shared" si="297"/>
        <v>-2.210183075684673</v>
      </c>
      <c r="H504" s="1">
        <f t="shared" si="297"/>
        <v>-2.4848278815266549</v>
      </c>
      <c r="I504" s="1">
        <f t="shared" si="297"/>
        <v>-2.8344185902173513</v>
      </c>
      <c r="J504" s="1">
        <f t="shared" si="297"/>
        <v>-3.2930961609647182</v>
      </c>
      <c r="K504" s="1">
        <f t="shared" si="297"/>
        <v>-3.9184410816056006</v>
      </c>
      <c r="L504" s="1">
        <f t="shared" si="297"/>
        <v>-4.8146459353388353</v>
      </c>
      <c r="M504" s="1">
        <f t="shared" si="297"/>
        <v>-6.1881576936795595</v>
      </c>
      <c r="N504" s="1">
        <f t="shared" si="297"/>
        <v>-8.5008992260447975</v>
      </c>
      <c r="O504" s="1">
        <f t="shared" si="297"/>
        <v>-12.94803923940098</v>
      </c>
      <c r="P504" s="1">
        <f t="shared" si="297"/>
        <v>-23.953235599917864</v>
      </c>
      <c r="Q504" s="1">
        <f t="shared" si="297"/>
        <v>-78.787283036502458</v>
      </c>
      <c r="R504" s="1">
        <f t="shared" si="297"/>
        <v>78.796709354718672</v>
      </c>
      <c r="S504" s="1">
        <f t="shared" si="297"/>
        <v>24.000551538532431</v>
      </c>
      <c r="T504" s="1">
        <f t="shared" si="297"/>
        <v>13.010340198742318</v>
      </c>
      <c r="U504" s="1">
        <f t="shared" si="297"/>
        <v>8.5669748606101166</v>
      </c>
      <c r="V504" s="1">
        <f t="shared" si="297"/>
        <v>6.2680255631605775</v>
      </c>
      <c r="W504" s="1">
        <f t="shared" si="297"/>
        <v>4.8881235795982194</v>
      </c>
      <c r="X504" s="1">
        <f t="shared" si="297"/>
        <v>3.9852759556275745</v>
      </c>
      <c r="Y504" s="1">
        <f t="shared" si="297"/>
        <v>3.3538592157523723</v>
      </c>
      <c r="Z504" s="1">
        <f t="shared" si="297"/>
        <v>2.8898565147410102</v>
      </c>
      <c r="AA504" s="1">
        <f t="shared" si="297"/>
        <v>2.5356547561363638</v>
      </c>
      <c r="AB504" s="1">
        <f t="shared" si="297"/>
        <v>2.2570231718474361</v>
      </c>
      <c r="AC504" s="1">
        <f t="shared" si="297"/>
        <v>2.0324555595413338</v>
      </c>
      <c r="AD504" s="1">
        <f t="shared" si="297"/>
        <v>1.8472368964966286</v>
      </c>
      <c r="AE504" s="1">
        <f t="shared" si="297"/>
        <v>1.6900183793060601</v>
      </c>
      <c r="AF504" s="1">
        <f t="shared" si="297"/>
        <v>1.5570119096604689</v>
      </c>
      <c r="AG504" s="1">
        <f t="shared" si="297"/>
        <v>1.443094333076002</v>
      </c>
      <c r="AH504" s="1">
        <f t="shared" si="297"/>
        <v>1.3444786386228555</v>
      </c>
      <c r="AI504" s="1">
        <f t="shared" si="297"/>
        <v>1.2583083993036077</v>
      </c>
      <c r="AJ504" s="1">
        <f t="shared" si="297"/>
        <v>1.1823905439163709</v>
      </c>
      <c r="AK504" s="1">
        <f t="shared" si="297"/>
        <v>1.1150146642150285</v>
      </c>
      <c r="AL504" s="1">
        <f t="shared" si="297"/>
        <v>1.0532014842589219</v>
      </c>
      <c r="AM504" s="1">
        <f t="shared" si="297"/>
        <v>0.99759820354213335</v>
      </c>
      <c r="AN504" s="1">
        <f t="shared" si="297"/>
        <v>0.94749089718523893</v>
      </c>
      <c r="AO504" s="1">
        <f t="shared" si="297"/>
        <v>0.90211191373607913</v>
      </c>
    </row>
    <row r="505" spans="2:41">
      <c r="B505" s="1">
        <f t="shared" ref="B505:AO505" si="298">-1/B309*(1+B260/SQRT(B260^2+B309^2))</f>
        <v>-1.3098669233031912</v>
      </c>
      <c r="C505" s="1">
        <f t="shared" si="298"/>
        <v>-1.407168372903836</v>
      </c>
      <c r="D505" s="1">
        <f t="shared" si="298"/>
        <v>-1.5197318141895744</v>
      </c>
      <c r="E505" s="1">
        <f t="shared" si="298"/>
        <v>-1.651368992982061</v>
      </c>
      <c r="F505" s="1">
        <f t="shared" si="298"/>
        <v>-1.8072466164213392</v>
      </c>
      <c r="G505" s="1">
        <f t="shared" si="298"/>
        <v>-1.9938943031001701</v>
      </c>
      <c r="H505" s="1">
        <f t="shared" si="298"/>
        <v>-2.2159199915760079</v>
      </c>
      <c r="I505" s="1">
        <f t="shared" si="298"/>
        <v>-2.4917617138285402</v>
      </c>
      <c r="J505" s="1">
        <f t="shared" si="298"/>
        <v>-2.8429523319044163</v>
      </c>
      <c r="K505" s="1">
        <f t="shared" si="298"/>
        <v>-3.3038260003573461</v>
      </c>
      <c r="L505" s="1">
        <f t="shared" si="298"/>
        <v>-3.932276947646745</v>
      </c>
      <c r="M505" s="1">
        <f t="shared" si="298"/>
        <v>-4.8330182627058926</v>
      </c>
      <c r="N505" s="1">
        <f t="shared" si="298"/>
        <v>-6.2133525631738182</v>
      </c>
      <c r="O505" s="1">
        <f t="shared" si="298"/>
        <v>-8.5118262809297569</v>
      </c>
      <c r="P505" s="1">
        <f t="shared" si="298"/>
        <v>-12.956431676740021</v>
      </c>
      <c r="Q505" s="1">
        <f t="shared" si="298"/>
        <v>-23.963846284643495</v>
      </c>
      <c r="R505" s="1">
        <f t="shared" si="298"/>
        <v>-78.793579309862011</v>
      </c>
      <c r="S505" s="1">
        <f t="shared" si="298"/>
        <v>78.802933563192454</v>
      </c>
      <c r="T505" s="1">
        <f t="shared" si="298"/>
        <v>24.010916625010488</v>
      </c>
      <c r="U505" s="1">
        <f t="shared" si="298"/>
        <v>13.018535712251373</v>
      </c>
      <c r="V505" s="1">
        <f t="shared" si="298"/>
        <v>8.5727192670936123</v>
      </c>
      <c r="W505" s="1">
        <f t="shared" si="298"/>
        <v>6.2599037974519929</v>
      </c>
      <c r="X505" s="1">
        <f t="shared" si="298"/>
        <v>4.8821929124135623</v>
      </c>
      <c r="Y505" s="1">
        <f t="shared" si="298"/>
        <v>3.9808023661168739</v>
      </c>
      <c r="Z505" s="1">
        <f t="shared" si="298"/>
        <v>3.3503844433758894</v>
      </c>
      <c r="AA505" s="1">
        <f t="shared" si="298"/>
        <v>2.8870890012842367</v>
      </c>
      <c r="AB505" s="1">
        <f t="shared" si="298"/>
        <v>2.5334032731088341</v>
      </c>
      <c r="AC505" s="1">
        <f t="shared" si="298"/>
        <v>2.255158286320186</v>
      </c>
      <c r="AD505" s="1">
        <f t="shared" si="298"/>
        <v>2.0302114313804731</v>
      </c>
      <c r="AE505" s="1">
        <f t="shared" si="298"/>
        <v>1.8425028324867179</v>
      </c>
      <c r="AF505" s="1">
        <f t="shared" si="298"/>
        <v>1.6859347548115002</v>
      </c>
      <c r="AG505" s="1">
        <f t="shared" si="298"/>
        <v>1.5534549934214474</v>
      </c>
      <c r="AH505" s="1">
        <f t="shared" si="298"/>
        <v>1.4399695300632389</v>
      </c>
      <c r="AI505" s="1">
        <f t="shared" si="298"/>
        <v>1.3417124894431991</v>
      </c>
      <c r="AJ505" s="1">
        <f t="shared" si="298"/>
        <v>1.2558430487036911</v>
      </c>
      <c r="AK505" s="1">
        <f t="shared" si="298"/>
        <v>1.1801798430383199</v>
      </c>
      <c r="AL505" s="1">
        <f t="shared" si="298"/>
        <v>1.111225525670017</v>
      </c>
      <c r="AM505" s="1">
        <f t="shared" si="298"/>
        <v>1.049560830043174</v>
      </c>
      <c r="AN505" s="1">
        <f t="shared" si="298"/>
        <v>0.99428312983869849</v>
      </c>
      <c r="AO505" s="1">
        <f t="shared" si="298"/>
        <v>0.94446000012368292</v>
      </c>
    </row>
    <row r="506" spans="2:41">
      <c r="B506" s="1">
        <f t="shared" ref="B506:AO506" si="299">-1/B310*(1+B261/SQRT(B261^2+B310^2))</f>
        <v>-1.2296072134222473</v>
      </c>
      <c r="C506" s="1">
        <f t="shared" si="299"/>
        <v>-1.315086082905734</v>
      </c>
      <c r="D506" s="1">
        <f t="shared" si="299"/>
        <v>-1.4130669370249258</v>
      </c>
      <c r="E506" s="1">
        <f t="shared" si="299"/>
        <v>-1.5264491270869198</v>
      </c>
      <c r="F506" s="1">
        <f t="shared" si="299"/>
        <v>-1.6590844025745943</v>
      </c>
      <c r="G506" s="1">
        <f t="shared" si="299"/>
        <v>-1.815651310025707</v>
      </c>
      <c r="H506" s="1">
        <f t="shared" si="299"/>
        <v>-1.9987088054326811</v>
      </c>
      <c r="I506" s="1">
        <f t="shared" si="299"/>
        <v>-2.2216482205489267</v>
      </c>
      <c r="J506" s="1">
        <f t="shared" si="299"/>
        <v>-2.4986825540963791</v>
      </c>
      <c r="K506" s="1">
        <f t="shared" si="299"/>
        <v>-2.8514659079934792</v>
      </c>
      <c r="L506" s="1">
        <f t="shared" si="299"/>
        <v>-3.3145231192703122</v>
      </c>
      <c r="M506" s="1">
        <f t="shared" si="299"/>
        <v>-3.9460568106034755</v>
      </c>
      <c r="N506" s="1">
        <f t="shared" si="299"/>
        <v>-4.8512883935243645</v>
      </c>
      <c r="O506" s="1">
        <f t="shared" si="299"/>
        <v>-6.2210268445277759</v>
      </c>
      <c r="P506" s="1">
        <f t="shared" si="299"/>
        <v>-8.5176806335245985</v>
      </c>
      <c r="Q506" s="1">
        <f t="shared" si="299"/>
        <v>-12.964797639703502</v>
      </c>
      <c r="R506" s="1">
        <f t="shared" si="299"/>
        <v>-23.974401821946046</v>
      </c>
      <c r="S506" s="1">
        <f t="shared" si="299"/>
        <v>-78.799827419126174</v>
      </c>
      <c r="T506" s="1">
        <f t="shared" si="299"/>
        <v>78.809110328883577</v>
      </c>
      <c r="U506" s="1">
        <f t="shared" si="299"/>
        <v>24.021228022102544</v>
      </c>
      <c r="V506" s="1">
        <f t="shared" si="299"/>
        <v>13.026705255265318</v>
      </c>
      <c r="W506" s="1">
        <f t="shared" si="299"/>
        <v>8.5612189115771145</v>
      </c>
      <c r="X506" s="1">
        <f t="shared" si="299"/>
        <v>6.2517601429746943</v>
      </c>
      <c r="Y506" s="1">
        <f t="shared" si="299"/>
        <v>4.8762509602116904</v>
      </c>
      <c r="Z506" s="1">
        <f t="shared" si="299"/>
        <v>3.9763224943730542</v>
      </c>
      <c r="AA506" s="1">
        <f t="shared" si="299"/>
        <v>3.3469059392657323</v>
      </c>
      <c r="AB506" s="1">
        <f t="shared" si="299"/>
        <v>2.8843191485299928</v>
      </c>
      <c r="AC506" s="1">
        <f t="shared" si="299"/>
        <v>2.5311502566270048</v>
      </c>
      <c r="AD506" s="1">
        <f t="shared" si="299"/>
        <v>2.2524885650716113</v>
      </c>
      <c r="AE506" s="1">
        <f t="shared" si="299"/>
        <v>2.024653087233145</v>
      </c>
      <c r="AF506" s="1">
        <f t="shared" si="299"/>
        <v>1.8377622408297301</v>
      </c>
      <c r="AG506" s="1">
        <f t="shared" si="299"/>
        <v>1.6818463740046443</v>
      </c>
      <c r="AH506" s="1">
        <f t="shared" si="299"/>
        <v>1.5498945432050206</v>
      </c>
      <c r="AI506" s="1">
        <f t="shared" si="299"/>
        <v>1.4368420559552231</v>
      </c>
      <c r="AJ506" s="1">
        <f t="shared" si="299"/>
        <v>1.338944290659613</v>
      </c>
      <c r="AK506" s="1">
        <f t="shared" si="299"/>
        <v>1.2533761041901235</v>
      </c>
      <c r="AL506" s="1">
        <f t="shared" si="299"/>
        <v>1.1759749277380414</v>
      </c>
      <c r="AM506" s="1">
        <f t="shared" si="299"/>
        <v>1.1072055879167781</v>
      </c>
      <c r="AN506" s="1">
        <f t="shared" si="299"/>
        <v>1.0459170659439503</v>
      </c>
      <c r="AO506" s="1">
        <f t="shared" si="299"/>
        <v>0.99096560237927289</v>
      </c>
    </row>
    <row r="507" spans="2:41">
      <c r="B507" s="1">
        <f t="shared" ref="B507:AO507" si="300">-1/B311*(1+B262/SQRT(B262^2+B311^2))</f>
        <v>-1.1585728001638469</v>
      </c>
      <c r="C507" s="1">
        <f t="shared" si="300"/>
        <v>-1.2342524100239005</v>
      </c>
      <c r="D507" s="1">
        <f t="shared" si="300"/>
        <v>-1.3202994803820187</v>
      </c>
      <c r="E507" s="1">
        <f t="shared" si="300"/>
        <v>-1.4189577459458225</v>
      </c>
      <c r="F507" s="1">
        <f t="shared" si="300"/>
        <v>-1.5331558669576419</v>
      </c>
      <c r="G507" s="1">
        <f t="shared" si="300"/>
        <v>-1.6663176194435123</v>
      </c>
      <c r="H507" s="1">
        <f t="shared" si="300"/>
        <v>-1.8197472809386015</v>
      </c>
      <c r="I507" s="1">
        <f t="shared" si="300"/>
        <v>-2.0035172115307103</v>
      </c>
      <c r="J507" s="1">
        <f t="shared" si="300"/>
        <v>-2.2273676206988746</v>
      </c>
      <c r="K507" s="1">
        <f t="shared" si="300"/>
        <v>-2.505590203001367</v>
      </c>
      <c r="L507" s="1">
        <f t="shared" si="300"/>
        <v>-2.859959033270675</v>
      </c>
      <c r="M507" s="1">
        <f t="shared" si="300"/>
        <v>-3.3251871046331232</v>
      </c>
      <c r="N507" s="1">
        <f t="shared" si="300"/>
        <v>-3.9597800774119301</v>
      </c>
      <c r="O507" s="1">
        <f t="shared" si="300"/>
        <v>-4.8568619880033337</v>
      </c>
      <c r="P507" s="1">
        <f t="shared" si="300"/>
        <v>-6.2251423448433449</v>
      </c>
      <c r="Q507" s="1">
        <f t="shared" si="300"/>
        <v>-8.5235233835470385</v>
      </c>
      <c r="R507" s="1">
        <f t="shared" si="300"/>
        <v>-12.9731371951227</v>
      </c>
      <c r="S507" s="1">
        <f t="shared" si="300"/>
        <v>-23.984902539133365</v>
      </c>
      <c r="T507" s="1">
        <f t="shared" si="300"/>
        <v>-78.806027846654956</v>
      </c>
      <c r="U507" s="1">
        <f t="shared" si="300"/>
        <v>78.81524012529627</v>
      </c>
      <c r="V507" s="1">
        <f t="shared" si="300"/>
        <v>24.031486048658827</v>
      </c>
      <c r="W507" s="1">
        <f t="shared" si="300"/>
        <v>13.010340198742318</v>
      </c>
      <c r="X507" s="1">
        <f t="shared" si="300"/>
        <v>8.5496723557480561</v>
      </c>
      <c r="Y507" s="1">
        <f t="shared" si="300"/>
        <v>6.2435946197187802</v>
      </c>
      <c r="Z507" s="1">
        <f t="shared" si="300"/>
        <v>4.8702977483717005</v>
      </c>
      <c r="AA507" s="1">
        <f t="shared" si="300"/>
        <v>3.9718363598516717</v>
      </c>
      <c r="AB507" s="1">
        <f t="shared" si="300"/>
        <v>3.3434237171028247</v>
      </c>
      <c r="AC507" s="1">
        <f t="shared" si="300"/>
        <v>2.8815469659921256</v>
      </c>
      <c r="AD507" s="1">
        <f t="shared" si="300"/>
        <v>2.5279244349130892</v>
      </c>
      <c r="AE507" s="1">
        <f t="shared" si="300"/>
        <v>2.2458746346148741</v>
      </c>
      <c r="AF507" s="1">
        <f t="shared" si="300"/>
        <v>2.0190857365698793</v>
      </c>
      <c r="AG507" s="1">
        <f t="shared" si="300"/>
        <v>1.8330152374755313</v>
      </c>
      <c r="AH507" s="1">
        <f t="shared" si="300"/>
        <v>1.6777533248268215</v>
      </c>
      <c r="AI507" s="1">
        <f t="shared" si="300"/>
        <v>1.5463306267242132</v>
      </c>
      <c r="AJ507" s="1">
        <f t="shared" si="300"/>
        <v>1.4337119636248397</v>
      </c>
      <c r="AK507" s="1">
        <f t="shared" si="300"/>
        <v>1.3361740840927394</v>
      </c>
      <c r="AL507" s="1">
        <f t="shared" si="300"/>
        <v>1.2486833547636047</v>
      </c>
      <c r="AM507" s="1">
        <f t="shared" si="300"/>
        <v>1.1715134244525813</v>
      </c>
      <c r="AN507" s="1">
        <f t="shared" si="300"/>
        <v>1.1031818637052591</v>
      </c>
      <c r="AO507" s="1">
        <f t="shared" si="300"/>
        <v>1.0422703419080619</v>
      </c>
    </row>
    <row r="508" spans="2:41">
      <c r="B508" s="1">
        <f t="shared" ref="B508:AO508" si="301">-1/B312*(1+B263/SQRT(B263^2+B312^2))</f>
        <v>-1.0952651855720332</v>
      </c>
      <c r="C508" s="1">
        <f t="shared" si="301"/>
        <v>-1.1627335079134224</v>
      </c>
      <c r="D508" s="1">
        <f t="shared" si="301"/>
        <v>-1.2388930522606114</v>
      </c>
      <c r="E508" s="1">
        <f t="shared" si="301"/>
        <v>-1.3255068331130142</v>
      </c>
      <c r="F508" s="1">
        <f t="shared" si="301"/>
        <v>-1.4248404420572665</v>
      </c>
      <c r="G508" s="1">
        <f t="shared" si="301"/>
        <v>-1.5394449906411949</v>
      </c>
      <c r="H508" s="1">
        <f t="shared" si="301"/>
        <v>-1.6698434777260649</v>
      </c>
      <c r="I508" s="1">
        <f t="shared" si="301"/>
        <v>-1.8238388531809757</v>
      </c>
      <c r="J508" s="1">
        <f t="shared" si="301"/>
        <v>-2.0083194190435121</v>
      </c>
      <c r="K508" s="1">
        <f t="shared" si="301"/>
        <v>-2.2330780513044881</v>
      </c>
      <c r="L508" s="1">
        <f t="shared" si="301"/>
        <v>-2.512484463319467</v>
      </c>
      <c r="M508" s="1">
        <f t="shared" si="301"/>
        <v>-2.8684314264538515</v>
      </c>
      <c r="N508" s="1">
        <f t="shared" si="301"/>
        <v>-3.3358175511391503</v>
      </c>
      <c r="O508" s="1">
        <f t="shared" si="301"/>
        <v>-3.9639706138312385</v>
      </c>
      <c r="P508" s="1">
        <f t="shared" si="301"/>
        <v>-4.8598526119893304</v>
      </c>
      <c r="Q508" s="1">
        <f t="shared" si="301"/>
        <v>-6.2292523958798203</v>
      </c>
      <c r="R508" s="1">
        <f t="shared" si="301"/>
        <v>-8.5293545375506081</v>
      </c>
      <c r="S508" s="1">
        <f t="shared" si="301"/>
        <v>-12.981450409944664</v>
      </c>
      <c r="T508" s="1">
        <f t="shared" si="301"/>
        <v>-23.995348761622445</v>
      </c>
      <c r="U508" s="1">
        <f t="shared" si="301"/>
        <v>-78.812181068883518</v>
      </c>
      <c r="V508" s="1">
        <f t="shared" si="301"/>
        <v>78.821323420137688</v>
      </c>
      <c r="W508" s="1">
        <f t="shared" si="301"/>
        <v>24.010916625010434</v>
      </c>
      <c r="X508" s="1">
        <f t="shared" si="301"/>
        <v>12.993870990278516</v>
      </c>
      <c r="Y508" s="1">
        <f t="shared" si="301"/>
        <v>8.5380795406948256</v>
      </c>
      <c r="Z508" s="1">
        <f t="shared" si="301"/>
        <v>6.2354072486479897</v>
      </c>
      <c r="AA508" s="1">
        <f t="shared" si="301"/>
        <v>4.8643333026942344</v>
      </c>
      <c r="AB508" s="1">
        <f t="shared" si="301"/>
        <v>3.967343982199167</v>
      </c>
      <c r="AC508" s="1">
        <f t="shared" si="301"/>
        <v>3.3399377906602692</v>
      </c>
      <c r="AD508" s="1">
        <f t="shared" si="301"/>
        <v>2.877577045709752</v>
      </c>
      <c r="AE508" s="1">
        <f t="shared" si="301"/>
        <v>2.5199305079887937</v>
      </c>
      <c r="AF508" s="1">
        <f t="shared" si="301"/>
        <v>2.2392479324184102</v>
      </c>
      <c r="AG508" s="1">
        <f t="shared" si="301"/>
        <v>2.0135095361042654</v>
      </c>
      <c r="AH508" s="1">
        <f t="shared" si="301"/>
        <v>1.8282619392124537</v>
      </c>
      <c r="AI508" s="1">
        <f t="shared" si="301"/>
        <v>1.6736556957496869</v>
      </c>
      <c r="AJ508" s="1">
        <f t="shared" si="301"/>
        <v>1.542763312036924</v>
      </c>
      <c r="AK508" s="1">
        <f t="shared" si="301"/>
        <v>1.430579306174824</v>
      </c>
      <c r="AL508" s="1">
        <f t="shared" si="301"/>
        <v>1.3309038689973891</v>
      </c>
      <c r="AM508" s="1">
        <f t="shared" si="301"/>
        <v>1.2437036421975884</v>
      </c>
      <c r="AN508" s="1">
        <f t="shared" si="301"/>
        <v>1.1670472632492939</v>
      </c>
      <c r="AO508" s="1">
        <f t="shared" si="301"/>
        <v>1.0991545354176366</v>
      </c>
    </row>
    <row r="509" spans="2:41">
      <c r="B509" s="1">
        <f t="shared" ref="B509:AO509" si="302">-1/B313*(1+B264/SQRT(B264^2+B313^2))</f>
        <v>-1.0386208085010227</v>
      </c>
      <c r="C509" s="1">
        <f t="shared" si="302"/>
        <v>-1.0991545354176369</v>
      </c>
      <c r="D509" s="1">
        <f t="shared" si="302"/>
        <v>-1.1670472632492934</v>
      </c>
      <c r="E509" s="1">
        <f t="shared" si="302"/>
        <v>-1.2437036421975887</v>
      </c>
      <c r="F509" s="1">
        <f t="shared" si="302"/>
        <v>-1.3309038689973893</v>
      </c>
      <c r="G509" s="1">
        <f t="shared" si="302"/>
        <v>-1.4305793061748244</v>
      </c>
      <c r="H509" s="1">
        <f t="shared" si="302"/>
        <v>-1.5427633120369246</v>
      </c>
      <c r="I509" s="1">
        <f t="shared" si="302"/>
        <v>-1.6736556957496878</v>
      </c>
      <c r="J509" s="1">
        <f t="shared" si="302"/>
        <v>-1.8282619392124544</v>
      </c>
      <c r="K509" s="1">
        <f t="shared" si="302"/>
        <v>-2.0135095361042663</v>
      </c>
      <c r="L509" s="1">
        <f t="shared" si="302"/>
        <v>-2.2392479324184116</v>
      </c>
      <c r="M509" s="1">
        <f t="shared" si="302"/>
        <v>-2.5199305079887955</v>
      </c>
      <c r="N509" s="1">
        <f t="shared" si="302"/>
        <v>-2.8775770457097543</v>
      </c>
      <c r="O509" s="1">
        <f t="shared" si="302"/>
        <v>-3.3399377906602714</v>
      </c>
      <c r="P509" s="1">
        <f t="shared" si="302"/>
        <v>-3.9673439821991705</v>
      </c>
      <c r="Q509" s="1">
        <f t="shared" si="302"/>
        <v>-4.8643333026942388</v>
      </c>
      <c r="R509" s="1">
        <f t="shared" si="302"/>
        <v>-6.2354072486479977</v>
      </c>
      <c r="S509" s="1">
        <f t="shared" si="302"/>
        <v>-8.5380795406948362</v>
      </c>
      <c r="T509" s="1">
        <f t="shared" si="302"/>
        <v>-12.993870990278497</v>
      </c>
      <c r="U509" s="1">
        <f t="shared" si="302"/>
        <v>-24.01091662501052</v>
      </c>
      <c r="V509" s="1">
        <f t="shared" si="302"/>
        <v>-78.821323420136963</v>
      </c>
      <c r="W509" s="1">
        <f t="shared" si="302"/>
        <v>78.812181068882808</v>
      </c>
      <c r="X509" s="1">
        <f t="shared" si="302"/>
        <v>23.995348761622498</v>
      </c>
      <c r="Y509" s="1">
        <f t="shared" si="302"/>
        <v>12.981450409944639</v>
      </c>
      <c r="Z509" s="1">
        <f t="shared" si="302"/>
        <v>8.5293545375505957</v>
      </c>
      <c r="AA509" s="1">
        <f t="shared" si="302"/>
        <v>6.2292523958798123</v>
      </c>
      <c r="AB509" s="1">
        <f t="shared" si="302"/>
        <v>4.8598526119893251</v>
      </c>
      <c r="AC509" s="1">
        <f t="shared" si="302"/>
        <v>3.9639706138312349</v>
      </c>
      <c r="AD509" s="1">
        <f t="shared" si="302"/>
        <v>3.3358175511391481</v>
      </c>
      <c r="AE509" s="1">
        <f t="shared" si="302"/>
        <v>2.8684314264538506</v>
      </c>
      <c r="AF509" s="1">
        <f t="shared" si="302"/>
        <v>2.5124844633194652</v>
      </c>
      <c r="AG509" s="1">
        <f t="shared" si="302"/>
        <v>2.2330780513044868</v>
      </c>
      <c r="AH509" s="1">
        <f t="shared" si="302"/>
        <v>2.0083194190435116</v>
      </c>
      <c r="AI509" s="1">
        <f t="shared" si="302"/>
        <v>1.8238388531809751</v>
      </c>
      <c r="AJ509" s="1">
        <f t="shared" si="302"/>
        <v>1.6698434777260645</v>
      </c>
      <c r="AK509" s="1">
        <f t="shared" si="302"/>
        <v>1.5394449906411944</v>
      </c>
      <c r="AL509" s="1">
        <f t="shared" si="302"/>
        <v>1.424840442057266</v>
      </c>
      <c r="AM509" s="1">
        <f t="shared" si="302"/>
        <v>1.3255068331130135</v>
      </c>
      <c r="AN509" s="1">
        <f t="shared" si="302"/>
        <v>1.2388930522606121</v>
      </c>
      <c r="AO509" s="1">
        <f t="shared" si="302"/>
        <v>1.162733507913422</v>
      </c>
    </row>
    <row r="510" spans="2:41">
      <c r="B510" s="1">
        <f t="shared" ref="B510:AO510" si="303">-1/B314*(1+B265/SQRT(B265^2+B314^2))</f>
        <v>-0.98764574602000377</v>
      </c>
      <c r="C510" s="1">
        <f t="shared" si="303"/>
        <v>-1.0422703419080621</v>
      </c>
      <c r="D510" s="1">
        <f t="shared" si="303"/>
        <v>-1.1031818637052586</v>
      </c>
      <c r="E510" s="1">
        <f t="shared" si="303"/>
        <v>-1.171513424452582</v>
      </c>
      <c r="F510" s="1">
        <f t="shared" si="303"/>
        <v>-1.2486833547636049</v>
      </c>
      <c r="G510" s="1">
        <f t="shared" si="303"/>
        <v>-1.3361740840927396</v>
      </c>
      <c r="H510" s="1">
        <f t="shared" si="303"/>
        <v>-1.4337119636248399</v>
      </c>
      <c r="I510" s="1">
        <f t="shared" si="303"/>
        <v>-1.5463306267242138</v>
      </c>
      <c r="J510" s="1">
        <f t="shared" si="303"/>
        <v>-1.6777533248268224</v>
      </c>
      <c r="K510" s="1">
        <f t="shared" si="303"/>
        <v>-1.8330152374755317</v>
      </c>
      <c r="L510" s="1">
        <f t="shared" si="303"/>
        <v>-2.0190857365698802</v>
      </c>
      <c r="M510" s="1">
        <f t="shared" si="303"/>
        <v>-2.245874634614875</v>
      </c>
      <c r="N510" s="1">
        <f t="shared" si="303"/>
        <v>-2.5279244349130905</v>
      </c>
      <c r="O510" s="1">
        <f t="shared" si="303"/>
        <v>-2.8815469659921273</v>
      </c>
      <c r="P510" s="1">
        <f t="shared" si="303"/>
        <v>-3.3434237171028274</v>
      </c>
      <c r="Q510" s="1">
        <f t="shared" si="303"/>
        <v>-3.9718363598516744</v>
      </c>
      <c r="R510" s="1">
        <f t="shared" si="303"/>
        <v>-4.8702977483717049</v>
      </c>
      <c r="S510" s="1">
        <f t="shared" si="303"/>
        <v>-6.2435946197187855</v>
      </c>
      <c r="T510" s="1">
        <f t="shared" si="303"/>
        <v>-8.5496723557480436</v>
      </c>
      <c r="U510" s="1">
        <f t="shared" si="303"/>
        <v>-13.010340198742339</v>
      </c>
      <c r="V510" s="1">
        <f t="shared" si="303"/>
        <v>-24.031486048658735</v>
      </c>
      <c r="W510" s="1">
        <f t="shared" si="303"/>
        <v>-78.815240125296896</v>
      </c>
      <c r="X510" s="1">
        <f t="shared" si="303"/>
        <v>78.80602784665551</v>
      </c>
      <c r="Y510" s="1">
        <f t="shared" si="303"/>
        <v>23.984902539133291</v>
      </c>
      <c r="Z510" s="1">
        <f t="shared" si="303"/>
        <v>12.973137195122677</v>
      </c>
      <c r="AA510" s="1">
        <f t="shared" si="303"/>
        <v>8.5235233835470279</v>
      </c>
      <c r="AB510" s="1">
        <f t="shared" si="303"/>
        <v>6.2251423448433387</v>
      </c>
      <c r="AC510" s="1">
        <f t="shared" si="303"/>
        <v>4.8568619880033301</v>
      </c>
      <c r="AD510" s="1">
        <f t="shared" si="303"/>
        <v>3.9597800774119274</v>
      </c>
      <c r="AE510" s="1">
        <f t="shared" si="303"/>
        <v>3.3251871046331209</v>
      </c>
      <c r="AF510" s="1">
        <f t="shared" si="303"/>
        <v>2.8599590332706741</v>
      </c>
      <c r="AG510" s="1">
        <f t="shared" si="303"/>
        <v>2.5055902030013657</v>
      </c>
      <c r="AH510" s="1">
        <f t="shared" si="303"/>
        <v>2.2273676206988737</v>
      </c>
      <c r="AI510" s="1">
        <f t="shared" si="303"/>
        <v>2.0035172115307098</v>
      </c>
      <c r="AJ510" s="1">
        <f t="shared" si="303"/>
        <v>1.8197472809386011</v>
      </c>
      <c r="AK510" s="1">
        <f t="shared" si="303"/>
        <v>1.6663176194435121</v>
      </c>
      <c r="AL510" s="1">
        <f t="shared" si="303"/>
        <v>1.5331558669576417</v>
      </c>
      <c r="AM510" s="1">
        <f t="shared" si="303"/>
        <v>1.418957745945822</v>
      </c>
      <c r="AN510" s="1">
        <f t="shared" si="303"/>
        <v>1.3202994803820194</v>
      </c>
      <c r="AO510" s="1">
        <f t="shared" si="303"/>
        <v>1.2342524100239001</v>
      </c>
    </row>
    <row r="511" spans="2:41">
      <c r="B511" s="1">
        <f t="shared" ref="B511:AO511" si="304">-1/B315*(1+B266/SQRT(B266^2+B315^2))</f>
        <v>-0.94142715592679793</v>
      </c>
      <c r="C511" s="1">
        <f t="shared" si="304"/>
        <v>-0.99096560237927311</v>
      </c>
      <c r="D511" s="1">
        <f t="shared" si="304"/>
        <v>-1.0459170659439498</v>
      </c>
      <c r="E511" s="1">
        <f t="shared" si="304"/>
        <v>-1.1072055879167784</v>
      </c>
      <c r="F511" s="1">
        <f t="shared" si="304"/>
        <v>-1.1759749277380418</v>
      </c>
      <c r="G511" s="1">
        <f t="shared" si="304"/>
        <v>-1.2533761041901239</v>
      </c>
      <c r="H511" s="1">
        <f t="shared" si="304"/>
        <v>-1.3389442906596134</v>
      </c>
      <c r="I511" s="1">
        <f t="shared" si="304"/>
        <v>-1.4368420559552235</v>
      </c>
      <c r="J511" s="1">
        <f t="shared" si="304"/>
        <v>-1.5498945432050211</v>
      </c>
      <c r="K511" s="1">
        <f t="shared" si="304"/>
        <v>-1.6818463740046452</v>
      </c>
      <c r="L511" s="1">
        <f t="shared" si="304"/>
        <v>-1.8377622408297305</v>
      </c>
      <c r="M511" s="1">
        <f t="shared" si="304"/>
        <v>-2.024653087233145</v>
      </c>
      <c r="N511" s="1">
        <f t="shared" si="304"/>
        <v>-2.2524885650716131</v>
      </c>
      <c r="O511" s="1">
        <f t="shared" si="304"/>
        <v>-2.5311502566270057</v>
      </c>
      <c r="P511" s="1">
        <f t="shared" si="304"/>
        <v>-2.8843191485299942</v>
      </c>
      <c r="Q511" s="1">
        <f t="shared" si="304"/>
        <v>-3.3469059392657341</v>
      </c>
      <c r="R511" s="1">
        <f t="shared" si="304"/>
        <v>-3.9763224943730573</v>
      </c>
      <c r="S511" s="1">
        <f t="shared" si="304"/>
        <v>-4.8762509602116948</v>
      </c>
      <c r="T511" s="1">
        <f t="shared" si="304"/>
        <v>-6.2517601429746881</v>
      </c>
      <c r="U511" s="1">
        <f t="shared" si="304"/>
        <v>-8.5612189115771233</v>
      </c>
      <c r="V511" s="1">
        <f t="shared" si="304"/>
        <v>-13.026705255265286</v>
      </c>
      <c r="W511" s="1">
        <f t="shared" si="304"/>
        <v>-24.021228022102612</v>
      </c>
      <c r="X511" s="1">
        <f t="shared" si="304"/>
        <v>-78.809110328882994</v>
      </c>
      <c r="Y511" s="1">
        <f t="shared" si="304"/>
        <v>78.799827419125606</v>
      </c>
      <c r="Z511" s="1">
        <f t="shared" si="304"/>
        <v>23.974401821945978</v>
      </c>
      <c r="AA511" s="1">
        <f t="shared" si="304"/>
        <v>12.96479763970348</v>
      </c>
      <c r="AB511" s="1">
        <f t="shared" si="304"/>
        <v>8.5176806335245878</v>
      </c>
      <c r="AC511" s="1">
        <f t="shared" si="304"/>
        <v>6.2210268445277714</v>
      </c>
      <c r="AD511" s="1">
        <f t="shared" si="304"/>
        <v>4.8512883935243618</v>
      </c>
      <c r="AE511" s="1">
        <f t="shared" si="304"/>
        <v>3.9460568106034737</v>
      </c>
      <c r="AF511" s="1">
        <f t="shared" si="304"/>
        <v>3.3145231192703108</v>
      </c>
      <c r="AG511" s="1">
        <f t="shared" si="304"/>
        <v>2.8514659079934783</v>
      </c>
      <c r="AH511" s="1">
        <f t="shared" si="304"/>
        <v>2.4986825540963782</v>
      </c>
      <c r="AI511" s="1">
        <f t="shared" si="304"/>
        <v>2.2216482205489259</v>
      </c>
      <c r="AJ511" s="1">
        <f t="shared" si="304"/>
        <v>1.9987088054326805</v>
      </c>
      <c r="AK511" s="1">
        <f t="shared" si="304"/>
        <v>1.8156513100257061</v>
      </c>
      <c r="AL511" s="1">
        <f t="shared" si="304"/>
        <v>1.6590844025745934</v>
      </c>
      <c r="AM511" s="1">
        <f t="shared" si="304"/>
        <v>1.5264491270869194</v>
      </c>
      <c r="AN511" s="1">
        <f t="shared" si="304"/>
        <v>1.4130669370249265</v>
      </c>
      <c r="AO511" s="1">
        <f t="shared" si="304"/>
        <v>1.3150860829057336</v>
      </c>
    </row>
    <row r="512" spans="2:41">
      <c r="B512" s="1">
        <f t="shared" ref="B512:AO512" si="305">-1/B316*(1+B267/SQRT(B267^2+B316^2))</f>
        <v>-0.89933046265422734</v>
      </c>
      <c r="C512" s="1">
        <f t="shared" si="305"/>
        <v>-0.94446000012368292</v>
      </c>
      <c r="D512" s="1">
        <f t="shared" si="305"/>
        <v>-0.99428312983869804</v>
      </c>
      <c r="E512" s="1">
        <f t="shared" si="305"/>
        <v>-1.049560830043174</v>
      </c>
      <c r="F512" s="1">
        <f t="shared" si="305"/>
        <v>-1.111225525670017</v>
      </c>
      <c r="G512" s="1">
        <f t="shared" si="305"/>
        <v>-1.1801798430383199</v>
      </c>
      <c r="H512" s="1">
        <f t="shared" si="305"/>
        <v>-1.2558430487036911</v>
      </c>
      <c r="I512" s="1">
        <f t="shared" si="305"/>
        <v>-1.3417124894431991</v>
      </c>
      <c r="J512" s="1">
        <f t="shared" si="305"/>
        <v>-1.4399695300632389</v>
      </c>
      <c r="K512" s="1">
        <f t="shared" si="305"/>
        <v>-1.5534549934214474</v>
      </c>
      <c r="L512" s="1">
        <f t="shared" si="305"/>
        <v>-1.6859347548115002</v>
      </c>
      <c r="M512" s="1">
        <f t="shared" si="305"/>
        <v>-1.8425028324867179</v>
      </c>
      <c r="N512" s="1">
        <f t="shared" si="305"/>
        <v>-2.0302114313804731</v>
      </c>
      <c r="O512" s="1">
        <f t="shared" si="305"/>
        <v>-2.255158286320186</v>
      </c>
      <c r="P512" s="1">
        <f t="shared" si="305"/>
        <v>-2.5334032731088341</v>
      </c>
      <c r="Q512" s="1">
        <f t="shared" si="305"/>
        <v>-2.8870890012842367</v>
      </c>
      <c r="R512" s="1">
        <f t="shared" si="305"/>
        <v>-3.3503844433758894</v>
      </c>
      <c r="S512" s="1">
        <f t="shared" si="305"/>
        <v>-3.9808023661168739</v>
      </c>
      <c r="T512" s="1">
        <f t="shared" si="305"/>
        <v>-4.8821929124135552</v>
      </c>
      <c r="U512" s="1">
        <f t="shared" si="305"/>
        <v>-6.2599037974519929</v>
      </c>
      <c r="V512" s="1">
        <f t="shared" si="305"/>
        <v>-8.5727192670935839</v>
      </c>
      <c r="W512" s="1">
        <f t="shared" si="305"/>
        <v>-13.018535712251373</v>
      </c>
      <c r="X512" s="1">
        <f t="shared" si="305"/>
        <v>-24.010916625010353</v>
      </c>
      <c r="Y512" s="1">
        <f t="shared" si="305"/>
        <v>-78.802933563192454</v>
      </c>
      <c r="Z512" s="1">
        <f t="shared" si="305"/>
        <v>78.793579309862011</v>
      </c>
      <c r="AA512" s="1">
        <f t="shared" si="305"/>
        <v>23.963846284643495</v>
      </c>
      <c r="AB512" s="1">
        <f t="shared" si="305"/>
        <v>12.956431676740021</v>
      </c>
      <c r="AC512" s="1">
        <f t="shared" si="305"/>
        <v>8.5118262809297569</v>
      </c>
      <c r="AD512" s="1">
        <f t="shared" si="305"/>
        <v>6.2133525631738182</v>
      </c>
      <c r="AE512" s="1">
        <f t="shared" si="305"/>
        <v>4.8330182627058926</v>
      </c>
      <c r="AF512" s="1">
        <f t="shared" si="305"/>
        <v>3.932276947646745</v>
      </c>
      <c r="AG512" s="1">
        <f t="shared" si="305"/>
        <v>3.3038260003573461</v>
      </c>
      <c r="AH512" s="1">
        <f t="shared" si="305"/>
        <v>2.8429523319044163</v>
      </c>
      <c r="AI512" s="1">
        <f t="shared" si="305"/>
        <v>2.4917617138285402</v>
      </c>
      <c r="AJ512" s="1">
        <f t="shared" si="305"/>
        <v>2.2159199915760079</v>
      </c>
      <c r="AK512" s="1">
        <f t="shared" si="305"/>
        <v>1.9938943031001701</v>
      </c>
      <c r="AL512" s="1">
        <f t="shared" si="305"/>
        <v>1.8072466164213392</v>
      </c>
      <c r="AM512" s="1">
        <f t="shared" si="305"/>
        <v>1.651368992982061</v>
      </c>
      <c r="AN512" s="1">
        <f t="shared" si="305"/>
        <v>1.5197318141895757</v>
      </c>
      <c r="AO512" s="1">
        <f t="shared" si="305"/>
        <v>1.407168372903836</v>
      </c>
    </row>
    <row r="513" spans="2:41">
      <c r="B513" s="1">
        <f t="shared" ref="B513:AO513" si="306">-1/B317*(1+B268/SQRT(B268^2+B317^2))</f>
        <v>-0.86082894798881049</v>
      </c>
      <c r="C513" s="1">
        <f t="shared" si="306"/>
        <v>-0.90211191373607913</v>
      </c>
      <c r="D513" s="1">
        <f t="shared" si="306"/>
        <v>-0.94749089718523838</v>
      </c>
      <c r="E513" s="1">
        <f t="shared" si="306"/>
        <v>-0.99759820354213335</v>
      </c>
      <c r="F513" s="1">
        <f t="shared" si="306"/>
        <v>-1.0532014842589219</v>
      </c>
      <c r="G513" s="1">
        <f t="shared" si="306"/>
        <v>-1.1150146642150285</v>
      </c>
      <c r="H513" s="1">
        <f t="shared" si="306"/>
        <v>-1.1823905439163709</v>
      </c>
      <c r="I513" s="1">
        <f t="shared" si="306"/>
        <v>-1.2583083993036077</v>
      </c>
      <c r="J513" s="1">
        <f t="shared" si="306"/>
        <v>-1.3444786386228555</v>
      </c>
      <c r="K513" s="1">
        <f t="shared" si="306"/>
        <v>-1.443094333076002</v>
      </c>
      <c r="L513" s="1">
        <f t="shared" si="306"/>
        <v>-1.5570119096604689</v>
      </c>
      <c r="M513" s="1">
        <f t="shared" si="306"/>
        <v>-1.6900183793060601</v>
      </c>
      <c r="N513" s="1">
        <f t="shared" si="306"/>
        <v>-1.8472368964966286</v>
      </c>
      <c r="O513" s="1">
        <f t="shared" si="306"/>
        <v>-2.0324555595413338</v>
      </c>
      <c r="P513" s="1">
        <f t="shared" si="306"/>
        <v>-2.2570231718474361</v>
      </c>
      <c r="Q513" s="1">
        <f t="shared" si="306"/>
        <v>-2.5356547561363638</v>
      </c>
      <c r="R513" s="1">
        <f t="shared" si="306"/>
        <v>-2.8898565147410102</v>
      </c>
      <c r="S513" s="1">
        <f t="shared" si="306"/>
        <v>-3.3538592157523723</v>
      </c>
      <c r="T513" s="1">
        <f t="shared" si="306"/>
        <v>-3.9852759556275688</v>
      </c>
      <c r="U513" s="1">
        <f t="shared" si="306"/>
        <v>-4.8881235795982194</v>
      </c>
      <c r="V513" s="1">
        <f t="shared" si="306"/>
        <v>-6.2680255631605615</v>
      </c>
      <c r="W513" s="1">
        <f t="shared" si="306"/>
        <v>-8.5669748606101166</v>
      </c>
      <c r="X513" s="1">
        <f t="shared" si="306"/>
        <v>-13.010340198742272</v>
      </c>
      <c r="Y513" s="1">
        <f t="shared" si="306"/>
        <v>-24.000551538532431</v>
      </c>
      <c r="Z513" s="1">
        <f t="shared" si="306"/>
        <v>-78.796709354718672</v>
      </c>
      <c r="AA513" s="1">
        <f t="shared" si="306"/>
        <v>78.787283036502458</v>
      </c>
      <c r="AB513" s="1">
        <f t="shared" si="306"/>
        <v>23.953235599917864</v>
      </c>
      <c r="AC513" s="1">
        <f t="shared" si="306"/>
        <v>12.94803923940098</v>
      </c>
      <c r="AD513" s="1">
        <f t="shared" si="306"/>
        <v>8.5008992260447975</v>
      </c>
      <c r="AE513" s="1">
        <f t="shared" si="306"/>
        <v>6.1881576936795595</v>
      </c>
      <c r="AF513" s="1">
        <f t="shared" si="306"/>
        <v>4.8146459353388353</v>
      </c>
      <c r="AG513" s="1">
        <f t="shared" si="306"/>
        <v>3.9184410816056006</v>
      </c>
      <c r="AH513" s="1">
        <f t="shared" si="306"/>
        <v>3.2930961609647182</v>
      </c>
      <c r="AI513" s="1">
        <f t="shared" si="306"/>
        <v>2.8344185902173513</v>
      </c>
      <c r="AJ513" s="1">
        <f t="shared" si="306"/>
        <v>2.4848278815266549</v>
      </c>
      <c r="AK513" s="1">
        <f t="shared" si="306"/>
        <v>2.210183075684673</v>
      </c>
      <c r="AL513" s="1">
        <f t="shared" si="306"/>
        <v>1.9840123920597807</v>
      </c>
      <c r="AM513" s="1">
        <f t="shared" si="306"/>
        <v>1.7982789060410931</v>
      </c>
      <c r="AN513" s="1">
        <f t="shared" si="306"/>
        <v>1.643639550622366</v>
      </c>
      <c r="AO513" s="1">
        <f t="shared" si="306"/>
        <v>1.5130043902198043</v>
      </c>
    </row>
    <row r="514" spans="2:41">
      <c r="B514" s="1">
        <f t="shared" ref="B514:AO514" si="307">-1/B318*(1+B269/SQRT(B269^2+B318^2))</f>
        <v>-0.82548180815554428</v>
      </c>
      <c r="C514" s="1">
        <f t="shared" si="307"/>
        <v>-0.863388973824884</v>
      </c>
      <c r="D514" s="1">
        <f t="shared" si="307"/>
        <v>-0.90489172412546892</v>
      </c>
      <c r="E514" s="1">
        <f t="shared" si="307"/>
        <v>-0.95051974271819439</v>
      </c>
      <c r="F514" s="1">
        <f t="shared" si="307"/>
        <v>-1.0009106991004406</v>
      </c>
      <c r="G514" s="1">
        <f t="shared" si="307"/>
        <v>-1.0566334216469653</v>
      </c>
      <c r="H514" s="1">
        <f t="shared" si="307"/>
        <v>-1.1170069329446022</v>
      </c>
      <c r="I514" s="1">
        <f t="shared" si="307"/>
        <v>-1.1845999633695092</v>
      </c>
      <c r="J514" s="1">
        <f t="shared" si="307"/>
        <v>-1.2607721226287729</v>
      </c>
      <c r="K514" s="1">
        <f t="shared" si="307"/>
        <v>-1.3472426965375182</v>
      </c>
      <c r="L514" s="1">
        <f t="shared" si="307"/>
        <v>-1.4462164123546772</v>
      </c>
      <c r="M514" s="1">
        <f t="shared" si="307"/>
        <v>-1.560565224559886</v>
      </c>
      <c r="N514" s="1">
        <f t="shared" si="307"/>
        <v>-1.6940971600859036</v>
      </c>
      <c r="O514" s="1">
        <f t="shared" si="307"/>
        <v>-1.8491485578244651</v>
      </c>
      <c r="P514" s="1">
        <f t="shared" si="307"/>
        <v>-2.0340233256982794</v>
      </c>
      <c r="Q514" s="1">
        <f t="shared" si="307"/>
        <v>-2.2588870090920365</v>
      </c>
      <c r="R514" s="1">
        <f t="shared" si="307"/>
        <v>-2.5379046990478145</v>
      </c>
      <c r="S514" s="1">
        <f t="shared" si="307"/>
        <v>-2.8926216794339821</v>
      </c>
      <c r="T514" s="1">
        <f t="shared" si="307"/>
        <v>-3.3573302428065426</v>
      </c>
      <c r="U514" s="1">
        <f t="shared" si="307"/>
        <v>-3.9897432436404081</v>
      </c>
      <c r="V514" s="1">
        <f t="shared" si="307"/>
        <v>-4.894042936807085</v>
      </c>
      <c r="W514" s="1">
        <f t="shared" si="307"/>
        <v>-6.2639674176138991</v>
      </c>
      <c r="X514" s="1">
        <f t="shared" si="307"/>
        <v>-8.5612189115770896</v>
      </c>
      <c r="Y514" s="1">
        <f t="shared" si="307"/>
        <v>-13.002118647224449</v>
      </c>
      <c r="Z514" s="1">
        <f t="shared" si="307"/>
        <v>-23.990132441950291</v>
      </c>
      <c r="AA514" s="1">
        <f t="shared" si="307"/>
        <v>-78.79043722407549</v>
      </c>
      <c r="AB514" s="1">
        <f t="shared" si="307"/>
        <v>78.780938110674626</v>
      </c>
      <c r="AC514" s="1">
        <f t="shared" si="307"/>
        <v>23.942569438564089</v>
      </c>
      <c r="AD514" s="1">
        <f t="shared" si="307"/>
        <v>12.932348488269923</v>
      </c>
      <c r="AE514" s="1">
        <f t="shared" si="307"/>
        <v>8.4649315755601862</v>
      </c>
      <c r="AF514" s="1">
        <f t="shared" si="307"/>
        <v>6.1627625560453181</v>
      </c>
      <c r="AG514" s="1">
        <f t="shared" si="307"/>
        <v>4.7961722343756881</v>
      </c>
      <c r="AH514" s="1">
        <f t="shared" si="307"/>
        <v>3.9045498218294661</v>
      </c>
      <c r="AI514" s="1">
        <f t="shared" si="307"/>
        <v>3.2823340218859198</v>
      </c>
      <c r="AJ514" s="1">
        <f t="shared" si="307"/>
        <v>2.825864972044593</v>
      </c>
      <c r="AK514" s="1">
        <f t="shared" si="307"/>
        <v>2.4778812586015255</v>
      </c>
      <c r="AL514" s="1">
        <f t="shared" si="307"/>
        <v>2.198403526012823</v>
      </c>
      <c r="AM514" s="1">
        <f t="shared" si="307"/>
        <v>1.9734644439259579</v>
      </c>
      <c r="AN514" s="1">
        <f t="shared" si="307"/>
        <v>1.7892921779255977</v>
      </c>
      <c r="AO514" s="1">
        <f t="shared" si="307"/>
        <v>1.6358966821897756</v>
      </c>
    </row>
    <row r="515" spans="2:41">
      <c r="B515" s="1">
        <f t="shared" ref="B515:AO515" si="308">-1/B319*(1+B270/SQRT(B270^2+B319^2))</f>
        <v>-0.79291735056365042</v>
      </c>
      <c r="C515" s="1">
        <f t="shared" si="308"/>
        <v>-0.82784580189617196</v>
      </c>
      <c r="D515" s="1">
        <f t="shared" si="308"/>
        <v>-0.86594760725743036</v>
      </c>
      <c r="E515" s="1">
        <f t="shared" si="308"/>
        <v>-0.90766980587630464</v>
      </c>
      <c r="F515" s="1">
        <f t="shared" si="308"/>
        <v>-0.95354643268627481</v>
      </c>
      <c r="G515" s="1">
        <f t="shared" si="308"/>
        <v>-1.0040335322526841</v>
      </c>
      <c r="H515" s="1">
        <f t="shared" si="308"/>
        <v>-1.0584380035852814</v>
      </c>
      <c r="I515" s="1">
        <f t="shared" si="308"/>
        <v>-1.1189981597334695</v>
      </c>
      <c r="J515" s="1">
        <f t="shared" si="308"/>
        <v>-1.1868080744744185</v>
      </c>
      <c r="K515" s="1">
        <f t="shared" si="308"/>
        <v>-1.2632341854311904</v>
      </c>
      <c r="L515" s="1">
        <f t="shared" si="308"/>
        <v>-1.3500046216886767</v>
      </c>
      <c r="M515" s="1">
        <f t="shared" si="308"/>
        <v>-1.4493357154986262</v>
      </c>
      <c r="N515" s="1">
        <f t="shared" si="308"/>
        <v>-1.5641148711142103</v>
      </c>
      <c r="O515" s="1">
        <f t="shared" si="308"/>
        <v>-1.6957444359146558</v>
      </c>
      <c r="P515" s="1">
        <f t="shared" si="308"/>
        <v>-1.8504841732693007</v>
      </c>
      <c r="Q515" s="1">
        <f t="shared" si="308"/>
        <v>-2.0355903519970493</v>
      </c>
      <c r="R515" s="1">
        <f t="shared" si="308"/>
        <v>-2.2607497932992278</v>
      </c>
      <c r="S515" s="1">
        <f t="shared" si="308"/>
        <v>-2.5401530952073634</v>
      </c>
      <c r="T515" s="1">
        <f t="shared" si="308"/>
        <v>-2.8953844859444309</v>
      </c>
      <c r="U515" s="1">
        <f t="shared" si="308"/>
        <v>-3.3607975110421453</v>
      </c>
      <c r="V515" s="1">
        <f t="shared" si="308"/>
        <v>-3.9942042110814069</v>
      </c>
      <c r="W515" s="1">
        <f t="shared" si="308"/>
        <v>-4.8910846734931468</v>
      </c>
      <c r="X515" s="1">
        <f t="shared" si="308"/>
        <v>-6.2599037974519822</v>
      </c>
      <c r="Y515" s="1">
        <f t="shared" si="308"/>
        <v>-8.5554514124331753</v>
      </c>
      <c r="Z515" s="1">
        <f t="shared" si="308"/>
        <v>-12.99387099027849</v>
      </c>
      <c r="AA515" s="1">
        <f t="shared" si="308"/>
        <v>-23.97965901267132</v>
      </c>
      <c r="AB515" s="1">
        <f t="shared" si="308"/>
        <v>-78.784116685907705</v>
      </c>
      <c r="AC515" s="1">
        <f t="shared" si="308"/>
        <v>78.774544037904391</v>
      </c>
      <c r="AD515" s="1">
        <f t="shared" si="308"/>
        <v>23.922568694968813</v>
      </c>
      <c r="AE515" s="1">
        <f t="shared" si="308"/>
        <v>12.880457837274326</v>
      </c>
      <c r="AF515" s="1">
        <f t="shared" si="308"/>
        <v>8.4285333056360212</v>
      </c>
      <c r="AG515" s="1">
        <f t="shared" si="308"/>
        <v>6.137167985244524</v>
      </c>
      <c r="AH515" s="1">
        <f t="shared" si="308"/>
        <v>4.7775980195545786</v>
      </c>
      <c r="AI515" s="1">
        <f t="shared" si="308"/>
        <v>3.8906037939334013</v>
      </c>
      <c r="AJ515" s="1">
        <f t="shared" si="308"/>
        <v>3.2715400115927413</v>
      </c>
      <c r="AK515" s="1">
        <f t="shared" si="308"/>
        <v>2.81729177036196</v>
      </c>
      <c r="AL515" s="1">
        <f t="shared" si="308"/>
        <v>2.4636108632127192</v>
      </c>
      <c r="AM515" s="1">
        <f t="shared" si="308"/>
        <v>2.185823782592708</v>
      </c>
      <c r="AN515" s="1">
        <f t="shared" si="308"/>
        <v>1.9628900919477061</v>
      </c>
      <c r="AO515" s="1">
        <f t="shared" si="308"/>
        <v>1.7802872438230517</v>
      </c>
    </row>
    <row r="516" spans="2:41">
      <c r="B516" s="1">
        <f t="shared" ref="B516:AO516" si="309">-1/B320*(1+B271/SQRT(B271^2+B320^2))</f>
        <v>-0.76289044858441479</v>
      </c>
      <c r="C516" s="1">
        <f t="shared" si="309"/>
        <v>-0.79518280309940126</v>
      </c>
      <c r="D516" s="1">
        <f t="shared" si="309"/>
        <v>-0.83029043405532676</v>
      </c>
      <c r="E516" s="1">
        <f t="shared" si="309"/>
        <v>-0.86859332940257261</v>
      </c>
      <c r="F516" s="1">
        <f t="shared" si="309"/>
        <v>-0.91054221044316985</v>
      </c>
      <c r="G516" s="1">
        <f t="shared" si="309"/>
        <v>-0.95650474892118464</v>
      </c>
      <c r="H516" s="1">
        <f t="shared" si="309"/>
        <v>-1.0057902398065697</v>
      </c>
      <c r="I516" s="1">
        <f t="shared" si="309"/>
        <v>-1.0603675596781441</v>
      </c>
      <c r="J516" s="1">
        <f t="shared" si="309"/>
        <v>-1.1211271542524579</v>
      </c>
      <c r="K516" s="1">
        <f t="shared" si="309"/>
        <v>-1.1891687868425831</v>
      </c>
      <c r="L516" s="1">
        <f t="shared" si="309"/>
        <v>-1.2658661730141043</v>
      </c>
      <c r="M516" s="1">
        <f t="shared" si="309"/>
        <v>-1.3529568636562059</v>
      </c>
      <c r="N516" s="1">
        <f t="shared" si="309"/>
        <v>-1.4526695484559762</v>
      </c>
      <c r="O516" s="1">
        <f t="shared" si="309"/>
        <v>-1.5657960524898438</v>
      </c>
      <c r="P516" s="1">
        <f t="shared" si="309"/>
        <v>-1.6971796042817195</v>
      </c>
      <c r="Q516" s="1">
        <f t="shared" si="309"/>
        <v>-1.852148891247174</v>
      </c>
      <c r="R516" s="1">
        <f t="shared" si="309"/>
        <v>-2.0375433422012699</v>
      </c>
      <c r="S516" s="1">
        <f t="shared" si="309"/>
        <v>-2.2630711435243316</v>
      </c>
      <c r="T516" s="1">
        <f t="shared" si="309"/>
        <v>-2.5429545967699174</v>
      </c>
      <c r="U516" s="1">
        <f t="shared" si="309"/>
        <v>-2.8988262998966148</v>
      </c>
      <c r="V516" s="1">
        <f t="shared" si="309"/>
        <v>-3.3651157980306738</v>
      </c>
      <c r="W516" s="1">
        <f t="shared" si="309"/>
        <v>-3.9930760427997045</v>
      </c>
      <c r="X516" s="1">
        <f t="shared" si="309"/>
        <v>-4.8895865252106603</v>
      </c>
      <c r="Y516" s="1">
        <f t="shared" si="309"/>
        <v>-6.2578452616577849</v>
      </c>
      <c r="Z516" s="1">
        <f t="shared" si="309"/>
        <v>-8.5525282870968571</v>
      </c>
      <c r="AA516" s="1">
        <f t="shared" si="309"/>
        <v>-12.989687181502594</v>
      </c>
      <c r="AB516" s="1">
        <f t="shared" si="309"/>
        <v>-23.974337982830388</v>
      </c>
      <c r="AC516" s="1">
        <f t="shared" si="309"/>
        <v>-78.780899488126195</v>
      </c>
      <c r="AD516" s="1">
        <f t="shared" si="309"/>
        <v>78.76572118764058</v>
      </c>
      <c r="AE516" s="1">
        <f t="shared" si="309"/>
        <v>23.861373543584882</v>
      </c>
      <c r="AF516" s="1">
        <f t="shared" si="309"/>
        <v>12.83190265133709</v>
      </c>
      <c r="AG516" s="1">
        <f t="shared" si="309"/>
        <v>8.3947122404415371</v>
      </c>
      <c r="AH516" s="1">
        <f t="shared" si="309"/>
        <v>6.1134782035700717</v>
      </c>
      <c r="AI516" s="1">
        <f t="shared" si="309"/>
        <v>4.7604452954856216</v>
      </c>
      <c r="AJ516" s="1">
        <f t="shared" si="309"/>
        <v>3.8777432790171908</v>
      </c>
      <c r="AK516" s="1">
        <f t="shared" si="309"/>
        <v>3.2615953907537181</v>
      </c>
      <c r="AL516" s="1">
        <f t="shared" si="309"/>
        <v>2.8003687727488518</v>
      </c>
      <c r="AM516" s="1">
        <f t="shared" si="309"/>
        <v>2.4489301771197423</v>
      </c>
      <c r="AN516" s="1">
        <f t="shared" si="309"/>
        <v>2.1736770360026472</v>
      </c>
      <c r="AO516" s="1">
        <f t="shared" si="309"/>
        <v>1.9526857623223992</v>
      </c>
    </row>
    <row r="517" spans="2:41">
      <c r="B517" s="1">
        <f t="shared" ref="B517:AO517" si="310">-1/B321*(1+B272/SQRT(B272^2+B321^2))</f>
        <v>-0.73433527983632951</v>
      </c>
      <c r="C517" s="1">
        <f t="shared" si="310"/>
        <v>-0.76422618193552516</v>
      </c>
      <c r="D517" s="1">
        <f t="shared" si="310"/>
        <v>-0.79662019191590783</v>
      </c>
      <c r="E517" s="1">
        <f t="shared" si="310"/>
        <v>-0.8318414260526189</v>
      </c>
      <c r="F517" s="1">
        <f t="shared" si="310"/>
        <v>-0.87027180000513005</v>
      </c>
      <c r="G517" s="1">
        <f t="shared" si="310"/>
        <v>-0.91220760316904193</v>
      </c>
      <c r="H517" s="1">
        <f t="shared" si="310"/>
        <v>-0.95696776471423928</v>
      </c>
      <c r="I517" s="1">
        <f t="shared" si="310"/>
        <v>-1.0062967045274178</v>
      </c>
      <c r="J517" s="1">
        <f t="shared" si="310"/>
        <v>-1.0609238371845211</v>
      </c>
      <c r="K517" s="1">
        <f t="shared" si="310"/>
        <v>-1.1217409027138603</v>
      </c>
      <c r="L517" s="1">
        <f t="shared" si="310"/>
        <v>-1.1898493016440612</v>
      </c>
      <c r="M517" s="1">
        <f t="shared" si="310"/>
        <v>-1.2666248432854996</v>
      </c>
      <c r="N517" s="1">
        <f t="shared" si="310"/>
        <v>-1.3538077881861361</v>
      </c>
      <c r="O517" s="1">
        <f t="shared" si="310"/>
        <v>-1.4517745949627814</v>
      </c>
      <c r="P517" s="1">
        <f t="shared" si="310"/>
        <v>-1.5643456163702474</v>
      </c>
      <c r="Q517" s="1">
        <f t="shared" si="310"/>
        <v>-1.6955137307072532</v>
      </c>
      <c r="R517" s="1">
        <f t="shared" si="310"/>
        <v>-1.8502165565106623</v>
      </c>
      <c r="S517" s="1">
        <f t="shared" si="310"/>
        <v>-2.0352763766359319</v>
      </c>
      <c r="T517" s="1">
        <f t="shared" si="310"/>
        <v>-2.2603765726905811</v>
      </c>
      <c r="U517" s="1">
        <f t="shared" si="310"/>
        <v>-2.539702636937061</v>
      </c>
      <c r="V517" s="1">
        <f t="shared" si="310"/>
        <v>-2.8948310040871381</v>
      </c>
      <c r="W517" s="1">
        <f t="shared" si="310"/>
        <v>-3.3548995229721617</v>
      </c>
      <c r="X517" s="1">
        <f t="shared" si="310"/>
        <v>-3.9799050947144101</v>
      </c>
      <c r="Y517" s="1">
        <f t="shared" si="310"/>
        <v>-4.8720825000782417</v>
      </c>
      <c r="Z517" s="1">
        <f t="shared" si="310"/>
        <v>-6.2337638592298177</v>
      </c>
      <c r="AA517" s="1">
        <f t="shared" si="310"/>
        <v>-8.5182607322073221</v>
      </c>
      <c r="AB517" s="1">
        <f t="shared" si="310"/>
        <v>-12.940456581941248</v>
      </c>
      <c r="AC517" s="1">
        <f t="shared" si="310"/>
        <v>-23.911312059914941</v>
      </c>
      <c r="AD517" s="1">
        <f t="shared" si="310"/>
        <v>-78.736718281481544</v>
      </c>
      <c r="AE517" s="1">
        <f t="shared" si="310"/>
        <v>78.691387750515943</v>
      </c>
      <c r="AF517" s="1">
        <f t="shared" si="310"/>
        <v>23.735773125931864</v>
      </c>
      <c r="AG517" s="1">
        <f t="shared" si="310"/>
        <v>12.733993669443644</v>
      </c>
      <c r="AH517" s="1">
        <f t="shared" si="310"/>
        <v>8.3271929756757999</v>
      </c>
      <c r="AI517" s="1">
        <f t="shared" si="310"/>
        <v>6.0664448559073341</v>
      </c>
      <c r="AJ517" s="1">
        <f t="shared" si="310"/>
        <v>4.7264995756916273</v>
      </c>
      <c r="AK517" s="1">
        <f t="shared" si="310"/>
        <v>3.8523423886137511</v>
      </c>
      <c r="AL517" s="1">
        <f t="shared" si="310"/>
        <v>3.2305386676661412</v>
      </c>
      <c r="AM517" s="1">
        <f t="shared" si="310"/>
        <v>2.7745426616942632</v>
      </c>
      <c r="AN517" s="1">
        <f t="shared" si="310"/>
        <v>2.4279634615736936</v>
      </c>
      <c r="AO517" s="1">
        <f t="shared" si="310"/>
        <v>2.15634503809253</v>
      </c>
    </row>
    <row r="518" spans="2:41">
      <c r="B518" s="1">
        <f t="shared" ref="B518:AO518" si="311">-1/B322*(1+B273/SQRT(B273^2+B322^2))</f>
        <v>-0.70762439852455772</v>
      </c>
      <c r="C518" s="1">
        <f t="shared" si="311"/>
        <v>-0.7353565011703026</v>
      </c>
      <c r="D518" s="1">
        <f t="shared" si="311"/>
        <v>-0.76532230660476819</v>
      </c>
      <c r="E518" s="1">
        <f t="shared" si="311"/>
        <v>-0.79779969649168891</v>
      </c>
      <c r="F518" s="1">
        <f t="shared" si="311"/>
        <v>-0.8331141027797101</v>
      </c>
      <c r="G518" s="1">
        <f t="shared" si="311"/>
        <v>-0.87150466590778009</v>
      </c>
      <c r="H518" s="1">
        <f t="shared" si="311"/>
        <v>-0.91230605522825525</v>
      </c>
      <c r="I518" s="1">
        <f t="shared" si="311"/>
        <v>-0.95707504836253299</v>
      </c>
      <c r="J518" s="1">
        <f t="shared" si="311"/>
        <v>-1.006414054548284</v>
      </c>
      <c r="K518" s="1">
        <f t="shared" si="311"/>
        <v>-1.0610527277484565</v>
      </c>
      <c r="L518" s="1">
        <f t="shared" si="311"/>
        <v>-1.1218831077500069</v>
      </c>
      <c r="M518" s="1">
        <f t="shared" si="311"/>
        <v>-1.1900069742320853</v>
      </c>
      <c r="N518" s="1">
        <f t="shared" si="311"/>
        <v>-1.2668006213444489</v>
      </c>
      <c r="O518" s="1">
        <f t="shared" si="311"/>
        <v>-1.3523615526042012</v>
      </c>
      <c r="P518" s="1">
        <f t="shared" si="311"/>
        <v>-1.4497613785950396</v>
      </c>
      <c r="Q518" s="1">
        <f t="shared" si="311"/>
        <v>-1.5620532396912543</v>
      </c>
      <c r="R518" s="1">
        <f t="shared" si="311"/>
        <v>-1.6928806340975746</v>
      </c>
      <c r="S518" s="1">
        <f t="shared" si="311"/>
        <v>-1.8471619617247865</v>
      </c>
      <c r="T518" s="1">
        <f t="shared" si="311"/>
        <v>-2.0316923194296459</v>
      </c>
      <c r="U518" s="1">
        <f t="shared" si="311"/>
        <v>-2.2561157320352563</v>
      </c>
      <c r="V518" s="1">
        <f t="shared" si="311"/>
        <v>-2.5345592350110469</v>
      </c>
      <c r="W518" s="1">
        <f t="shared" si="311"/>
        <v>-2.8843561058906722</v>
      </c>
      <c r="X518" s="1">
        <f t="shared" si="311"/>
        <v>-3.3417277081412102</v>
      </c>
      <c r="Y518" s="1">
        <f t="shared" si="311"/>
        <v>-3.9629054207400785</v>
      </c>
      <c r="Z518" s="1">
        <f t="shared" si="311"/>
        <v>-4.8494532088357456</v>
      </c>
      <c r="AA518" s="1">
        <f t="shared" si="311"/>
        <v>-6.2025502418330589</v>
      </c>
      <c r="AB518" s="1">
        <f t="shared" si="311"/>
        <v>-8.4736480745937968</v>
      </c>
      <c r="AC518" s="1">
        <f t="shared" si="311"/>
        <v>-12.875855514588178</v>
      </c>
      <c r="AD518" s="1">
        <f t="shared" si="311"/>
        <v>-23.817691120879285</v>
      </c>
      <c r="AE518" s="1">
        <f t="shared" si="311"/>
        <v>-78.647381633136078</v>
      </c>
      <c r="AF518" s="1">
        <f t="shared" si="311"/>
        <v>78.59720208841479</v>
      </c>
      <c r="AG518" s="1">
        <f t="shared" si="311"/>
        <v>23.581631520988047</v>
      </c>
      <c r="AH518" s="1">
        <f t="shared" si="311"/>
        <v>12.61690684461054</v>
      </c>
      <c r="AI518" s="1">
        <f t="shared" si="311"/>
        <v>8.2475970694082239</v>
      </c>
      <c r="AJ518" s="1">
        <f t="shared" si="311"/>
        <v>6.011429990101135</v>
      </c>
      <c r="AK518" s="1">
        <f t="shared" si="311"/>
        <v>4.6869718302610295</v>
      </c>
      <c r="AL518" s="1">
        <f t="shared" si="311"/>
        <v>3.8079009555234773</v>
      </c>
      <c r="AM518" s="1">
        <f t="shared" si="311"/>
        <v>3.194739936939039</v>
      </c>
      <c r="AN518" s="1">
        <f t="shared" si="311"/>
        <v>2.7461489162314732</v>
      </c>
      <c r="AO518" s="1">
        <f t="shared" si="311"/>
        <v>2.4049462503351355</v>
      </c>
    </row>
    <row r="519" spans="2:41">
      <c r="B519" s="1">
        <f t="shared" ref="B519:AO519" si="312">-1/B323*(1+B274/SQRT(B274^2+B323^2))</f>
        <v>-0.68277980365422131</v>
      </c>
      <c r="C519" s="1">
        <f t="shared" si="312"/>
        <v>-0.70857791325487507</v>
      </c>
      <c r="D519" s="1">
        <f t="shared" si="312"/>
        <v>-0.73637750857854323</v>
      </c>
      <c r="E519" s="1">
        <f t="shared" si="312"/>
        <v>-0.7664181713277719</v>
      </c>
      <c r="F519" s="1">
        <f t="shared" si="312"/>
        <v>-0.79897888443459963</v>
      </c>
      <c r="G519" s="1">
        <f t="shared" si="312"/>
        <v>-0.83425303550013696</v>
      </c>
      <c r="H519" s="1">
        <f t="shared" si="312"/>
        <v>-0.87159532615358859</v>
      </c>
      <c r="I519" s="1">
        <f t="shared" si="312"/>
        <v>-0.91240450481607771</v>
      </c>
      <c r="J519" s="1">
        <f t="shared" si="312"/>
        <v>-0.95718232901345535</v>
      </c>
      <c r="K519" s="1">
        <f t="shared" si="312"/>
        <v>-1.0065314009076163</v>
      </c>
      <c r="L519" s="1">
        <f t="shared" si="312"/>
        <v>-1.0611816138040553</v>
      </c>
      <c r="M519" s="1">
        <f t="shared" si="312"/>
        <v>-1.1220253071866519</v>
      </c>
      <c r="N519" s="1">
        <f t="shared" si="312"/>
        <v>-1.1901646397981174</v>
      </c>
      <c r="O519" s="1">
        <f t="shared" si="312"/>
        <v>-1.2655112605427277</v>
      </c>
      <c r="P519" s="1">
        <f t="shared" si="312"/>
        <v>-1.3505788869093303</v>
      </c>
      <c r="Q519" s="1">
        <f t="shared" si="312"/>
        <v>-1.4477469790861637</v>
      </c>
      <c r="R519" s="1">
        <f t="shared" si="312"/>
        <v>-1.5597593206282896</v>
      </c>
      <c r="S519" s="1">
        <f t="shared" si="312"/>
        <v>-1.6902454908691251</v>
      </c>
      <c r="T519" s="1">
        <f t="shared" si="312"/>
        <v>-1.8441045958355908</v>
      </c>
      <c r="U519" s="1">
        <f t="shared" si="312"/>
        <v>-2.0281044219997395</v>
      </c>
      <c r="V519" s="1">
        <f t="shared" si="312"/>
        <v>-2.2518494241677929</v>
      </c>
      <c r="W519" s="1">
        <f t="shared" si="312"/>
        <v>-2.5260236533151526</v>
      </c>
      <c r="X519" s="1">
        <f t="shared" si="312"/>
        <v>-2.8738478073769933</v>
      </c>
      <c r="Y519" s="1">
        <f t="shared" si="312"/>
        <v>-3.3285028876324532</v>
      </c>
      <c r="Z519" s="1">
        <f t="shared" si="312"/>
        <v>-3.9458168173569463</v>
      </c>
      <c r="AA519" s="1">
        <f t="shared" si="312"/>
        <v>-4.8266642157450868</v>
      </c>
      <c r="AB519" s="1">
        <f t="shared" si="312"/>
        <v>-6.1710251453236973</v>
      </c>
      <c r="AC519" s="1">
        <f t="shared" si="312"/>
        <v>-8.4283675761083146</v>
      </c>
      <c r="AD519" s="1">
        <f t="shared" si="312"/>
        <v>-12.802077114999529</v>
      </c>
      <c r="AE519" s="1">
        <f t="shared" si="312"/>
        <v>-23.669223290538689</v>
      </c>
      <c r="AF519" s="1">
        <f t="shared" si="312"/>
        <v>-78.548409509349057</v>
      </c>
      <c r="AG519" s="1">
        <f t="shared" si="312"/>
        <v>78.492678835860445</v>
      </c>
      <c r="AH519" s="1">
        <f t="shared" si="312"/>
        <v>23.416750691374016</v>
      </c>
      <c r="AI519" s="1">
        <f t="shared" si="312"/>
        <v>12.495196211870208</v>
      </c>
      <c r="AJ519" s="1">
        <f t="shared" si="312"/>
        <v>8.1661226900119726</v>
      </c>
      <c r="AK519" s="1">
        <f t="shared" si="312"/>
        <v>5.9555801343663086</v>
      </c>
      <c r="AL519" s="1">
        <f t="shared" si="312"/>
        <v>4.6267578684177391</v>
      </c>
      <c r="AM519" s="1">
        <f t="shared" si="312"/>
        <v>3.7610559873006135</v>
      </c>
      <c r="AN519" s="1">
        <f t="shared" si="312"/>
        <v>3.1586415757207327</v>
      </c>
      <c r="AO519" s="1">
        <f t="shared" si="312"/>
        <v>2.7175773582600966</v>
      </c>
    </row>
    <row r="520" spans="2:41">
      <c r="B520" s="1">
        <f t="shared" ref="B520:AO520" si="313">-1/B324*(1+B275/SQRT(B275^2+B324^2))</f>
        <v>-0.65961324897156781</v>
      </c>
      <c r="C520" s="1">
        <f t="shared" si="313"/>
        <v>-0.68367211077804546</v>
      </c>
      <c r="D520" s="1">
        <f t="shared" si="313"/>
        <v>-0.70953124599317341</v>
      </c>
      <c r="E520" s="1">
        <f t="shared" si="313"/>
        <v>-0.73739829562336989</v>
      </c>
      <c r="F520" s="1">
        <f t="shared" si="313"/>
        <v>-0.76751376870360566</v>
      </c>
      <c r="G520" s="1">
        <f t="shared" si="313"/>
        <v>-0.80003418118374969</v>
      </c>
      <c r="H520" s="1">
        <f t="shared" si="313"/>
        <v>-0.83433678956142721</v>
      </c>
      <c r="I520" s="1">
        <f t="shared" si="313"/>
        <v>-0.87168598434496081</v>
      </c>
      <c r="J520" s="1">
        <f t="shared" si="313"/>
        <v>-0.91250295192862019</v>
      </c>
      <c r="K520" s="1">
        <f t="shared" si="313"/>
        <v>-0.95728960666240259</v>
      </c>
      <c r="L520" s="1">
        <f t="shared" si="313"/>
        <v>-1.0066487435999283</v>
      </c>
      <c r="M520" s="1">
        <f t="shared" si="313"/>
        <v>-1.0613104953447283</v>
      </c>
      <c r="N520" s="1">
        <f t="shared" si="313"/>
        <v>-1.1221675010158179</v>
      </c>
      <c r="O520" s="1">
        <f t="shared" si="313"/>
        <v>-1.1890081591263866</v>
      </c>
      <c r="P520" s="1">
        <f t="shared" si="313"/>
        <v>-1.2639220552784469</v>
      </c>
      <c r="Q520" s="1">
        <f t="shared" si="313"/>
        <v>-1.3487953104385586</v>
      </c>
      <c r="R520" s="1">
        <f t="shared" si="313"/>
        <v>-1.4457314104745622</v>
      </c>
      <c r="S520" s="1">
        <f t="shared" si="313"/>
        <v>-1.5574638771844187</v>
      </c>
      <c r="T520" s="1">
        <f t="shared" si="313"/>
        <v>-1.6876083244514641</v>
      </c>
      <c r="U520" s="1">
        <f t="shared" si="313"/>
        <v>-1.8410444898303902</v>
      </c>
      <c r="V520" s="1">
        <f t="shared" si="313"/>
        <v>-2.0245127260540228</v>
      </c>
      <c r="W520" s="1">
        <f t="shared" si="313"/>
        <v>-2.2447721504418681</v>
      </c>
      <c r="X520" s="1">
        <f t="shared" si="313"/>
        <v>-2.5174664039339012</v>
      </c>
      <c r="Y520" s="1">
        <f t="shared" si="313"/>
        <v>-2.8633066310539843</v>
      </c>
      <c r="Z520" s="1">
        <f t="shared" si="313"/>
        <v>-3.3152258234001648</v>
      </c>
      <c r="AA520" s="1">
        <f t="shared" si="313"/>
        <v>-3.9286403963569239</v>
      </c>
      <c r="AB520" s="1">
        <f t="shared" si="313"/>
        <v>-4.8037170569863523</v>
      </c>
      <c r="AC520" s="1">
        <f t="shared" si="313"/>
        <v>-6.1391901085208449</v>
      </c>
      <c r="AD520" s="1">
        <f t="shared" si="313"/>
        <v>-8.3771488005606791</v>
      </c>
      <c r="AE520" s="1">
        <f t="shared" si="313"/>
        <v>-12.687706096000531</v>
      </c>
      <c r="AF520" s="1">
        <f t="shared" si="313"/>
        <v>-23.510454505753856</v>
      </c>
      <c r="AG520" s="1">
        <f t="shared" si="313"/>
        <v>-78.438395258873228</v>
      </c>
      <c r="AH520" s="1">
        <f t="shared" si="313"/>
        <v>78.376282637547021</v>
      </c>
      <c r="AI520" s="1">
        <f t="shared" si="313"/>
        <v>23.240307534541657</v>
      </c>
      <c r="AJ520" s="1">
        <f t="shared" si="313"/>
        <v>12.368746823087001</v>
      </c>
      <c r="AK520" s="1">
        <f t="shared" si="313"/>
        <v>8.0827735506459035</v>
      </c>
      <c r="AL520" s="1">
        <f t="shared" si="313"/>
        <v>5.8700482615111165</v>
      </c>
      <c r="AM520" s="1">
        <f t="shared" si="313"/>
        <v>4.5630438823410326</v>
      </c>
      <c r="AN520" s="1">
        <f t="shared" si="313"/>
        <v>3.7137051822875478</v>
      </c>
      <c r="AO520" s="1">
        <f t="shared" si="313"/>
        <v>3.1222610505038135</v>
      </c>
    </row>
    <row r="521" spans="2:41">
      <c r="B521" s="1">
        <f t="shared" ref="B521:AO521" si="314">-1/B325*(1+B276/SQRT(B276^2+B325^2))</f>
        <v>-0.63796089815930879</v>
      </c>
      <c r="C521" s="1">
        <f t="shared" si="314"/>
        <v>-0.66045004366085802</v>
      </c>
      <c r="D521" s="1">
        <f t="shared" si="314"/>
        <v>-0.68456426246927471</v>
      </c>
      <c r="E521" s="1">
        <f t="shared" si="314"/>
        <v>-0.7104843911202372</v>
      </c>
      <c r="F521" s="1">
        <f t="shared" si="314"/>
        <v>-0.73841885587409029</v>
      </c>
      <c r="G521" s="1">
        <f t="shared" si="314"/>
        <v>-0.7684942805331193</v>
      </c>
      <c r="H521" s="1">
        <f t="shared" si="314"/>
        <v>-0.8001117859451502</v>
      </c>
      <c r="I521" s="1">
        <f t="shared" si="314"/>
        <v>-0.83442054190447301</v>
      </c>
      <c r="J521" s="1">
        <f t="shared" si="314"/>
        <v>-0.87177664047858883</v>
      </c>
      <c r="K521" s="1">
        <f t="shared" si="314"/>
        <v>-0.91260139656199257</v>
      </c>
      <c r="L521" s="1">
        <f t="shared" si="314"/>
        <v>-0.95739688130477119</v>
      </c>
      <c r="M521" s="1">
        <f t="shared" si="314"/>
        <v>-1.0067660826197324</v>
      </c>
      <c r="N521" s="1">
        <f t="shared" si="314"/>
        <v>-1.0614393723638862</v>
      </c>
      <c r="O521" s="1">
        <f t="shared" si="314"/>
        <v>-1.1211245227175668</v>
      </c>
      <c r="P521" s="1">
        <f t="shared" si="314"/>
        <v>-1.1875828053892568</v>
      </c>
      <c r="Q521" s="1">
        <f t="shared" si="314"/>
        <v>-1.262332139438098</v>
      </c>
      <c r="R521" s="1">
        <f t="shared" si="314"/>
        <v>-1.347010834315677</v>
      </c>
      <c r="S521" s="1">
        <f t="shared" si="314"/>
        <v>-1.4437146868411794</v>
      </c>
      <c r="T521" s="1">
        <f t="shared" si="314"/>
        <v>-1.5551669274255986</v>
      </c>
      <c r="U521" s="1">
        <f t="shared" si="314"/>
        <v>-1.6849691583695365</v>
      </c>
      <c r="V521" s="1">
        <f t="shared" si="314"/>
        <v>-1.8379816748453999</v>
      </c>
      <c r="W521" s="1">
        <f t="shared" si="314"/>
        <v>-2.0185563015726293</v>
      </c>
      <c r="X521" s="1">
        <f t="shared" si="314"/>
        <v>-2.2376803013494855</v>
      </c>
      <c r="Y521" s="1">
        <f t="shared" si="314"/>
        <v>-2.5088878563620254</v>
      </c>
      <c r="Z521" s="1">
        <f t="shared" si="314"/>
        <v>-2.852733109091643</v>
      </c>
      <c r="AA521" s="1">
        <f t="shared" si="314"/>
        <v>-3.3018972962126778</v>
      </c>
      <c r="AB521" s="1">
        <f t="shared" si="314"/>
        <v>-3.9113773087795161</v>
      </c>
      <c r="AC521" s="1">
        <f t="shared" si="314"/>
        <v>-4.7806133570032205</v>
      </c>
      <c r="AD521" s="1">
        <f t="shared" si="314"/>
        <v>-6.1033718852067409</v>
      </c>
      <c r="AE521" s="1">
        <f t="shared" si="314"/>
        <v>-8.2987548846213404</v>
      </c>
      <c r="AF521" s="1">
        <f t="shared" si="314"/>
        <v>-12.5687840789269</v>
      </c>
      <c r="AG521" s="1">
        <f t="shared" si="314"/>
        <v>-23.34059072631408</v>
      </c>
      <c r="AH521" s="1">
        <f t="shared" si="314"/>
        <v>-78.31567229827337</v>
      </c>
      <c r="AI521" s="1">
        <f t="shared" si="314"/>
        <v>78.246189638182116</v>
      </c>
      <c r="AJ521" s="1">
        <f t="shared" si="314"/>
        <v>23.05142740913578</v>
      </c>
      <c r="AK521" s="1">
        <f t="shared" si="314"/>
        <v>12.237453370084594</v>
      </c>
      <c r="AL521" s="1">
        <f t="shared" si="314"/>
        <v>7.9539190356780809</v>
      </c>
      <c r="AM521" s="1">
        <f t="shared" si="314"/>
        <v>5.7789761884825701</v>
      </c>
      <c r="AN521" s="1">
        <f t="shared" si="314"/>
        <v>4.4984039698000542</v>
      </c>
      <c r="AO521" s="1">
        <f t="shared" si="314"/>
        <v>3.6658769869804706</v>
      </c>
    </row>
    <row r="522" spans="2:41">
      <c r="B522" s="1">
        <f t="shared" ref="B522:AO522" si="315">-1/B326*(1+B277/SQRT(B277^2+B326^2))</f>
        <v>-0.6176795039243077</v>
      </c>
      <c r="C522" s="1">
        <f t="shared" si="315"/>
        <v>-0.63874719200226449</v>
      </c>
      <c r="D522" s="1">
        <f t="shared" si="315"/>
        <v>-0.66128670512250909</v>
      </c>
      <c r="E522" s="1">
        <f t="shared" si="315"/>
        <v>-0.68545625380164465</v>
      </c>
      <c r="F522" s="1">
        <f t="shared" si="315"/>
        <v>-0.71143734302241013</v>
      </c>
      <c r="G522" s="1">
        <f t="shared" si="315"/>
        <v>-0.73933223199740461</v>
      </c>
      <c r="H522" s="1">
        <f t="shared" si="315"/>
        <v>-0.76856638661386034</v>
      </c>
      <c r="I522" s="1">
        <f t="shared" si="315"/>
        <v>-0.80018938926143723</v>
      </c>
      <c r="J522" s="1">
        <f t="shared" si="315"/>
        <v>-0.83450429252644431</v>
      </c>
      <c r="K522" s="1">
        <f t="shared" si="315"/>
        <v>-0.87186729455116552</v>
      </c>
      <c r="L522" s="1">
        <f t="shared" si="315"/>
        <v>-0.91269983871230609</v>
      </c>
      <c r="M522" s="1">
        <f t="shared" si="315"/>
        <v>-0.95750415293595825</v>
      </c>
      <c r="N522" s="1">
        <f t="shared" si="315"/>
        <v>-1.0068834179615438</v>
      </c>
      <c r="O522" s="1">
        <f t="shared" si="315"/>
        <v>-1.060494084607702</v>
      </c>
      <c r="P522" s="1">
        <f t="shared" si="315"/>
        <v>-1.1198391130315082</v>
      </c>
      <c r="Q522" s="1">
        <f t="shared" si="315"/>
        <v>-1.1861568905875768</v>
      </c>
      <c r="R522" s="1">
        <f t="shared" si="315"/>
        <v>-1.2607415219381275</v>
      </c>
      <c r="S522" s="1">
        <f t="shared" si="315"/>
        <v>-1.345225469693577</v>
      </c>
      <c r="T522" s="1">
        <f t="shared" si="315"/>
        <v>-1.4416968223090385</v>
      </c>
      <c r="U522" s="1">
        <f t="shared" si="315"/>
        <v>-1.552868489480026</v>
      </c>
      <c r="V522" s="1">
        <f t="shared" si="315"/>
        <v>-1.6823280162427301</v>
      </c>
      <c r="W522" s="1">
        <f t="shared" si="315"/>
        <v>-1.832903494112885</v>
      </c>
      <c r="X522" s="1">
        <f t="shared" si="315"/>
        <v>-2.0125897662203558</v>
      </c>
      <c r="Y522" s="1">
        <f t="shared" si="315"/>
        <v>-2.2305741420949721</v>
      </c>
      <c r="Z522" s="1">
        <f t="shared" si="315"/>
        <v>-2.5002883853038278</v>
      </c>
      <c r="AA522" s="1">
        <f t="shared" si="315"/>
        <v>-2.8421277832346257</v>
      </c>
      <c r="AB522" s="1">
        <f t="shared" si="315"/>
        <v>-3.2885181055433663</v>
      </c>
      <c r="AC522" s="1">
        <f t="shared" si="315"/>
        <v>-3.8940287448765027</v>
      </c>
      <c r="AD522" s="1">
        <f t="shared" si="315"/>
        <v>-4.7546999717164713</v>
      </c>
      <c r="AE522" s="1">
        <f t="shared" si="315"/>
        <v>-6.0489317052346161</v>
      </c>
      <c r="AF522" s="1">
        <f t="shared" si="315"/>
        <v>-8.2184826027674589</v>
      </c>
      <c r="AG522" s="1">
        <f t="shared" si="315"/>
        <v>-12.445191241383846</v>
      </c>
      <c r="AH522" s="1">
        <f t="shared" si="315"/>
        <v>-23.158786065507012</v>
      </c>
      <c r="AI522" s="1">
        <f t="shared" si="315"/>
        <v>-78.178255970052959</v>
      </c>
      <c r="AJ522" s="1">
        <f t="shared" si="315"/>
        <v>78.100221918724813</v>
      </c>
      <c r="AK522" s="1">
        <f t="shared" si="315"/>
        <v>22.849185765829088</v>
      </c>
      <c r="AL522" s="1">
        <f t="shared" si="315"/>
        <v>12.030684099316682</v>
      </c>
      <c r="AM522" s="1">
        <f t="shared" si="315"/>
        <v>7.8151737642249941</v>
      </c>
      <c r="AN522" s="1">
        <f t="shared" si="315"/>
        <v>5.6860184307252277</v>
      </c>
      <c r="AO522" s="1">
        <f t="shared" si="315"/>
        <v>4.4328865447421411</v>
      </c>
    </row>
    <row r="523" spans="2:41">
      <c r="B523" s="1">
        <f t="shared" ref="B523:AO523" si="316">-1/B327*(1+B278/SQRT(B278^2+B327^2))</f>
        <v>-0.59864328118548116</v>
      </c>
      <c r="C523" s="1">
        <f t="shared" si="316"/>
        <v>-0.61841972426115177</v>
      </c>
      <c r="D523" s="1">
        <f t="shared" si="316"/>
        <v>-0.63953337127245347</v>
      </c>
      <c r="E523" s="1">
        <f t="shared" si="316"/>
        <v>-0.66212322902000942</v>
      </c>
      <c r="F523" s="1">
        <f t="shared" si="316"/>
        <v>-0.68634807985334045</v>
      </c>
      <c r="G523" s="1">
        <f t="shared" si="316"/>
        <v>-0.71229022739989734</v>
      </c>
      <c r="H523" s="1">
        <f t="shared" si="316"/>
        <v>-0.73939940169776419</v>
      </c>
      <c r="I523" s="1">
        <f t="shared" si="316"/>
        <v>-0.76863849147294572</v>
      </c>
      <c r="J523" s="1">
        <f t="shared" si="316"/>
        <v>-0.80026699113017696</v>
      </c>
      <c r="K523" s="1">
        <f t="shared" si="316"/>
        <v>-0.83458804142451193</v>
      </c>
      <c r="L523" s="1">
        <f t="shared" si="316"/>
        <v>-0.87195794655938386</v>
      </c>
      <c r="M523" s="1">
        <f t="shared" si="316"/>
        <v>-0.91279827837567273</v>
      </c>
      <c r="N523" s="1">
        <f t="shared" si="316"/>
        <v>-0.95761142155136225</v>
      </c>
      <c r="O523" s="1">
        <f t="shared" si="316"/>
        <v>-1.0060227963196542</v>
      </c>
      <c r="P523" s="1">
        <f t="shared" si="316"/>
        <v>-1.05932911393729</v>
      </c>
      <c r="Q523" s="1">
        <f t="shared" si="316"/>
        <v>-1.1185532555438027</v>
      </c>
      <c r="R523" s="1">
        <f t="shared" si="316"/>
        <v>-1.1847304219446262</v>
      </c>
      <c r="S523" s="1">
        <f t="shared" si="316"/>
        <v>-1.259150211715282</v>
      </c>
      <c r="T523" s="1">
        <f t="shared" si="316"/>
        <v>-1.3434392277539231</v>
      </c>
      <c r="U523" s="1">
        <f t="shared" si="316"/>
        <v>-1.4396778310427802</v>
      </c>
      <c r="V523" s="1">
        <f t="shared" si="316"/>
        <v>-1.550568581537479</v>
      </c>
      <c r="W523" s="1">
        <f t="shared" si="316"/>
        <v>-1.6779497566769348</v>
      </c>
      <c r="X523" s="1">
        <f t="shared" si="316"/>
        <v>-1.8278181124424624</v>
      </c>
      <c r="Y523" s="1">
        <f t="shared" si="316"/>
        <v>-2.0066133137249107</v>
      </c>
      <c r="Z523" s="1">
        <f t="shared" si="316"/>
        <v>-2.2234539408288385</v>
      </c>
      <c r="AA523" s="1">
        <f t="shared" si="316"/>
        <v>-2.4916683706106899</v>
      </c>
      <c r="AB523" s="1">
        <f t="shared" si="316"/>
        <v>-2.831491204708612</v>
      </c>
      <c r="AC523" s="1">
        <f t="shared" si="316"/>
        <v>-3.2750890694473864</v>
      </c>
      <c r="AD523" s="1">
        <f t="shared" si="316"/>
        <v>-3.874608066821088</v>
      </c>
      <c r="AE523" s="1">
        <f t="shared" si="316"/>
        <v>-4.7154737529437529</v>
      </c>
      <c r="AF523" s="1">
        <f t="shared" si="316"/>
        <v>-5.9936482648819105</v>
      </c>
      <c r="AG523" s="1">
        <f t="shared" si="316"/>
        <v>-8.1363326270144523</v>
      </c>
      <c r="AH523" s="1">
        <f t="shared" si="316"/>
        <v>-12.316816257512562</v>
      </c>
      <c r="AI523" s="1">
        <f t="shared" si="316"/>
        <v>-22.964143629124532</v>
      </c>
      <c r="AJ523" s="1">
        <f t="shared" si="316"/>
        <v>-78.023770188500606</v>
      </c>
      <c r="AK523" s="1">
        <f t="shared" si="316"/>
        <v>77.935764530357758</v>
      </c>
      <c r="AL523" s="1">
        <f t="shared" si="316"/>
        <v>22.51773943421831</v>
      </c>
      <c r="AM523" s="1">
        <f t="shared" si="316"/>
        <v>11.802998322165246</v>
      </c>
      <c r="AN523" s="1">
        <f t="shared" si="316"/>
        <v>7.6719956299361831</v>
      </c>
      <c r="AO523" s="1">
        <f t="shared" si="316"/>
        <v>5.5912593199283975</v>
      </c>
    </row>
    <row r="524" spans="2:41">
      <c r="B524" s="1">
        <f t="shared" ref="B524:AO524" si="317">-1/B328*(1+B279/SQRT(B279^2+B328^2))</f>
        <v>-0.58073080463740911</v>
      </c>
      <c r="C524" s="1">
        <f t="shared" si="317"/>
        <v>-0.5993302105512317</v>
      </c>
      <c r="D524" s="1">
        <f t="shared" si="317"/>
        <v>-0.61914803154584708</v>
      </c>
      <c r="E524" s="1">
        <f t="shared" si="317"/>
        <v>-0.64030688471227426</v>
      </c>
      <c r="F524" s="1">
        <f t="shared" si="317"/>
        <v>-0.66294626047468297</v>
      </c>
      <c r="G524" s="1">
        <f t="shared" si="317"/>
        <v>-0.68713203755815244</v>
      </c>
      <c r="H524" s="1">
        <f t="shared" si="317"/>
        <v>-0.71233774122031157</v>
      </c>
      <c r="I524" s="1">
        <f t="shared" si="317"/>
        <v>-0.73945028421731729</v>
      </c>
      <c r="J524" s="1">
        <f t="shared" si="317"/>
        <v>-0.76869311241021687</v>
      </c>
      <c r="K524" s="1">
        <f t="shared" si="317"/>
        <v>-0.80032577607863353</v>
      </c>
      <c r="L524" s="1">
        <f t="shared" si="317"/>
        <v>-0.83465148276134693</v>
      </c>
      <c r="M524" s="1">
        <f t="shared" si="317"/>
        <v>-0.872026616997438</v>
      </c>
      <c r="N524" s="1">
        <f t="shared" si="317"/>
        <v>-0.91287284793151502</v>
      </c>
      <c r="O524" s="1">
        <f t="shared" si="317"/>
        <v>-0.95679863029430945</v>
      </c>
      <c r="P524" s="1">
        <f t="shared" si="317"/>
        <v>-1.0049337360198309</v>
      </c>
      <c r="Q524" s="1">
        <f t="shared" si="317"/>
        <v>-1.058132506896452</v>
      </c>
      <c r="R524" s="1">
        <f t="shared" si="317"/>
        <v>-1.1172324335158708</v>
      </c>
      <c r="S524" s="1">
        <f t="shared" si="317"/>
        <v>-1.1832651066445483</v>
      </c>
      <c r="T524" s="1">
        <f t="shared" si="317"/>
        <v>-1.2575154887522761</v>
      </c>
      <c r="U524" s="1">
        <f t="shared" si="317"/>
        <v>-1.3416041525423401</v>
      </c>
      <c r="V524" s="1">
        <f t="shared" si="317"/>
        <v>-1.4376035044985118</v>
      </c>
      <c r="W524" s="1">
        <f t="shared" si="317"/>
        <v>-1.5466947361182248</v>
      </c>
      <c r="X524" s="1">
        <f t="shared" si="317"/>
        <v>-1.6734951813471044</v>
      </c>
      <c r="Y524" s="1">
        <f t="shared" si="317"/>
        <v>-1.8226431026739076</v>
      </c>
      <c r="Z524" s="1">
        <f t="shared" si="317"/>
        <v>-2.0005300652897549</v>
      </c>
      <c r="AA524" s="1">
        <f t="shared" si="317"/>
        <v>-2.21620426340266</v>
      </c>
      <c r="AB524" s="1">
        <f t="shared" si="317"/>
        <v>-2.4828880347492208</v>
      </c>
      <c r="AC524" s="1">
        <f t="shared" si="317"/>
        <v>-2.8206508404168105</v>
      </c>
      <c r="AD524" s="1">
        <f t="shared" si="317"/>
        <v>-3.2598562605998684</v>
      </c>
      <c r="AE524" s="1">
        <f t="shared" si="317"/>
        <v>-3.8449982896153125</v>
      </c>
      <c r="AF524" s="1">
        <f t="shared" si="317"/>
        <v>-4.6754435599396755</v>
      </c>
      <c r="AG524" s="1">
        <f t="shared" si="317"/>
        <v>-5.9369857556807304</v>
      </c>
      <c r="AH524" s="1">
        <f t="shared" si="317"/>
        <v>-8.0514863948990563</v>
      </c>
      <c r="AI524" s="1">
        <f t="shared" si="317"/>
        <v>-12.182241593052691</v>
      </c>
      <c r="AJ524" s="1">
        <f t="shared" si="317"/>
        <v>-22.753625690613621</v>
      </c>
      <c r="AK524" s="1">
        <f t="shared" si="317"/>
        <v>-77.847554360117556</v>
      </c>
      <c r="AL524" s="1">
        <f t="shared" si="317"/>
        <v>77.644453321132232</v>
      </c>
      <c r="AM524" s="1">
        <f t="shared" si="317"/>
        <v>22.131492720664806</v>
      </c>
      <c r="AN524" s="1">
        <f t="shared" si="317"/>
        <v>11.561190212649043</v>
      </c>
      <c r="AO524" s="1">
        <f t="shared" si="317"/>
        <v>7.5235896855088731</v>
      </c>
    </row>
    <row r="525" spans="2:41">
      <c r="B525" s="1">
        <f t="shared" ref="B525:AO525" si="318">-1/B329*(1+B280/SQRT(B280^2+B329^2))</f>
        <v>-0.5637740049758605</v>
      </c>
      <c r="C525" s="1">
        <f t="shared" si="318"/>
        <v>-0.58129347212903704</v>
      </c>
      <c r="D525" s="1">
        <f t="shared" si="318"/>
        <v>-0.59992578936895447</v>
      </c>
      <c r="E525" s="1">
        <f t="shared" si="318"/>
        <v>-0.61977947660695842</v>
      </c>
      <c r="F525" s="1">
        <f t="shared" si="318"/>
        <v>-0.64097751297593841</v>
      </c>
      <c r="G525" s="1">
        <f t="shared" si="318"/>
        <v>-0.66357214857592262</v>
      </c>
      <c r="H525" s="1">
        <f t="shared" si="318"/>
        <v>-0.68705991559753143</v>
      </c>
      <c r="I525" s="1">
        <f t="shared" si="318"/>
        <v>-0.71226067894091183</v>
      </c>
      <c r="J525" s="1">
        <f t="shared" si="318"/>
        <v>-0.73936775824569501</v>
      </c>
      <c r="K525" s="1">
        <f t="shared" si="318"/>
        <v>-0.7686045230955173</v>
      </c>
      <c r="L525" s="1">
        <f t="shared" si="318"/>
        <v>-0.80023043314495113</v>
      </c>
      <c r="M525" s="1">
        <f t="shared" si="318"/>
        <v>-0.83454858761413631</v>
      </c>
      <c r="N525" s="1">
        <f t="shared" si="318"/>
        <v>-0.87191524074290128</v>
      </c>
      <c r="O525" s="1">
        <f t="shared" si="318"/>
        <v>-0.91193142303858044</v>
      </c>
      <c r="P525" s="1">
        <f t="shared" si="318"/>
        <v>-0.95558987974910692</v>
      </c>
      <c r="Q525" s="1">
        <f t="shared" si="318"/>
        <v>-1.0036111302309403</v>
      </c>
      <c r="R525" s="1">
        <f t="shared" si="318"/>
        <v>-1.0566792437129788</v>
      </c>
      <c r="S525" s="1">
        <f t="shared" si="318"/>
        <v>-1.1156282520252305</v>
      </c>
      <c r="T525" s="1">
        <f t="shared" si="318"/>
        <v>-1.1814853545424386</v>
      </c>
      <c r="U525" s="1">
        <f t="shared" si="318"/>
        <v>-1.2555298729594619</v>
      </c>
      <c r="V525" s="1">
        <f t="shared" si="318"/>
        <v>-1.3393750411175895</v>
      </c>
      <c r="W525" s="1">
        <f t="shared" si="318"/>
        <v>-1.433756702026534</v>
      </c>
      <c r="X525" s="1">
        <f t="shared" si="318"/>
        <v>-1.5423100791321733</v>
      </c>
      <c r="Y525" s="1">
        <f t="shared" si="318"/>
        <v>-1.6684524053166836</v>
      </c>
      <c r="Z525" s="1">
        <f t="shared" si="318"/>
        <v>-1.816783590789816</v>
      </c>
      <c r="AA525" s="1">
        <f t="shared" si="318"/>
        <v>-1.993640442487653</v>
      </c>
      <c r="AB525" s="1">
        <f t="shared" si="318"/>
        <v>-2.2079909272751936</v>
      </c>
      <c r="AC525" s="1">
        <f t="shared" si="318"/>
        <v>-2.4729363265724711</v>
      </c>
      <c r="AD525" s="1">
        <f t="shared" si="318"/>
        <v>-2.807138154704703</v>
      </c>
      <c r="AE525" s="1">
        <f t="shared" si="318"/>
        <v>-3.2351976692590632</v>
      </c>
      <c r="AF525" s="1">
        <f t="shared" si="318"/>
        <v>-3.8128018120741873</v>
      </c>
      <c r="AG525" s="1">
        <f t="shared" si="318"/>
        <v>-4.6317980294696781</v>
      </c>
      <c r="AH525" s="1">
        <f t="shared" si="318"/>
        <v>-5.8749322073750303</v>
      </c>
      <c r="AI525" s="1">
        <f t="shared" si="318"/>
        <v>-7.9578370096516551</v>
      </c>
      <c r="AJ525" s="1">
        <f t="shared" si="318"/>
        <v>-12.03139273579762</v>
      </c>
      <c r="AK525" s="1">
        <f t="shared" si="318"/>
        <v>-22.509615832169967</v>
      </c>
      <c r="AL525" s="1">
        <f t="shared" si="318"/>
        <v>-77.519293782888909</v>
      </c>
      <c r="AM525" s="1">
        <f t="shared" si="318"/>
        <v>77.251752947419277</v>
      </c>
      <c r="AN525" s="1">
        <f t="shared" si="318"/>
        <v>21.678720054675416</v>
      </c>
      <c r="AO525" s="1">
        <f t="shared" si="318"/>
        <v>11.293405081062676</v>
      </c>
    </row>
    <row r="526" spans="2:41">
      <c r="B526" s="1">
        <f t="shared" ref="B526:AO526" si="319">-1/B330*(1+B281/SQRT(B281^2+B330^2))</f>
        <v>-0.54779316821191115</v>
      </c>
      <c r="C526" s="1">
        <f t="shared" si="319"/>
        <v>-0.56432475901600243</v>
      </c>
      <c r="D526" s="1">
        <f t="shared" si="319"/>
        <v>-0.58187553397528147</v>
      </c>
      <c r="E526" s="1">
        <f t="shared" si="319"/>
        <v>-0.60054188927192587</v>
      </c>
      <c r="F526" s="1">
        <f t="shared" si="319"/>
        <v>-0.62043266954261012</v>
      </c>
      <c r="G526" s="1">
        <f t="shared" si="319"/>
        <v>-0.6415888526416399</v>
      </c>
      <c r="H526" s="1">
        <f t="shared" si="319"/>
        <v>-0.66352917262961941</v>
      </c>
      <c r="I526" s="1">
        <f t="shared" si="319"/>
        <v>-0.68701409223595677</v>
      </c>
      <c r="J526" s="1">
        <f t="shared" si="319"/>
        <v>-0.71221171664170779</v>
      </c>
      <c r="K526" s="1">
        <f t="shared" si="319"/>
        <v>-0.73931532446269799</v>
      </c>
      <c r="L526" s="1">
        <f t="shared" si="319"/>
        <v>-0.76854823681473206</v>
      </c>
      <c r="M526" s="1">
        <f t="shared" si="319"/>
        <v>-0.80016985576735755</v>
      </c>
      <c r="N526" s="1">
        <f t="shared" si="319"/>
        <v>-0.8344832117121741</v>
      </c>
      <c r="O526" s="1">
        <f t="shared" si="319"/>
        <v>-0.87108889871585438</v>
      </c>
      <c r="P526" s="1">
        <f t="shared" si="319"/>
        <v>-0.91086629128439744</v>
      </c>
      <c r="Q526" s="1">
        <f t="shared" si="319"/>
        <v>-0.95442885418169809</v>
      </c>
      <c r="R526" s="1">
        <f t="shared" si="319"/>
        <v>-1.0023407064909029</v>
      </c>
      <c r="S526" s="1">
        <f t="shared" si="319"/>
        <v>-1.0552832691366987</v>
      </c>
      <c r="T526" s="1">
        <f t="shared" si="319"/>
        <v>-1.1140872465452736</v>
      </c>
      <c r="U526" s="1">
        <f t="shared" si="319"/>
        <v>-1.1797756126377148</v>
      </c>
      <c r="V526" s="1">
        <f t="shared" si="319"/>
        <v>-1.2536222602244378</v>
      </c>
      <c r="W526" s="1">
        <f t="shared" si="319"/>
        <v>-1.3360590266553731</v>
      </c>
      <c r="X526" s="1">
        <f t="shared" si="319"/>
        <v>-1.4300064146375837</v>
      </c>
      <c r="Y526" s="1">
        <f t="shared" si="319"/>
        <v>-1.5380348559842012</v>
      </c>
      <c r="Z526" s="1">
        <f t="shared" si="319"/>
        <v>-1.6635346786313041</v>
      </c>
      <c r="AA526" s="1">
        <f t="shared" si="319"/>
        <v>-1.811068213189722</v>
      </c>
      <c r="AB526" s="1">
        <f t="shared" si="319"/>
        <v>-1.9869185591850727</v>
      </c>
      <c r="AC526" s="1">
        <f t="shared" si="319"/>
        <v>-2.1999748982385396</v>
      </c>
      <c r="AD526" s="1">
        <f t="shared" si="319"/>
        <v>-2.4622305446141315</v>
      </c>
      <c r="AE526" s="1">
        <f t="shared" si="319"/>
        <v>-2.7879057778067327</v>
      </c>
      <c r="AF526" s="1">
        <f t="shared" si="319"/>
        <v>-3.2107948208996855</v>
      </c>
      <c r="AG526" s="1">
        <f t="shared" si="319"/>
        <v>-3.7808829572662201</v>
      </c>
      <c r="AH526" s="1">
        <f t="shared" si="319"/>
        <v>-4.5884120549628227</v>
      </c>
      <c r="AI526" s="1">
        <f t="shared" si="319"/>
        <v>-5.8129753725664219</v>
      </c>
      <c r="AJ526" s="1">
        <f t="shared" si="319"/>
        <v>-7.8635951149970724</v>
      </c>
      <c r="AK526" s="1">
        <f t="shared" si="319"/>
        <v>-11.877181539937531</v>
      </c>
      <c r="AL526" s="1">
        <f t="shared" si="319"/>
        <v>-22.12300695378952</v>
      </c>
      <c r="AM526" s="1">
        <f t="shared" si="319"/>
        <v>-77.099960492067055</v>
      </c>
      <c r="AN526" s="1">
        <f t="shared" si="319"/>
        <v>76.762835630229645</v>
      </c>
      <c r="AO526" s="1">
        <f t="shared" si="319"/>
        <v>21.178732991354472</v>
      </c>
    </row>
    <row r="527" spans="2:41">
      <c r="B527" s="1">
        <f t="shared" ref="B527:AO527" si="320">-1/B331*(1+B282/SQRT(B282^2+B331^2))</f>
        <v>-0.53269029165997395</v>
      </c>
      <c r="C527" s="1">
        <f t="shared" si="320"/>
        <v>-0.5483150202096706</v>
      </c>
      <c r="D527" s="1">
        <f t="shared" si="320"/>
        <v>-0.56487546337250583</v>
      </c>
      <c r="E527" s="1">
        <f t="shared" si="320"/>
        <v>-0.58245753653712251</v>
      </c>
      <c r="F527" s="1">
        <f t="shared" si="320"/>
        <v>-0.60115791850432643</v>
      </c>
      <c r="G527" s="1">
        <f t="shared" si="320"/>
        <v>-0.62100822427275293</v>
      </c>
      <c r="H527" s="1">
        <f t="shared" si="320"/>
        <v>-0.64154846715558511</v>
      </c>
      <c r="I527" s="1">
        <f t="shared" si="320"/>
        <v>-0.6634861962892985</v>
      </c>
      <c r="J527" s="1">
        <f t="shared" si="320"/>
        <v>-0.68696826841513692</v>
      </c>
      <c r="K527" s="1">
        <f t="shared" si="320"/>
        <v>-0.71216275380528871</v>
      </c>
      <c r="L527" s="1">
        <f t="shared" si="320"/>
        <v>-0.7392628900488003</v>
      </c>
      <c r="M527" s="1">
        <f t="shared" si="320"/>
        <v>-0.76849194978984714</v>
      </c>
      <c r="N527" s="1">
        <f t="shared" si="320"/>
        <v>-0.80010927750806626</v>
      </c>
      <c r="O527" s="1">
        <f t="shared" si="320"/>
        <v>-0.83371979062708701</v>
      </c>
      <c r="P527" s="1">
        <f t="shared" si="320"/>
        <v>-0.87010804672132003</v>
      </c>
      <c r="Q527" s="1">
        <f t="shared" si="320"/>
        <v>-0.90980087705042711</v>
      </c>
      <c r="R527" s="1">
        <f t="shared" si="320"/>
        <v>-0.95326749124189758</v>
      </c>
      <c r="S527" s="1">
        <f t="shared" si="320"/>
        <v>-1.0010698767043793</v>
      </c>
      <c r="T527" s="1">
        <f t="shared" si="320"/>
        <v>-1.0538868017304011</v>
      </c>
      <c r="U527" s="1">
        <f t="shared" si="320"/>
        <v>-1.1125456373534841</v>
      </c>
      <c r="V527" s="1">
        <f t="shared" si="320"/>
        <v>-1.1780651236254966</v>
      </c>
      <c r="W527" s="1">
        <f t="shared" si="320"/>
        <v>-1.2506672722428962</v>
      </c>
      <c r="X527" s="1">
        <f t="shared" si="320"/>
        <v>-1.3327401977154876</v>
      </c>
      <c r="Y527" s="1">
        <f t="shared" si="320"/>
        <v>-1.426252541881891</v>
      </c>
      <c r="Z527" s="1">
        <f t="shared" si="320"/>
        <v>-1.5337549917625162</v>
      </c>
      <c r="AA527" s="1">
        <f t="shared" si="320"/>
        <v>-1.6586108340386072</v>
      </c>
      <c r="AB527" s="1">
        <f t="shared" si="320"/>
        <v>-1.8053446009979093</v>
      </c>
      <c r="AC527" s="1">
        <f t="shared" si="320"/>
        <v>-1.9801853216555212</v>
      </c>
      <c r="AD527" s="1">
        <f t="shared" si="320"/>
        <v>-2.191125543396597</v>
      </c>
      <c r="AE527" s="1">
        <f t="shared" si="320"/>
        <v>-2.4466373243507951</v>
      </c>
      <c r="AF527" s="1">
        <f t="shared" si="320"/>
        <v>-2.7685827117983006</v>
      </c>
      <c r="AG527" s="1">
        <f t="shared" si="320"/>
        <v>-3.1862484990765179</v>
      </c>
      <c r="AH527" s="1">
        <f t="shared" si="320"/>
        <v>-3.7487224773295211</v>
      </c>
      <c r="AI527" s="1">
        <f t="shared" si="320"/>
        <v>-4.5445851630731156</v>
      </c>
      <c r="AJ527" s="1">
        <f t="shared" si="320"/>
        <v>-5.7501244509878822</v>
      </c>
      <c r="AK527" s="1">
        <f t="shared" si="320"/>
        <v>-7.767265319084439</v>
      </c>
      <c r="AL527" s="1">
        <f t="shared" si="320"/>
        <v>-11.639775291554347</v>
      </c>
      <c r="AM527" s="1">
        <f t="shared" si="320"/>
        <v>-21.674415237901616</v>
      </c>
      <c r="AN527" s="1">
        <f t="shared" si="320"/>
        <v>-76.570112351947046</v>
      </c>
      <c r="AO527" s="1">
        <f t="shared" si="320"/>
        <v>76.138572205076485</v>
      </c>
    </row>
    <row r="528" spans="2:41">
      <c r="B528" s="1">
        <f t="shared" ref="B528:AO528" si="321">-1/B332*(1+B283/SQRT(B283^2+B332^2))</f>
        <v>-0.51839517288930426</v>
      </c>
      <c r="C528" s="1">
        <f t="shared" si="321"/>
        <v>-0.53318545398033934</v>
      </c>
      <c r="D528" s="1">
        <f t="shared" si="321"/>
        <v>-0.54883682914623211</v>
      </c>
      <c r="E528" s="1">
        <f t="shared" si="321"/>
        <v>-0.56542611638121487</v>
      </c>
      <c r="F528" s="1">
        <f t="shared" si="321"/>
        <v>-0.58303947795745226</v>
      </c>
      <c r="G528" s="1">
        <f t="shared" si="321"/>
        <v>-0.60170073232035859</v>
      </c>
      <c r="H528" s="1">
        <f t="shared" si="321"/>
        <v>-0.62097020257308355</v>
      </c>
      <c r="I528" s="1">
        <f t="shared" si="321"/>
        <v>-0.64150808133086579</v>
      </c>
      <c r="J528" s="1">
        <f t="shared" si="321"/>
        <v>-0.6634432195555473</v>
      </c>
      <c r="K528" s="1">
        <f t="shared" si="321"/>
        <v>-0.68692244413573789</v>
      </c>
      <c r="L528" s="1">
        <f t="shared" si="321"/>
        <v>-0.71211379043241452</v>
      </c>
      <c r="M528" s="1">
        <f t="shared" si="321"/>
        <v>-0.73921045500487226</v>
      </c>
      <c r="N528" s="1">
        <f t="shared" si="321"/>
        <v>-0.76843566202186409</v>
      </c>
      <c r="O528" s="1">
        <f t="shared" si="321"/>
        <v>-0.79940188727174299</v>
      </c>
      <c r="P528" s="1">
        <f t="shared" si="321"/>
        <v>-0.83281364434284466</v>
      </c>
      <c r="Q528" s="1">
        <f t="shared" si="321"/>
        <v>-0.86912696072130691</v>
      </c>
      <c r="R528" s="1">
        <f t="shared" si="321"/>
        <v>-0.90873518527196273</v>
      </c>
      <c r="S528" s="1">
        <f t="shared" si="321"/>
        <v>-0.95210579678064722</v>
      </c>
      <c r="T528" s="1">
        <f t="shared" si="321"/>
        <v>-0.99979864785900097</v>
      </c>
      <c r="U528" s="1">
        <f t="shared" si="321"/>
        <v>-1.052489849906157</v>
      </c>
      <c r="V528" s="1">
        <f t="shared" si="321"/>
        <v>-1.1110034346653095</v>
      </c>
      <c r="W528" s="1">
        <f t="shared" si="321"/>
        <v>-1.1754156945077718</v>
      </c>
      <c r="X528" s="1">
        <f t="shared" si="321"/>
        <v>-1.2477101009764007</v>
      </c>
      <c r="Y528" s="1">
        <f t="shared" si="321"/>
        <v>-1.3294186266054409</v>
      </c>
      <c r="Z528" s="1">
        <f t="shared" si="321"/>
        <v>-1.4224951757238471</v>
      </c>
      <c r="AA528" s="1">
        <f t="shared" si="321"/>
        <v>-1.5294706051589435</v>
      </c>
      <c r="AB528" s="1">
        <f t="shared" si="321"/>
        <v>-1.6536810272608575</v>
      </c>
      <c r="AC528" s="1">
        <f t="shared" si="321"/>
        <v>-1.7996129623265888</v>
      </c>
      <c r="AD528" s="1">
        <f t="shared" si="321"/>
        <v>-1.972754955684527</v>
      </c>
      <c r="AE528" s="1">
        <f t="shared" si="321"/>
        <v>-2.1782444480948633</v>
      </c>
      <c r="AF528" s="1">
        <f t="shared" si="321"/>
        <v>-2.4309861896946883</v>
      </c>
      <c r="AG528" s="1">
        <f t="shared" si="321"/>
        <v>-2.7491724519896126</v>
      </c>
      <c r="AH528" s="1">
        <f t="shared" si="321"/>
        <v>-3.1615641244680273</v>
      </c>
      <c r="AI528" s="1">
        <f t="shared" si="321"/>
        <v>-3.7163291315793345</v>
      </c>
      <c r="AJ528" s="1">
        <f t="shared" si="321"/>
        <v>-4.5003320659357335</v>
      </c>
      <c r="AK528" s="1">
        <f t="shared" si="321"/>
        <v>-5.6864043989689632</v>
      </c>
      <c r="AL528" s="1">
        <f t="shared" si="321"/>
        <v>-7.6219107404646378</v>
      </c>
      <c r="AM528" s="1">
        <f t="shared" si="321"/>
        <v>-11.379209327124144</v>
      </c>
      <c r="AN528" s="1">
        <f t="shared" si="321"/>
        <v>-21.173935885838539</v>
      </c>
      <c r="AO528" s="1">
        <f t="shared" si="321"/>
        <v>-75.889828289048779</v>
      </c>
    </row>
    <row r="537" spans="1:41">
      <c r="A537" s="1" t="s">
        <v>128</v>
      </c>
    </row>
    <row r="538" spans="1:41">
      <c r="B538" s="1">
        <f t="shared" ref="B538:AO538" si="322">1/B391*(1+B342/SQRT(B342^2+B391^2))</f>
        <v>-75.889828289048779</v>
      </c>
      <c r="C538" s="1">
        <f t="shared" si="322"/>
        <v>-21.173935885838734</v>
      </c>
      <c r="D538" s="1">
        <f t="shared" si="322"/>
        <v>-11.379209327124144</v>
      </c>
      <c r="E538" s="1">
        <f t="shared" si="322"/>
        <v>-7.6219107404646378</v>
      </c>
      <c r="F538" s="1">
        <f t="shared" si="322"/>
        <v>-5.6864043989689632</v>
      </c>
      <c r="G538" s="1">
        <f t="shared" si="322"/>
        <v>-4.5003320659357335</v>
      </c>
      <c r="H538" s="1">
        <f t="shared" si="322"/>
        <v>-3.7163291315793345</v>
      </c>
      <c r="I538" s="1">
        <f t="shared" si="322"/>
        <v>-3.1615641244680273</v>
      </c>
      <c r="J538" s="1">
        <f t="shared" si="322"/>
        <v>-2.7491724519896126</v>
      </c>
      <c r="K538" s="1">
        <f t="shared" si="322"/>
        <v>-2.4309861896946883</v>
      </c>
      <c r="L538" s="1">
        <f t="shared" si="322"/>
        <v>-2.1782444480948633</v>
      </c>
      <c r="M538" s="1">
        <f t="shared" si="322"/>
        <v>-1.972754955684527</v>
      </c>
      <c r="N538" s="1">
        <f t="shared" si="322"/>
        <v>-1.7996129623265888</v>
      </c>
      <c r="O538" s="1">
        <f t="shared" si="322"/>
        <v>-1.6536810272608575</v>
      </c>
      <c r="P538" s="1">
        <f t="shared" si="322"/>
        <v>-1.5294706051589435</v>
      </c>
      <c r="Q538" s="1">
        <f t="shared" si="322"/>
        <v>-1.4224951757238471</v>
      </c>
      <c r="R538" s="1">
        <f t="shared" si="322"/>
        <v>-1.3294186266054409</v>
      </c>
      <c r="S538" s="1">
        <f t="shared" si="322"/>
        <v>-1.2477101009764011</v>
      </c>
      <c r="T538" s="1">
        <f t="shared" si="322"/>
        <v>-1.1754156945077718</v>
      </c>
      <c r="U538" s="1">
        <f t="shared" si="322"/>
        <v>-1.1110034346653102</v>
      </c>
      <c r="V538" s="1">
        <f t="shared" si="322"/>
        <v>-1.052489849906157</v>
      </c>
      <c r="W538" s="1">
        <f t="shared" si="322"/>
        <v>-0.9997986478590013</v>
      </c>
      <c r="X538" s="1">
        <f t="shared" si="322"/>
        <v>-0.95210579678064722</v>
      </c>
      <c r="Y538" s="1">
        <f t="shared" si="322"/>
        <v>-0.90873518527196273</v>
      </c>
      <c r="Z538" s="1">
        <f t="shared" si="322"/>
        <v>-0.86912696072130691</v>
      </c>
      <c r="AA538" s="1">
        <f t="shared" si="322"/>
        <v>-0.83281364434284466</v>
      </c>
      <c r="AB538" s="1">
        <f t="shared" si="322"/>
        <v>-0.79940188727174299</v>
      </c>
      <c r="AC538" s="1">
        <f t="shared" si="322"/>
        <v>-0.76843566202186409</v>
      </c>
      <c r="AD538" s="1">
        <f t="shared" si="322"/>
        <v>-0.73921045500487226</v>
      </c>
      <c r="AE538" s="1">
        <f t="shared" si="322"/>
        <v>-0.71211379043241452</v>
      </c>
      <c r="AF538" s="1">
        <f t="shared" si="322"/>
        <v>-0.68692244413573789</v>
      </c>
      <c r="AG538" s="1">
        <f t="shared" si="322"/>
        <v>-0.6634432195555473</v>
      </c>
      <c r="AH538" s="1">
        <f t="shared" si="322"/>
        <v>-0.64150808133086579</v>
      </c>
      <c r="AI538" s="1">
        <f t="shared" si="322"/>
        <v>-0.62097020257308355</v>
      </c>
      <c r="AJ538" s="1">
        <f t="shared" si="322"/>
        <v>-0.60170073232035859</v>
      </c>
      <c r="AK538" s="1">
        <f t="shared" si="322"/>
        <v>-0.58303947795745226</v>
      </c>
      <c r="AL538" s="1">
        <f t="shared" si="322"/>
        <v>-0.56542611638121487</v>
      </c>
      <c r="AM538" s="1">
        <f t="shared" si="322"/>
        <v>-0.54883682914623222</v>
      </c>
      <c r="AN538" s="1">
        <f t="shared" si="322"/>
        <v>-0.53318545398033934</v>
      </c>
      <c r="AO538" s="1">
        <f t="shared" si="322"/>
        <v>-0.51839517288930426</v>
      </c>
    </row>
    <row r="539" spans="1:41">
      <c r="B539" s="1">
        <f t="shared" ref="B539:AO539" si="323">1/B392*(1+B343/SQRT(B343^2+B392^2))</f>
        <v>76.138572205077594</v>
      </c>
      <c r="C539" s="1">
        <f t="shared" si="323"/>
        <v>-76.57011235194777</v>
      </c>
      <c r="D539" s="1">
        <f t="shared" si="323"/>
        <v>-21.674415237901496</v>
      </c>
      <c r="E539" s="1">
        <f t="shared" si="323"/>
        <v>-11.63977529155431</v>
      </c>
      <c r="F539" s="1">
        <f t="shared" si="323"/>
        <v>-7.7672653190844221</v>
      </c>
      <c r="G539" s="1">
        <f t="shared" si="323"/>
        <v>-5.7501244509878733</v>
      </c>
      <c r="H539" s="1">
        <f t="shared" si="323"/>
        <v>-4.5445851630731084</v>
      </c>
      <c r="I539" s="1">
        <f t="shared" si="323"/>
        <v>-3.7487224773295167</v>
      </c>
      <c r="J539" s="1">
        <f t="shared" si="323"/>
        <v>-3.1862484990765143</v>
      </c>
      <c r="K539" s="1">
        <f t="shared" si="323"/>
        <v>-2.768582711798298</v>
      </c>
      <c r="L539" s="1">
        <f t="shared" si="323"/>
        <v>-2.4466373243507933</v>
      </c>
      <c r="M539" s="1">
        <f t="shared" si="323"/>
        <v>-2.1911255433965957</v>
      </c>
      <c r="N539" s="1">
        <f t="shared" si="323"/>
        <v>-1.9801853216555201</v>
      </c>
      <c r="O539" s="1">
        <f t="shared" si="323"/>
        <v>-1.8053446009979088</v>
      </c>
      <c r="P539" s="1">
        <f t="shared" si="323"/>
        <v>-1.6586108340386065</v>
      </c>
      <c r="Q539" s="1">
        <f t="shared" si="323"/>
        <v>-1.5337549917625151</v>
      </c>
      <c r="R539" s="1">
        <f t="shared" si="323"/>
        <v>-1.4262525418818903</v>
      </c>
      <c r="S539" s="1">
        <f t="shared" si="323"/>
        <v>-1.3327401977154876</v>
      </c>
      <c r="T539" s="1">
        <f t="shared" si="323"/>
        <v>-1.2506672722428958</v>
      </c>
      <c r="U539" s="1">
        <f t="shared" si="323"/>
        <v>-1.1780651236254969</v>
      </c>
      <c r="V539" s="1">
        <f t="shared" si="323"/>
        <v>-1.1125456373534837</v>
      </c>
      <c r="W539" s="1">
        <f t="shared" si="323"/>
        <v>-1.0538868017304011</v>
      </c>
      <c r="X539" s="1">
        <f t="shared" si="323"/>
        <v>-1.0010698767043791</v>
      </c>
      <c r="Y539" s="1">
        <f t="shared" si="323"/>
        <v>-0.95326749124189736</v>
      </c>
      <c r="Z539" s="1">
        <f t="shared" si="323"/>
        <v>-0.909800877050427</v>
      </c>
      <c r="AA539" s="1">
        <f t="shared" si="323"/>
        <v>-0.87010804672131969</v>
      </c>
      <c r="AB539" s="1">
        <f t="shared" si="323"/>
        <v>-0.8337197906270869</v>
      </c>
      <c r="AC539" s="1">
        <f t="shared" si="323"/>
        <v>-0.80010927750806593</v>
      </c>
      <c r="AD539" s="1">
        <f t="shared" si="323"/>
        <v>-0.76849194978984703</v>
      </c>
      <c r="AE539" s="1">
        <f t="shared" si="323"/>
        <v>-0.73926289004880019</v>
      </c>
      <c r="AF539" s="1">
        <f t="shared" si="323"/>
        <v>-0.71216275380528837</v>
      </c>
      <c r="AG539" s="1">
        <f t="shared" si="323"/>
        <v>-0.68696826841513681</v>
      </c>
      <c r="AH539" s="1">
        <f t="shared" si="323"/>
        <v>-0.66348619628929839</v>
      </c>
      <c r="AI539" s="1">
        <f t="shared" si="323"/>
        <v>-0.641548467155585</v>
      </c>
      <c r="AJ539" s="1">
        <f t="shared" si="323"/>
        <v>-0.62100822427275282</v>
      </c>
      <c r="AK539" s="1">
        <f t="shared" si="323"/>
        <v>-0.60115791850432632</v>
      </c>
      <c r="AL539" s="1">
        <f t="shared" si="323"/>
        <v>-0.5824575365371224</v>
      </c>
      <c r="AM539" s="1">
        <f t="shared" si="323"/>
        <v>-0.56487546337250594</v>
      </c>
      <c r="AN539" s="1">
        <f t="shared" si="323"/>
        <v>-0.54831502020967049</v>
      </c>
      <c r="AO539" s="1">
        <f t="shared" si="323"/>
        <v>-0.53269029165997384</v>
      </c>
    </row>
    <row r="540" spans="1:41">
      <c r="B540" s="1">
        <f t="shared" ref="B540:AO540" si="324">1/B393*(1+B344/SQRT(B344^2+B393^2))</f>
        <v>21.178732991354547</v>
      </c>
      <c r="C540" s="1">
        <f t="shared" si="324"/>
        <v>76.762835630228551</v>
      </c>
      <c r="D540" s="1">
        <f t="shared" si="324"/>
        <v>-77.099960492066344</v>
      </c>
      <c r="E540" s="1">
        <f t="shared" si="324"/>
        <v>-22.123006953789442</v>
      </c>
      <c r="F540" s="1">
        <f t="shared" si="324"/>
        <v>-11.877181539937505</v>
      </c>
      <c r="G540" s="1">
        <f t="shared" si="324"/>
        <v>-7.86359511499706</v>
      </c>
      <c r="H540" s="1">
        <f t="shared" si="324"/>
        <v>-5.8129753725664148</v>
      </c>
      <c r="I540" s="1">
        <f t="shared" si="324"/>
        <v>-4.5884120549628191</v>
      </c>
      <c r="J540" s="1">
        <f t="shared" si="324"/>
        <v>-3.7808829572662179</v>
      </c>
      <c r="K540" s="1">
        <f t="shared" si="324"/>
        <v>-3.2107948208996828</v>
      </c>
      <c r="L540" s="1">
        <f t="shared" si="324"/>
        <v>-2.7879057778067313</v>
      </c>
      <c r="M540" s="1">
        <f t="shared" si="324"/>
        <v>-2.4622305446141302</v>
      </c>
      <c r="N540" s="1">
        <f t="shared" si="324"/>
        <v>-2.1999748982385383</v>
      </c>
      <c r="O540" s="1">
        <f t="shared" si="324"/>
        <v>-1.986918559185072</v>
      </c>
      <c r="P540" s="1">
        <f t="shared" si="324"/>
        <v>-1.8110682131897211</v>
      </c>
      <c r="Q540" s="1">
        <f t="shared" si="324"/>
        <v>-1.6635346786313032</v>
      </c>
      <c r="R540" s="1">
        <f t="shared" si="324"/>
        <v>-1.5380348559842005</v>
      </c>
      <c r="S540" s="1">
        <f t="shared" si="324"/>
        <v>-1.4300064146375839</v>
      </c>
      <c r="T540" s="1">
        <f t="shared" si="324"/>
        <v>-1.3360590266553727</v>
      </c>
      <c r="U540" s="1">
        <f t="shared" si="324"/>
        <v>-1.2536222602244382</v>
      </c>
      <c r="V540" s="1">
        <f t="shared" si="324"/>
        <v>-1.1797756126377144</v>
      </c>
      <c r="W540" s="1">
        <f t="shared" si="324"/>
        <v>-1.1140872465452736</v>
      </c>
      <c r="X540" s="1">
        <f t="shared" si="324"/>
        <v>-1.0552832691366985</v>
      </c>
      <c r="Y540" s="1">
        <f t="shared" si="324"/>
        <v>-1.0023407064909027</v>
      </c>
      <c r="Z540" s="1">
        <f t="shared" si="324"/>
        <v>-0.95442885418169787</v>
      </c>
      <c r="AA540" s="1">
        <f t="shared" si="324"/>
        <v>-0.91086629128439733</v>
      </c>
      <c r="AB540" s="1">
        <f t="shared" si="324"/>
        <v>-0.87108889871585404</v>
      </c>
      <c r="AC540" s="1">
        <f t="shared" si="324"/>
        <v>-0.8344832117121741</v>
      </c>
      <c r="AD540" s="1">
        <f t="shared" si="324"/>
        <v>-0.80016985576735744</v>
      </c>
      <c r="AE540" s="1">
        <f t="shared" si="324"/>
        <v>-0.76854823681473194</v>
      </c>
      <c r="AF540" s="1">
        <f t="shared" si="324"/>
        <v>-0.73931532446269788</v>
      </c>
      <c r="AG540" s="1">
        <f t="shared" si="324"/>
        <v>-0.71221171664170757</v>
      </c>
      <c r="AH540" s="1">
        <f t="shared" si="324"/>
        <v>-0.68701409223595677</v>
      </c>
      <c r="AI540" s="1">
        <f t="shared" si="324"/>
        <v>-0.6635291726296193</v>
      </c>
      <c r="AJ540" s="1">
        <f t="shared" si="324"/>
        <v>-0.6415888526416399</v>
      </c>
      <c r="AK540" s="1">
        <f t="shared" si="324"/>
        <v>-0.62043266954261</v>
      </c>
      <c r="AL540" s="1">
        <f t="shared" si="324"/>
        <v>-0.60054188927192576</v>
      </c>
      <c r="AM540" s="1">
        <f t="shared" si="324"/>
        <v>-0.58187553397528158</v>
      </c>
      <c r="AN540" s="1">
        <f t="shared" si="324"/>
        <v>-0.56432475901600232</v>
      </c>
      <c r="AO540" s="1">
        <f t="shared" si="324"/>
        <v>-0.54779316821191104</v>
      </c>
    </row>
    <row r="541" spans="1:41">
      <c r="B541" s="1">
        <f t="shared" ref="B541:AO541" si="325">1/B394*(1+B345/SQRT(B345^2+B394^2))</f>
        <v>11.293405081062676</v>
      </c>
      <c r="C541" s="1">
        <f t="shared" si="325"/>
        <v>21.678720054675217</v>
      </c>
      <c r="D541" s="1">
        <f t="shared" si="325"/>
        <v>77.251752947419277</v>
      </c>
      <c r="E541" s="1">
        <f t="shared" si="325"/>
        <v>-77.519293782888909</v>
      </c>
      <c r="F541" s="1">
        <f t="shared" si="325"/>
        <v>-22.509615832169967</v>
      </c>
      <c r="G541" s="1">
        <f t="shared" si="325"/>
        <v>-12.03139273579762</v>
      </c>
      <c r="H541" s="1">
        <f t="shared" si="325"/>
        <v>-7.9578370096516551</v>
      </c>
      <c r="I541" s="1">
        <f t="shared" si="325"/>
        <v>-5.8749322073750303</v>
      </c>
      <c r="J541" s="1">
        <f t="shared" si="325"/>
        <v>-4.6317980294696781</v>
      </c>
      <c r="K541" s="1">
        <f t="shared" si="325"/>
        <v>-3.8128018120741873</v>
      </c>
      <c r="L541" s="1">
        <f t="shared" si="325"/>
        <v>-3.2351976692590632</v>
      </c>
      <c r="M541" s="1">
        <f t="shared" si="325"/>
        <v>-2.807138154704703</v>
      </c>
      <c r="N541" s="1">
        <f t="shared" si="325"/>
        <v>-2.4729363265724711</v>
      </c>
      <c r="O541" s="1">
        <f t="shared" si="325"/>
        <v>-2.2079909272751936</v>
      </c>
      <c r="P541" s="1">
        <f t="shared" si="325"/>
        <v>-1.993640442487653</v>
      </c>
      <c r="Q541" s="1">
        <f t="shared" si="325"/>
        <v>-1.816783590789816</v>
      </c>
      <c r="R541" s="1">
        <f t="shared" si="325"/>
        <v>-1.6684524053166836</v>
      </c>
      <c r="S541" s="1">
        <f t="shared" si="325"/>
        <v>-1.5423100791321742</v>
      </c>
      <c r="T541" s="1">
        <f t="shared" si="325"/>
        <v>-1.433756702026534</v>
      </c>
      <c r="U541" s="1">
        <f t="shared" si="325"/>
        <v>-1.3393750411175902</v>
      </c>
      <c r="V541" s="1">
        <f t="shared" si="325"/>
        <v>-1.2555298729594619</v>
      </c>
      <c r="W541" s="1">
        <f t="shared" si="325"/>
        <v>-1.1814853545424391</v>
      </c>
      <c r="X541" s="1">
        <f t="shared" si="325"/>
        <v>-1.1156282520252305</v>
      </c>
      <c r="Y541" s="1">
        <f t="shared" si="325"/>
        <v>-1.0566792437129788</v>
      </c>
      <c r="Z541" s="1">
        <f t="shared" si="325"/>
        <v>-1.0036111302309403</v>
      </c>
      <c r="AA541" s="1">
        <f t="shared" si="325"/>
        <v>-0.95558987974910692</v>
      </c>
      <c r="AB541" s="1">
        <f t="shared" si="325"/>
        <v>-0.91193142303858044</v>
      </c>
      <c r="AC541" s="1">
        <f t="shared" si="325"/>
        <v>-0.87191524074290128</v>
      </c>
      <c r="AD541" s="1">
        <f t="shared" si="325"/>
        <v>-0.83454858761413631</v>
      </c>
      <c r="AE541" s="1">
        <f t="shared" si="325"/>
        <v>-0.80023043314495113</v>
      </c>
      <c r="AF541" s="1">
        <f t="shared" si="325"/>
        <v>-0.7686045230955173</v>
      </c>
      <c r="AG541" s="1">
        <f t="shared" si="325"/>
        <v>-0.73936775824569501</v>
      </c>
      <c r="AH541" s="1">
        <f t="shared" si="325"/>
        <v>-0.71226067894091183</v>
      </c>
      <c r="AI541" s="1">
        <f t="shared" si="325"/>
        <v>-0.68705991559753143</v>
      </c>
      <c r="AJ541" s="1">
        <f t="shared" si="325"/>
        <v>-0.66357214857592262</v>
      </c>
      <c r="AK541" s="1">
        <f t="shared" si="325"/>
        <v>-0.64097751297593841</v>
      </c>
      <c r="AL541" s="1">
        <f t="shared" si="325"/>
        <v>-0.61977947660695842</v>
      </c>
      <c r="AM541" s="1">
        <f t="shared" si="325"/>
        <v>-0.59992578936895469</v>
      </c>
      <c r="AN541" s="1">
        <f t="shared" si="325"/>
        <v>-0.58129347212903704</v>
      </c>
      <c r="AO541" s="1">
        <f t="shared" si="325"/>
        <v>-0.5637740049758605</v>
      </c>
    </row>
    <row r="542" spans="1:41">
      <c r="B542" s="1">
        <f t="shared" ref="B542:AO542" si="326">1/B395*(1+B346/SQRT(B346^2+B395^2))</f>
        <v>7.5235896855088731</v>
      </c>
      <c r="C542" s="1">
        <f t="shared" si="326"/>
        <v>11.561190212648979</v>
      </c>
      <c r="D542" s="1">
        <f t="shared" si="326"/>
        <v>22.131492720664806</v>
      </c>
      <c r="E542" s="1">
        <f t="shared" si="326"/>
        <v>77.644453321132232</v>
      </c>
      <c r="F542" s="1">
        <f t="shared" si="326"/>
        <v>-77.847554360117556</v>
      </c>
      <c r="G542" s="1">
        <f t="shared" si="326"/>
        <v>-22.753625690613621</v>
      </c>
      <c r="H542" s="1">
        <f t="shared" si="326"/>
        <v>-12.182241593052691</v>
      </c>
      <c r="I542" s="1">
        <f t="shared" si="326"/>
        <v>-8.0514863948990563</v>
      </c>
      <c r="J542" s="1">
        <f t="shared" si="326"/>
        <v>-5.9369857556807304</v>
      </c>
      <c r="K542" s="1">
        <f t="shared" si="326"/>
        <v>-4.6754435599396755</v>
      </c>
      <c r="L542" s="1">
        <f t="shared" si="326"/>
        <v>-3.8449982896153125</v>
      </c>
      <c r="M542" s="1">
        <f t="shared" si="326"/>
        <v>-3.2598562605998684</v>
      </c>
      <c r="N542" s="1">
        <f t="shared" si="326"/>
        <v>-2.8206508404168105</v>
      </c>
      <c r="O542" s="1">
        <f t="shared" si="326"/>
        <v>-2.4828880347492208</v>
      </c>
      <c r="P542" s="1">
        <f t="shared" si="326"/>
        <v>-2.21620426340266</v>
      </c>
      <c r="Q542" s="1">
        <f t="shared" si="326"/>
        <v>-2.0005300652897549</v>
      </c>
      <c r="R542" s="1">
        <f t="shared" si="326"/>
        <v>-1.8226431026739076</v>
      </c>
      <c r="S542" s="1">
        <f t="shared" si="326"/>
        <v>-1.6734951813471051</v>
      </c>
      <c r="T542" s="1">
        <f t="shared" si="326"/>
        <v>-1.5466947361182248</v>
      </c>
      <c r="U542" s="1">
        <f t="shared" si="326"/>
        <v>-1.4376035044985127</v>
      </c>
      <c r="V542" s="1">
        <f t="shared" si="326"/>
        <v>-1.3416041525423401</v>
      </c>
      <c r="W542" s="1">
        <f t="shared" si="326"/>
        <v>-1.2575154887522766</v>
      </c>
      <c r="X542" s="1">
        <f t="shared" si="326"/>
        <v>-1.1832651066445483</v>
      </c>
      <c r="Y542" s="1">
        <f t="shared" si="326"/>
        <v>-1.1172324335158708</v>
      </c>
      <c r="Z542" s="1">
        <f t="shared" si="326"/>
        <v>-1.058132506896452</v>
      </c>
      <c r="AA542" s="1">
        <f t="shared" si="326"/>
        <v>-1.0049337360198309</v>
      </c>
      <c r="AB542" s="1">
        <f t="shared" si="326"/>
        <v>-0.95679863029430945</v>
      </c>
      <c r="AC542" s="1">
        <f t="shared" si="326"/>
        <v>-0.91287284793151502</v>
      </c>
      <c r="AD542" s="1">
        <f t="shared" si="326"/>
        <v>-0.872026616997438</v>
      </c>
      <c r="AE542" s="1">
        <f t="shared" si="326"/>
        <v>-0.83465148276134693</v>
      </c>
      <c r="AF542" s="1">
        <f t="shared" si="326"/>
        <v>-0.80032577607863353</v>
      </c>
      <c r="AG542" s="1">
        <f t="shared" si="326"/>
        <v>-0.76869311241021687</v>
      </c>
      <c r="AH542" s="1">
        <f t="shared" si="326"/>
        <v>-0.73945028421731729</v>
      </c>
      <c r="AI542" s="1">
        <f t="shared" si="326"/>
        <v>-0.71233774122031157</v>
      </c>
      <c r="AJ542" s="1">
        <f t="shared" si="326"/>
        <v>-0.68713203755815244</v>
      </c>
      <c r="AK542" s="1">
        <f t="shared" si="326"/>
        <v>-0.66294626047468297</v>
      </c>
      <c r="AL542" s="1">
        <f t="shared" si="326"/>
        <v>-0.64030688471227426</v>
      </c>
      <c r="AM542" s="1">
        <f t="shared" si="326"/>
        <v>-0.61914803154584741</v>
      </c>
      <c r="AN542" s="1">
        <f t="shared" si="326"/>
        <v>-0.5993302105512317</v>
      </c>
      <c r="AO542" s="1">
        <f t="shared" si="326"/>
        <v>-0.58073080463740911</v>
      </c>
    </row>
    <row r="543" spans="1:41">
      <c r="B543" s="1">
        <f t="shared" ref="B543:AO543" si="327">1/B396*(1+B347/SQRT(B347^2+B396^2))</f>
        <v>5.5912593199283975</v>
      </c>
      <c r="C543" s="1">
        <f t="shared" si="327"/>
        <v>7.6719956299361529</v>
      </c>
      <c r="D543" s="1">
        <f t="shared" si="327"/>
        <v>11.802998322165246</v>
      </c>
      <c r="E543" s="1">
        <f t="shared" si="327"/>
        <v>22.51773943421831</v>
      </c>
      <c r="F543" s="1">
        <f t="shared" si="327"/>
        <v>77.935764530357758</v>
      </c>
      <c r="G543" s="1">
        <f t="shared" si="327"/>
        <v>-78.023770188500606</v>
      </c>
      <c r="H543" s="1">
        <f t="shared" si="327"/>
        <v>-22.964143629124532</v>
      </c>
      <c r="I543" s="1">
        <f t="shared" si="327"/>
        <v>-12.316816257512562</v>
      </c>
      <c r="J543" s="1">
        <f t="shared" si="327"/>
        <v>-8.1363326270144523</v>
      </c>
      <c r="K543" s="1">
        <f t="shared" si="327"/>
        <v>-5.9936482648819105</v>
      </c>
      <c r="L543" s="1">
        <f t="shared" si="327"/>
        <v>-4.7154737529437529</v>
      </c>
      <c r="M543" s="1">
        <f t="shared" si="327"/>
        <v>-3.874608066821088</v>
      </c>
      <c r="N543" s="1">
        <f t="shared" si="327"/>
        <v>-3.2750890694473864</v>
      </c>
      <c r="O543" s="1">
        <f t="shared" si="327"/>
        <v>-2.831491204708612</v>
      </c>
      <c r="P543" s="1">
        <f t="shared" si="327"/>
        <v>-2.4916683706106899</v>
      </c>
      <c r="Q543" s="1">
        <f t="shared" si="327"/>
        <v>-2.2234539408288385</v>
      </c>
      <c r="R543" s="1">
        <f t="shared" si="327"/>
        <v>-2.0066133137249107</v>
      </c>
      <c r="S543" s="1">
        <f t="shared" si="327"/>
        <v>-1.8278181124424639</v>
      </c>
      <c r="T543" s="1">
        <f t="shared" si="327"/>
        <v>-1.6779497566769348</v>
      </c>
      <c r="U543" s="1">
        <f t="shared" si="327"/>
        <v>-1.5505685815374799</v>
      </c>
      <c r="V543" s="1">
        <f t="shared" si="327"/>
        <v>-1.4396778310427802</v>
      </c>
      <c r="W543" s="1">
        <f t="shared" si="327"/>
        <v>-1.3434392277539238</v>
      </c>
      <c r="X543" s="1">
        <f t="shared" si="327"/>
        <v>-1.259150211715282</v>
      </c>
      <c r="Y543" s="1">
        <f t="shared" si="327"/>
        <v>-1.1847304219446262</v>
      </c>
      <c r="Z543" s="1">
        <f t="shared" si="327"/>
        <v>-1.1185532555438027</v>
      </c>
      <c r="AA543" s="1">
        <f t="shared" si="327"/>
        <v>-1.05932911393729</v>
      </c>
      <c r="AB543" s="1">
        <f t="shared" si="327"/>
        <v>-1.0060227963196542</v>
      </c>
      <c r="AC543" s="1">
        <f t="shared" si="327"/>
        <v>-0.95761142155136225</v>
      </c>
      <c r="AD543" s="1">
        <f t="shared" si="327"/>
        <v>-0.91279827837567273</v>
      </c>
      <c r="AE543" s="1">
        <f t="shared" si="327"/>
        <v>-0.87195794655938386</v>
      </c>
      <c r="AF543" s="1">
        <f t="shared" si="327"/>
        <v>-0.83458804142451193</v>
      </c>
      <c r="AG543" s="1">
        <f t="shared" si="327"/>
        <v>-0.80026699113017696</v>
      </c>
      <c r="AH543" s="1">
        <f t="shared" si="327"/>
        <v>-0.76863849147294572</v>
      </c>
      <c r="AI543" s="1">
        <f t="shared" si="327"/>
        <v>-0.73939940169776419</v>
      </c>
      <c r="AJ543" s="1">
        <f t="shared" si="327"/>
        <v>-0.71229022739989734</v>
      </c>
      <c r="AK543" s="1">
        <f t="shared" si="327"/>
        <v>-0.68634807985334045</v>
      </c>
      <c r="AL543" s="1">
        <f t="shared" si="327"/>
        <v>-0.66212322902000942</v>
      </c>
      <c r="AM543" s="1">
        <f t="shared" si="327"/>
        <v>-0.63953337127245358</v>
      </c>
      <c r="AN543" s="1">
        <f t="shared" si="327"/>
        <v>-0.61841972426115177</v>
      </c>
      <c r="AO543" s="1">
        <f t="shared" si="327"/>
        <v>-0.59864328118548116</v>
      </c>
    </row>
    <row r="544" spans="1:41">
      <c r="B544" s="1">
        <f t="shared" ref="B544:AO544" si="328">1/B397*(1+B348/SQRT(B348^2+B397^2))</f>
        <v>4.4328865447421411</v>
      </c>
      <c r="C544" s="1">
        <f t="shared" si="328"/>
        <v>5.6860184307252108</v>
      </c>
      <c r="D544" s="1">
        <f t="shared" si="328"/>
        <v>7.8151737642249941</v>
      </c>
      <c r="E544" s="1">
        <f t="shared" si="328"/>
        <v>12.030684099316682</v>
      </c>
      <c r="F544" s="1">
        <f t="shared" si="328"/>
        <v>22.849185765829088</v>
      </c>
      <c r="G544" s="1">
        <f t="shared" si="328"/>
        <v>78.100221918724813</v>
      </c>
      <c r="H544" s="1">
        <f t="shared" si="328"/>
        <v>-78.178255970052959</v>
      </c>
      <c r="I544" s="1">
        <f t="shared" si="328"/>
        <v>-23.158786065507012</v>
      </c>
      <c r="J544" s="1">
        <f t="shared" si="328"/>
        <v>-12.445191241383846</v>
      </c>
      <c r="K544" s="1">
        <f t="shared" si="328"/>
        <v>-8.2184826027674589</v>
      </c>
      <c r="L544" s="1">
        <f t="shared" si="328"/>
        <v>-6.0489317052346161</v>
      </c>
      <c r="M544" s="1">
        <f t="shared" si="328"/>
        <v>-4.7546999717164713</v>
      </c>
      <c r="N544" s="1">
        <f t="shared" si="328"/>
        <v>-3.8940287448765027</v>
      </c>
      <c r="O544" s="1">
        <f t="shared" si="328"/>
        <v>-3.2885181055433663</v>
      </c>
      <c r="P544" s="1">
        <f t="shared" si="328"/>
        <v>-2.8421277832346257</v>
      </c>
      <c r="Q544" s="1">
        <f t="shared" si="328"/>
        <v>-2.5002883853038278</v>
      </c>
      <c r="R544" s="1">
        <f t="shared" si="328"/>
        <v>-2.2305741420949721</v>
      </c>
      <c r="S544" s="1">
        <f t="shared" si="328"/>
        <v>-2.0125897662203571</v>
      </c>
      <c r="T544" s="1">
        <f t="shared" si="328"/>
        <v>-1.832903494112885</v>
      </c>
      <c r="U544" s="1">
        <f t="shared" si="328"/>
        <v>-1.6823280162427314</v>
      </c>
      <c r="V544" s="1">
        <f t="shared" si="328"/>
        <v>-1.552868489480026</v>
      </c>
      <c r="W544" s="1">
        <f t="shared" si="328"/>
        <v>-1.441696822309039</v>
      </c>
      <c r="X544" s="1">
        <f t="shared" si="328"/>
        <v>-1.345225469693577</v>
      </c>
      <c r="Y544" s="1">
        <f t="shared" si="328"/>
        <v>-1.2607415219381275</v>
      </c>
      <c r="Z544" s="1">
        <f t="shared" si="328"/>
        <v>-1.1861568905875768</v>
      </c>
      <c r="AA544" s="1">
        <f t="shared" si="328"/>
        <v>-1.1198391130315082</v>
      </c>
      <c r="AB544" s="1">
        <f t="shared" si="328"/>
        <v>-1.060494084607702</v>
      </c>
      <c r="AC544" s="1">
        <f t="shared" si="328"/>
        <v>-1.0068834179615438</v>
      </c>
      <c r="AD544" s="1">
        <f t="shared" si="328"/>
        <v>-0.95750415293595825</v>
      </c>
      <c r="AE544" s="1">
        <f t="shared" si="328"/>
        <v>-0.91269983871230609</v>
      </c>
      <c r="AF544" s="1">
        <f t="shared" si="328"/>
        <v>-0.87186729455116552</v>
      </c>
      <c r="AG544" s="1">
        <f t="shared" si="328"/>
        <v>-0.83450429252644431</v>
      </c>
      <c r="AH544" s="1">
        <f t="shared" si="328"/>
        <v>-0.80018938926143723</v>
      </c>
      <c r="AI544" s="1">
        <f t="shared" si="328"/>
        <v>-0.76856638661386034</v>
      </c>
      <c r="AJ544" s="1">
        <f t="shared" si="328"/>
        <v>-0.73933223199740461</v>
      </c>
      <c r="AK544" s="1">
        <f t="shared" si="328"/>
        <v>-0.71143734302241013</v>
      </c>
      <c r="AL544" s="1">
        <f t="shared" si="328"/>
        <v>-0.68545625380164465</v>
      </c>
      <c r="AM544" s="1">
        <f t="shared" si="328"/>
        <v>-0.66128670512250931</v>
      </c>
      <c r="AN544" s="1">
        <f t="shared" si="328"/>
        <v>-0.63874719200226449</v>
      </c>
      <c r="AO544" s="1">
        <f t="shared" si="328"/>
        <v>-0.6176795039243077</v>
      </c>
    </row>
    <row r="545" spans="2:41">
      <c r="B545" s="1">
        <f t="shared" ref="B545:AO545" si="329">1/B398*(1+B349/SQRT(B349^2+B398^2))</f>
        <v>3.6658769869804706</v>
      </c>
      <c r="C545" s="1">
        <f t="shared" si="329"/>
        <v>4.4984039698000426</v>
      </c>
      <c r="D545" s="1">
        <f t="shared" si="329"/>
        <v>5.7789761884825701</v>
      </c>
      <c r="E545" s="1">
        <f t="shared" si="329"/>
        <v>7.9539190356780809</v>
      </c>
      <c r="F545" s="1">
        <f t="shared" si="329"/>
        <v>12.237453370084594</v>
      </c>
      <c r="G545" s="1">
        <f t="shared" si="329"/>
        <v>23.05142740913578</v>
      </c>
      <c r="H545" s="1">
        <f t="shared" si="329"/>
        <v>78.246189638182116</v>
      </c>
      <c r="I545" s="1">
        <f t="shared" si="329"/>
        <v>-78.31567229827337</v>
      </c>
      <c r="J545" s="1">
        <f t="shared" si="329"/>
        <v>-23.34059072631408</v>
      </c>
      <c r="K545" s="1">
        <f t="shared" si="329"/>
        <v>-12.5687840789269</v>
      </c>
      <c r="L545" s="1">
        <f t="shared" si="329"/>
        <v>-8.2987548846213404</v>
      </c>
      <c r="M545" s="1">
        <f t="shared" si="329"/>
        <v>-6.1033718852067409</v>
      </c>
      <c r="N545" s="1">
        <f t="shared" si="329"/>
        <v>-4.7806133570032205</v>
      </c>
      <c r="O545" s="1">
        <f t="shared" si="329"/>
        <v>-3.9113773087795161</v>
      </c>
      <c r="P545" s="1">
        <f t="shared" si="329"/>
        <v>-3.3018972962126778</v>
      </c>
      <c r="Q545" s="1">
        <f t="shared" si="329"/>
        <v>-2.852733109091643</v>
      </c>
      <c r="R545" s="1">
        <f t="shared" si="329"/>
        <v>-2.5088878563620254</v>
      </c>
      <c r="S545" s="1">
        <f t="shared" si="329"/>
        <v>-2.2376803013494868</v>
      </c>
      <c r="T545" s="1">
        <f t="shared" si="329"/>
        <v>-2.0185563015726293</v>
      </c>
      <c r="U545" s="1">
        <f t="shared" si="329"/>
        <v>-1.837981674845401</v>
      </c>
      <c r="V545" s="1">
        <f t="shared" si="329"/>
        <v>-1.6849691583695365</v>
      </c>
      <c r="W545" s="1">
        <f t="shared" si="329"/>
        <v>-1.5551669274255995</v>
      </c>
      <c r="X545" s="1">
        <f t="shared" si="329"/>
        <v>-1.4437146868411794</v>
      </c>
      <c r="Y545" s="1">
        <f t="shared" si="329"/>
        <v>-1.347010834315677</v>
      </c>
      <c r="Z545" s="1">
        <f t="shared" si="329"/>
        <v>-1.262332139438098</v>
      </c>
      <c r="AA545" s="1">
        <f t="shared" si="329"/>
        <v>-1.1875828053892568</v>
      </c>
      <c r="AB545" s="1">
        <f t="shared" si="329"/>
        <v>-1.1211245227175668</v>
      </c>
      <c r="AC545" s="1">
        <f t="shared" si="329"/>
        <v>-1.0614393723638862</v>
      </c>
      <c r="AD545" s="1">
        <f t="shared" si="329"/>
        <v>-1.0067660826197324</v>
      </c>
      <c r="AE545" s="1">
        <f t="shared" si="329"/>
        <v>-0.95739688130477119</v>
      </c>
      <c r="AF545" s="1">
        <f t="shared" si="329"/>
        <v>-0.91260139656199257</v>
      </c>
      <c r="AG545" s="1">
        <f t="shared" si="329"/>
        <v>-0.87177664047858883</v>
      </c>
      <c r="AH545" s="1">
        <f t="shared" si="329"/>
        <v>-0.83442054190447301</v>
      </c>
      <c r="AI545" s="1">
        <f t="shared" si="329"/>
        <v>-0.8001117859451502</v>
      </c>
      <c r="AJ545" s="1">
        <f t="shared" si="329"/>
        <v>-0.7684942805331193</v>
      </c>
      <c r="AK545" s="1">
        <f t="shared" si="329"/>
        <v>-0.73841885587409029</v>
      </c>
      <c r="AL545" s="1">
        <f t="shared" si="329"/>
        <v>-0.7104843911202372</v>
      </c>
      <c r="AM545" s="1">
        <f t="shared" si="329"/>
        <v>-0.68456426246927493</v>
      </c>
      <c r="AN545" s="1">
        <f t="shared" si="329"/>
        <v>-0.66045004366085802</v>
      </c>
      <c r="AO545" s="1">
        <f t="shared" si="329"/>
        <v>-0.63796089815930879</v>
      </c>
    </row>
    <row r="546" spans="2:41">
      <c r="B546" s="1">
        <f t="shared" ref="B546:AO546" si="330">1/B399*(1+B350/SQRT(B350^2+B399^2))</f>
        <v>3.1222610505038135</v>
      </c>
      <c r="C546" s="1">
        <f t="shared" si="330"/>
        <v>3.7137051822875402</v>
      </c>
      <c r="D546" s="1">
        <f t="shared" si="330"/>
        <v>4.5630438823410326</v>
      </c>
      <c r="E546" s="1">
        <f t="shared" si="330"/>
        <v>5.8700482615111165</v>
      </c>
      <c r="F546" s="1">
        <f t="shared" si="330"/>
        <v>8.0827735506459035</v>
      </c>
      <c r="G546" s="1">
        <f t="shared" si="330"/>
        <v>12.368746823087001</v>
      </c>
      <c r="H546" s="1">
        <f t="shared" si="330"/>
        <v>23.240307534541657</v>
      </c>
      <c r="I546" s="1">
        <f t="shared" si="330"/>
        <v>78.376282637547021</v>
      </c>
      <c r="J546" s="1">
        <f t="shared" si="330"/>
        <v>-78.438395258873228</v>
      </c>
      <c r="K546" s="1">
        <f t="shared" si="330"/>
        <v>-23.510454505753856</v>
      </c>
      <c r="L546" s="1">
        <f t="shared" si="330"/>
        <v>-12.687706096000531</v>
      </c>
      <c r="M546" s="1">
        <f t="shared" si="330"/>
        <v>-8.3771488005606791</v>
      </c>
      <c r="N546" s="1">
        <f t="shared" si="330"/>
        <v>-6.1391901085208449</v>
      </c>
      <c r="O546" s="1">
        <f t="shared" si="330"/>
        <v>-4.8037170569863523</v>
      </c>
      <c r="P546" s="1">
        <f t="shared" si="330"/>
        <v>-3.9286403963569239</v>
      </c>
      <c r="Q546" s="1">
        <f t="shared" si="330"/>
        <v>-3.3152258234001648</v>
      </c>
      <c r="R546" s="1">
        <f t="shared" si="330"/>
        <v>-2.8633066310539843</v>
      </c>
      <c r="S546" s="1">
        <f t="shared" si="330"/>
        <v>-2.5174664039339025</v>
      </c>
      <c r="T546" s="1">
        <f t="shared" si="330"/>
        <v>-2.2447721504418681</v>
      </c>
      <c r="U546" s="1">
        <f t="shared" si="330"/>
        <v>-2.024512726054025</v>
      </c>
      <c r="V546" s="1">
        <f t="shared" si="330"/>
        <v>-1.8410444898303902</v>
      </c>
      <c r="W546" s="1">
        <f t="shared" si="330"/>
        <v>-1.6876083244514648</v>
      </c>
      <c r="X546" s="1">
        <f t="shared" si="330"/>
        <v>-1.5574638771844187</v>
      </c>
      <c r="Y546" s="1">
        <f t="shared" si="330"/>
        <v>-1.4457314104745622</v>
      </c>
      <c r="Z546" s="1">
        <f t="shared" si="330"/>
        <v>-1.3487953104385586</v>
      </c>
      <c r="AA546" s="1">
        <f t="shared" si="330"/>
        <v>-1.2639220552784469</v>
      </c>
      <c r="AB546" s="1">
        <f t="shared" si="330"/>
        <v>-1.1890081591263866</v>
      </c>
      <c r="AC546" s="1">
        <f t="shared" si="330"/>
        <v>-1.1221675010158179</v>
      </c>
      <c r="AD546" s="1">
        <f t="shared" si="330"/>
        <v>-1.0613104953447283</v>
      </c>
      <c r="AE546" s="1">
        <f t="shared" si="330"/>
        <v>-1.0066487435999283</v>
      </c>
      <c r="AF546" s="1">
        <f t="shared" si="330"/>
        <v>-0.95728960666240259</v>
      </c>
      <c r="AG546" s="1">
        <f t="shared" si="330"/>
        <v>-0.91250295192862019</v>
      </c>
      <c r="AH546" s="1">
        <f t="shared" si="330"/>
        <v>-0.87168598434496081</v>
      </c>
      <c r="AI546" s="1">
        <f t="shared" si="330"/>
        <v>-0.83433678956142721</v>
      </c>
      <c r="AJ546" s="1">
        <f t="shared" si="330"/>
        <v>-0.80003418118374969</v>
      </c>
      <c r="AK546" s="1">
        <f t="shared" si="330"/>
        <v>-0.76751376870360566</v>
      </c>
      <c r="AL546" s="1">
        <f t="shared" si="330"/>
        <v>-0.73739829562336989</v>
      </c>
      <c r="AM546" s="1">
        <f t="shared" si="330"/>
        <v>-0.70953124599317374</v>
      </c>
      <c r="AN546" s="1">
        <f t="shared" si="330"/>
        <v>-0.68367211077804546</v>
      </c>
      <c r="AO546" s="1">
        <f t="shared" si="330"/>
        <v>-0.65961324897156781</v>
      </c>
    </row>
    <row r="547" spans="2:41">
      <c r="B547" s="1">
        <f t="shared" ref="B547:AO547" si="331">1/B400*(1+B351/SQRT(B351^2+B400^2))</f>
        <v>2.7175773582600966</v>
      </c>
      <c r="C547" s="1">
        <f t="shared" si="331"/>
        <v>3.1586415757207273</v>
      </c>
      <c r="D547" s="1">
        <f t="shared" si="331"/>
        <v>3.7610559873006135</v>
      </c>
      <c r="E547" s="1">
        <f t="shared" si="331"/>
        <v>4.6267578684177391</v>
      </c>
      <c r="F547" s="1">
        <f t="shared" si="331"/>
        <v>5.9555801343663086</v>
      </c>
      <c r="G547" s="1">
        <f t="shared" si="331"/>
        <v>8.1661226900119726</v>
      </c>
      <c r="H547" s="1">
        <f t="shared" si="331"/>
        <v>12.495196211870208</v>
      </c>
      <c r="I547" s="1">
        <f t="shared" si="331"/>
        <v>23.416750691374016</v>
      </c>
      <c r="J547" s="1">
        <f t="shared" si="331"/>
        <v>78.492678835860445</v>
      </c>
      <c r="K547" s="1">
        <f t="shared" si="331"/>
        <v>-78.548409509349057</v>
      </c>
      <c r="L547" s="1">
        <f t="shared" si="331"/>
        <v>-23.669223290538689</v>
      </c>
      <c r="M547" s="1">
        <f t="shared" si="331"/>
        <v>-12.802077114999529</v>
      </c>
      <c r="N547" s="1">
        <f t="shared" si="331"/>
        <v>-8.4283675761083146</v>
      </c>
      <c r="O547" s="1">
        <f t="shared" si="331"/>
        <v>-6.1710251453236973</v>
      </c>
      <c r="P547" s="1">
        <f t="shared" si="331"/>
        <v>-4.8266642157450868</v>
      </c>
      <c r="Q547" s="1">
        <f t="shared" si="331"/>
        <v>-3.9458168173569463</v>
      </c>
      <c r="R547" s="1">
        <f t="shared" si="331"/>
        <v>-3.3285028876324532</v>
      </c>
      <c r="S547" s="1">
        <f t="shared" si="331"/>
        <v>-2.873847807376996</v>
      </c>
      <c r="T547" s="1">
        <f t="shared" si="331"/>
        <v>-2.5260236533151526</v>
      </c>
      <c r="U547" s="1">
        <f t="shared" si="331"/>
        <v>-2.2518494241677951</v>
      </c>
      <c r="V547" s="1">
        <f t="shared" si="331"/>
        <v>-2.0281044219997395</v>
      </c>
      <c r="W547" s="1">
        <f t="shared" si="331"/>
        <v>-1.8441045958355919</v>
      </c>
      <c r="X547" s="1">
        <f t="shared" si="331"/>
        <v>-1.6902454908691251</v>
      </c>
      <c r="Y547" s="1">
        <f t="shared" si="331"/>
        <v>-1.5597593206282896</v>
      </c>
      <c r="Z547" s="1">
        <f t="shared" si="331"/>
        <v>-1.4477469790861637</v>
      </c>
      <c r="AA547" s="1">
        <f t="shared" si="331"/>
        <v>-1.3505788869093303</v>
      </c>
      <c r="AB547" s="1">
        <f t="shared" si="331"/>
        <v>-1.2655112605427277</v>
      </c>
      <c r="AC547" s="1">
        <f t="shared" si="331"/>
        <v>-1.1901646397981174</v>
      </c>
      <c r="AD547" s="1">
        <f t="shared" si="331"/>
        <v>-1.1220253071866519</v>
      </c>
      <c r="AE547" s="1">
        <f t="shared" si="331"/>
        <v>-1.0611816138040553</v>
      </c>
      <c r="AF547" s="1">
        <f t="shared" si="331"/>
        <v>-1.0065314009076163</v>
      </c>
      <c r="AG547" s="1">
        <f t="shared" si="331"/>
        <v>-0.95718232901345535</v>
      </c>
      <c r="AH547" s="1">
        <f t="shared" si="331"/>
        <v>-0.91240450481607771</v>
      </c>
      <c r="AI547" s="1">
        <f t="shared" si="331"/>
        <v>-0.87159532615358859</v>
      </c>
      <c r="AJ547" s="1">
        <f t="shared" si="331"/>
        <v>-0.83425303550013696</v>
      </c>
      <c r="AK547" s="1">
        <f t="shared" si="331"/>
        <v>-0.79897888443459963</v>
      </c>
      <c r="AL547" s="1">
        <f t="shared" si="331"/>
        <v>-0.7664181713277719</v>
      </c>
      <c r="AM547" s="1">
        <f t="shared" si="331"/>
        <v>-0.73637750857854356</v>
      </c>
      <c r="AN547" s="1">
        <f t="shared" si="331"/>
        <v>-0.70857791325487507</v>
      </c>
      <c r="AO547" s="1">
        <f t="shared" si="331"/>
        <v>-0.68277980365422131</v>
      </c>
    </row>
    <row r="548" spans="2:41">
      <c r="B548" s="1">
        <f t="shared" ref="B548:AO548" si="332">1/B401*(1+B352/SQRT(B352^2+B401^2))</f>
        <v>2.4049462503351355</v>
      </c>
      <c r="C548" s="1">
        <f t="shared" si="332"/>
        <v>2.7461489162314687</v>
      </c>
      <c r="D548" s="1">
        <f t="shared" si="332"/>
        <v>3.194739936939039</v>
      </c>
      <c r="E548" s="1">
        <f t="shared" si="332"/>
        <v>3.8079009555234773</v>
      </c>
      <c r="F548" s="1">
        <f t="shared" si="332"/>
        <v>4.6869718302610295</v>
      </c>
      <c r="G548" s="1">
        <f t="shared" si="332"/>
        <v>6.011429990101135</v>
      </c>
      <c r="H548" s="1">
        <f t="shared" si="332"/>
        <v>8.2475970694082239</v>
      </c>
      <c r="I548" s="1">
        <f t="shared" si="332"/>
        <v>12.61690684461054</v>
      </c>
      <c r="J548" s="1">
        <f t="shared" si="332"/>
        <v>23.581631520988047</v>
      </c>
      <c r="K548" s="1">
        <f t="shared" si="332"/>
        <v>78.59720208841479</v>
      </c>
      <c r="L548" s="1">
        <f t="shared" si="332"/>
        <v>-78.647381633136078</v>
      </c>
      <c r="M548" s="1">
        <f t="shared" si="332"/>
        <v>-23.817691120879285</v>
      </c>
      <c r="N548" s="1">
        <f t="shared" si="332"/>
        <v>-12.875855514588178</v>
      </c>
      <c r="O548" s="1">
        <f t="shared" si="332"/>
        <v>-8.4736480745937968</v>
      </c>
      <c r="P548" s="1">
        <f t="shared" si="332"/>
        <v>-6.2025502418330589</v>
      </c>
      <c r="Q548" s="1">
        <f t="shared" si="332"/>
        <v>-4.8494532088357456</v>
      </c>
      <c r="R548" s="1">
        <f t="shared" si="332"/>
        <v>-3.9629054207400785</v>
      </c>
      <c r="S548" s="1">
        <f t="shared" si="332"/>
        <v>-3.3417277081412138</v>
      </c>
      <c r="T548" s="1">
        <f t="shared" si="332"/>
        <v>-2.8843561058906722</v>
      </c>
      <c r="U548" s="1">
        <f t="shared" si="332"/>
        <v>-2.5345592350110504</v>
      </c>
      <c r="V548" s="1">
        <f t="shared" si="332"/>
        <v>-2.2561157320352563</v>
      </c>
      <c r="W548" s="1">
        <f t="shared" si="332"/>
        <v>-2.0316923194296468</v>
      </c>
      <c r="X548" s="1">
        <f t="shared" si="332"/>
        <v>-1.8471619617247865</v>
      </c>
      <c r="Y548" s="1">
        <f t="shared" si="332"/>
        <v>-1.6928806340975746</v>
      </c>
      <c r="Z548" s="1">
        <f t="shared" si="332"/>
        <v>-1.5620532396912543</v>
      </c>
      <c r="AA548" s="1">
        <f t="shared" si="332"/>
        <v>-1.4497613785950396</v>
      </c>
      <c r="AB548" s="1">
        <f t="shared" si="332"/>
        <v>-1.3523615526042012</v>
      </c>
      <c r="AC548" s="1">
        <f t="shared" si="332"/>
        <v>-1.2668006213444489</v>
      </c>
      <c r="AD548" s="1">
        <f t="shared" si="332"/>
        <v>-1.1900069742320853</v>
      </c>
      <c r="AE548" s="1">
        <f t="shared" si="332"/>
        <v>-1.1218831077500069</v>
      </c>
      <c r="AF548" s="1">
        <f t="shared" si="332"/>
        <v>-1.0610527277484565</v>
      </c>
      <c r="AG548" s="1">
        <f t="shared" si="332"/>
        <v>-1.006414054548284</v>
      </c>
      <c r="AH548" s="1">
        <f t="shared" si="332"/>
        <v>-0.95707504836253299</v>
      </c>
      <c r="AI548" s="1">
        <f t="shared" si="332"/>
        <v>-0.91230605522825525</v>
      </c>
      <c r="AJ548" s="1">
        <f t="shared" si="332"/>
        <v>-0.87150466590778009</v>
      </c>
      <c r="AK548" s="1">
        <f t="shared" si="332"/>
        <v>-0.8331141027797101</v>
      </c>
      <c r="AL548" s="1">
        <f t="shared" si="332"/>
        <v>-0.79779969649168891</v>
      </c>
      <c r="AM548" s="1">
        <f t="shared" si="332"/>
        <v>-0.76532230660476852</v>
      </c>
      <c r="AN548" s="1">
        <f t="shared" si="332"/>
        <v>-0.7353565011703026</v>
      </c>
      <c r="AO548" s="1">
        <f t="shared" si="332"/>
        <v>-0.70762439852455772</v>
      </c>
    </row>
    <row r="549" spans="2:41">
      <c r="B549" s="1">
        <f t="shared" ref="B549:AO549" si="333">1/B402*(1+B353/SQRT(B353^2+B402^2))</f>
        <v>2.15634503809253</v>
      </c>
      <c r="C549" s="1">
        <f t="shared" si="333"/>
        <v>2.42796346157369</v>
      </c>
      <c r="D549" s="1">
        <f t="shared" si="333"/>
        <v>2.7745426616942632</v>
      </c>
      <c r="E549" s="1">
        <f t="shared" si="333"/>
        <v>3.2305386676661412</v>
      </c>
      <c r="F549" s="1">
        <f t="shared" si="333"/>
        <v>3.8523423886137511</v>
      </c>
      <c r="G549" s="1">
        <f t="shared" si="333"/>
        <v>4.7264995756916273</v>
      </c>
      <c r="H549" s="1">
        <f t="shared" si="333"/>
        <v>6.0664448559073341</v>
      </c>
      <c r="I549" s="1">
        <f t="shared" si="333"/>
        <v>8.3271929756757999</v>
      </c>
      <c r="J549" s="1">
        <f t="shared" si="333"/>
        <v>12.733993669443644</v>
      </c>
      <c r="K549" s="1">
        <f t="shared" si="333"/>
        <v>23.735773125931864</v>
      </c>
      <c r="L549" s="1">
        <f t="shared" si="333"/>
        <v>78.691387750515943</v>
      </c>
      <c r="M549" s="1">
        <f t="shared" si="333"/>
        <v>-78.736718281481544</v>
      </c>
      <c r="N549" s="1">
        <f t="shared" si="333"/>
        <v>-23.911312059914941</v>
      </c>
      <c r="O549" s="1">
        <f t="shared" si="333"/>
        <v>-12.940456581941248</v>
      </c>
      <c r="P549" s="1">
        <f t="shared" si="333"/>
        <v>-8.5182607322073221</v>
      </c>
      <c r="Q549" s="1">
        <f t="shared" si="333"/>
        <v>-6.2337638592298177</v>
      </c>
      <c r="R549" s="1">
        <f t="shared" si="333"/>
        <v>-4.8720825000782417</v>
      </c>
      <c r="S549" s="1">
        <f t="shared" si="333"/>
        <v>-3.979905094714415</v>
      </c>
      <c r="T549" s="1">
        <f t="shared" si="333"/>
        <v>-3.3548995229721617</v>
      </c>
      <c r="U549" s="1">
        <f t="shared" si="333"/>
        <v>-2.8948310040871412</v>
      </c>
      <c r="V549" s="1">
        <f t="shared" si="333"/>
        <v>-2.539702636937061</v>
      </c>
      <c r="W549" s="1">
        <f t="shared" si="333"/>
        <v>-2.2603765726905829</v>
      </c>
      <c r="X549" s="1">
        <f t="shared" si="333"/>
        <v>-2.0352763766359319</v>
      </c>
      <c r="Y549" s="1">
        <f t="shared" si="333"/>
        <v>-1.8502165565106623</v>
      </c>
      <c r="Z549" s="1">
        <f t="shared" si="333"/>
        <v>-1.6955137307072532</v>
      </c>
      <c r="AA549" s="1">
        <f t="shared" si="333"/>
        <v>-1.5643456163702474</v>
      </c>
      <c r="AB549" s="1">
        <f t="shared" si="333"/>
        <v>-1.4517745949627814</v>
      </c>
      <c r="AC549" s="1">
        <f t="shared" si="333"/>
        <v>-1.3538077881861361</v>
      </c>
      <c r="AD549" s="1">
        <f t="shared" si="333"/>
        <v>-1.2666248432854996</v>
      </c>
      <c r="AE549" s="1">
        <f t="shared" si="333"/>
        <v>-1.1898493016440612</v>
      </c>
      <c r="AF549" s="1">
        <f t="shared" si="333"/>
        <v>-1.1217409027138603</v>
      </c>
      <c r="AG549" s="1">
        <f t="shared" si="333"/>
        <v>-1.0609238371845211</v>
      </c>
      <c r="AH549" s="1">
        <f t="shared" si="333"/>
        <v>-1.0062967045274178</v>
      </c>
      <c r="AI549" s="1">
        <f t="shared" si="333"/>
        <v>-0.95696776471423928</v>
      </c>
      <c r="AJ549" s="1">
        <f t="shared" si="333"/>
        <v>-0.91220760316904193</v>
      </c>
      <c r="AK549" s="1">
        <f t="shared" si="333"/>
        <v>-0.87027180000513005</v>
      </c>
      <c r="AL549" s="1">
        <f t="shared" si="333"/>
        <v>-0.8318414260526189</v>
      </c>
      <c r="AM549" s="1">
        <f t="shared" si="333"/>
        <v>-0.79662019191590816</v>
      </c>
      <c r="AN549" s="1">
        <f t="shared" si="333"/>
        <v>-0.76422618193552516</v>
      </c>
      <c r="AO549" s="1">
        <f t="shared" si="333"/>
        <v>-0.73433527983632951</v>
      </c>
    </row>
    <row r="550" spans="2:41">
      <c r="B550" s="1">
        <f t="shared" ref="B550:AO550" si="334">1/B403*(1+B354/SQRT(B354^2+B403^2))</f>
        <v>1.9526857623223992</v>
      </c>
      <c r="C550" s="1">
        <f t="shared" si="334"/>
        <v>2.1736770360026449</v>
      </c>
      <c r="D550" s="1">
        <f t="shared" si="334"/>
        <v>2.4489301771197423</v>
      </c>
      <c r="E550" s="1">
        <f t="shared" si="334"/>
        <v>2.8003687727488518</v>
      </c>
      <c r="F550" s="1">
        <f t="shared" si="334"/>
        <v>3.2615953907537181</v>
      </c>
      <c r="G550" s="1">
        <f t="shared" si="334"/>
        <v>3.8777432790171908</v>
      </c>
      <c r="H550" s="1">
        <f t="shared" si="334"/>
        <v>4.7604452954856216</v>
      </c>
      <c r="I550" s="1">
        <f t="shared" si="334"/>
        <v>6.1134782035700717</v>
      </c>
      <c r="J550" s="1">
        <f t="shared" si="334"/>
        <v>8.3947122404415371</v>
      </c>
      <c r="K550" s="1">
        <f t="shared" si="334"/>
        <v>12.83190265133709</v>
      </c>
      <c r="L550" s="1">
        <f t="shared" si="334"/>
        <v>23.861373543584882</v>
      </c>
      <c r="M550" s="1">
        <f t="shared" si="334"/>
        <v>78.76572118764058</v>
      </c>
      <c r="N550" s="1">
        <f t="shared" si="334"/>
        <v>-78.780899488126195</v>
      </c>
      <c r="O550" s="1">
        <f t="shared" si="334"/>
        <v>-23.974337982830388</v>
      </c>
      <c r="P550" s="1">
        <f t="shared" si="334"/>
        <v>-12.989687181502594</v>
      </c>
      <c r="Q550" s="1">
        <f t="shared" si="334"/>
        <v>-8.5525282870968571</v>
      </c>
      <c r="R550" s="1">
        <f t="shared" si="334"/>
        <v>-6.2578452616577849</v>
      </c>
      <c r="S550" s="1">
        <f t="shared" si="334"/>
        <v>-4.8895865252106683</v>
      </c>
      <c r="T550" s="1">
        <f t="shared" si="334"/>
        <v>-3.9930760427997045</v>
      </c>
      <c r="U550" s="1">
        <f t="shared" si="334"/>
        <v>-3.3651157980306783</v>
      </c>
      <c r="V550" s="1">
        <f t="shared" si="334"/>
        <v>-2.8988262998966148</v>
      </c>
      <c r="W550" s="1">
        <f t="shared" si="334"/>
        <v>-2.5429545967699201</v>
      </c>
      <c r="X550" s="1">
        <f t="shared" si="334"/>
        <v>-2.2630711435243316</v>
      </c>
      <c r="Y550" s="1">
        <f t="shared" si="334"/>
        <v>-2.0375433422012699</v>
      </c>
      <c r="Z550" s="1">
        <f t="shared" si="334"/>
        <v>-1.852148891247174</v>
      </c>
      <c r="AA550" s="1">
        <f t="shared" si="334"/>
        <v>-1.6971796042817195</v>
      </c>
      <c r="AB550" s="1">
        <f t="shared" si="334"/>
        <v>-1.5657960524898438</v>
      </c>
      <c r="AC550" s="1">
        <f t="shared" si="334"/>
        <v>-1.4526695484559762</v>
      </c>
      <c r="AD550" s="1">
        <f t="shared" si="334"/>
        <v>-1.3529568636562059</v>
      </c>
      <c r="AE550" s="1">
        <f t="shared" si="334"/>
        <v>-1.2658661730141043</v>
      </c>
      <c r="AF550" s="1">
        <f t="shared" si="334"/>
        <v>-1.1891687868425831</v>
      </c>
      <c r="AG550" s="1">
        <f t="shared" si="334"/>
        <v>-1.1211271542524579</v>
      </c>
      <c r="AH550" s="1">
        <f t="shared" si="334"/>
        <v>-1.0603675596781441</v>
      </c>
      <c r="AI550" s="1">
        <f t="shared" si="334"/>
        <v>-1.0057902398065697</v>
      </c>
      <c r="AJ550" s="1">
        <f t="shared" si="334"/>
        <v>-0.95650474892118464</v>
      </c>
      <c r="AK550" s="1">
        <f t="shared" si="334"/>
        <v>-0.91054221044316985</v>
      </c>
      <c r="AL550" s="1">
        <f t="shared" si="334"/>
        <v>-0.86859332940257261</v>
      </c>
      <c r="AM550" s="1">
        <f t="shared" si="334"/>
        <v>-0.83029043405532699</v>
      </c>
      <c r="AN550" s="1">
        <f t="shared" si="334"/>
        <v>-0.79518280309940126</v>
      </c>
      <c r="AO550" s="1">
        <f t="shared" si="334"/>
        <v>-0.76289044858441479</v>
      </c>
    </row>
    <row r="551" spans="2:41">
      <c r="B551" s="1">
        <f t="shared" ref="B551:AO551" si="335">1/B404*(1+B355/SQRT(B355^2+B404^2))</f>
        <v>1.7802872438230517</v>
      </c>
      <c r="C551" s="1">
        <f t="shared" si="335"/>
        <v>1.9628900919477037</v>
      </c>
      <c r="D551" s="1">
        <f t="shared" si="335"/>
        <v>2.185823782592708</v>
      </c>
      <c r="E551" s="1">
        <f t="shared" si="335"/>
        <v>2.4636108632127192</v>
      </c>
      <c r="F551" s="1">
        <f t="shared" si="335"/>
        <v>2.81729177036196</v>
      </c>
      <c r="G551" s="1">
        <f t="shared" si="335"/>
        <v>3.2715400115927413</v>
      </c>
      <c r="H551" s="1">
        <f t="shared" si="335"/>
        <v>3.8906037939334013</v>
      </c>
      <c r="I551" s="1">
        <f t="shared" si="335"/>
        <v>4.7775980195545786</v>
      </c>
      <c r="J551" s="1">
        <f t="shared" si="335"/>
        <v>6.137167985244524</v>
      </c>
      <c r="K551" s="1">
        <f t="shared" si="335"/>
        <v>8.4285333056360212</v>
      </c>
      <c r="L551" s="1">
        <f t="shared" si="335"/>
        <v>12.880457837274326</v>
      </c>
      <c r="M551" s="1">
        <f t="shared" si="335"/>
        <v>23.922568694968813</v>
      </c>
      <c r="N551" s="1">
        <f t="shared" si="335"/>
        <v>78.774544037904391</v>
      </c>
      <c r="O551" s="1">
        <f t="shared" si="335"/>
        <v>-78.784116685907705</v>
      </c>
      <c r="P551" s="1">
        <f t="shared" si="335"/>
        <v>-23.97965901267132</v>
      </c>
      <c r="Q551" s="1">
        <f t="shared" si="335"/>
        <v>-12.99387099027849</v>
      </c>
      <c r="R551" s="1">
        <f t="shared" si="335"/>
        <v>-8.5554514124331753</v>
      </c>
      <c r="S551" s="1">
        <f t="shared" si="335"/>
        <v>-6.2599037974519938</v>
      </c>
      <c r="T551" s="1">
        <f t="shared" si="335"/>
        <v>-4.8910846734931468</v>
      </c>
      <c r="U551" s="1">
        <f t="shared" si="335"/>
        <v>-3.9942042110814131</v>
      </c>
      <c r="V551" s="1">
        <f t="shared" si="335"/>
        <v>-3.3607975110421453</v>
      </c>
      <c r="W551" s="1">
        <f t="shared" si="335"/>
        <v>-2.8953844859444331</v>
      </c>
      <c r="X551" s="1">
        <f t="shared" si="335"/>
        <v>-2.5401530952073634</v>
      </c>
      <c r="Y551" s="1">
        <f t="shared" si="335"/>
        <v>-2.2607497932992278</v>
      </c>
      <c r="Z551" s="1">
        <f t="shared" si="335"/>
        <v>-2.0355903519970493</v>
      </c>
      <c r="AA551" s="1">
        <f t="shared" si="335"/>
        <v>-1.8504841732693007</v>
      </c>
      <c r="AB551" s="1">
        <f t="shared" si="335"/>
        <v>-1.6957444359146558</v>
      </c>
      <c r="AC551" s="1">
        <f t="shared" si="335"/>
        <v>-1.5641148711142103</v>
      </c>
      <c r="AD551" s="1">
        <f t="shared" si="335"/>
        <v>-1.4493357154986262</v>
      </c>
      <c r="AE551" s="1">
        <f t="shared" si="335"/>
        <v>-1.3500046216886767</v>
      </c>
      <c r="AF551" s="1">
        <f t="shared" si="335"/>
        <v>-1.2632341854311904</v>
      </c>
      <c r="AG551" s="1">
        <f t="shared" si="335"/>
        <v>-1.1868080744744185</v>
      </c>
      <c r="AH551" s="1">
        <f t="shared" si="335"/>
        <v>-1.1189981597334695</v>
      </c>
      <c r="AI551" s="1">
        <f t="shared" si="335"/>
        <v>-1.0584380035852814</v>
      </c>
      <c r="AJ551" s="1">
        <f t="shared" si="335"/>
        <v>-1.0040335322526841</v>
      </c>
      <c r="AK551" s="1">
        <f t="shared" si="335"/>
        <v>-0.95354643268627481</v>
      </c>
      <c r="AL551" s="1">
        <f t="shared" si="335"/>
        <v>-0.90766980587630464</v>
      </c>
      <c r="AM551" s="1">
        <f t="shared" si="335"/>
        <v>-0.86594760725743103</v>
      </c>
      <c r="AN551" s="1">
        <f t="shared" si="335"/>
        <v>-0.82784580189617196</v>
      </c>
      <c r="AO551" s="1">
        <f t="shared" si="335"/>
        <v>-0.79291735056365042</v>
      </c>
    </row>
    <row r="552" spans="2:41">
      <c r="B552" s="1">
        <f t="shared" ref="B552:AO552" si="336">1/B405*(1+B356/SQRT(B356^2+B405^2))</f>
        <v>1.6358966821897756</v>
      </c>
      <c r="C552" s="1">
        <f t="shared" si="336"/>
        <v>1.7892921779255957</v>
      </c>
      <c r="D552" s="1">
        <f t="shared" si="336"/>
        <v>1.9734644439259579</v>
      </c>
      <c r="E552" s="1">
        <f t="shared" si="336"/>
        <v>2.198403526012823</v>
      </c>
      <c r="F552" s="1">
        <f t="shared" si="336"/>
        <v>2.4778812586015255</v>
      </c>
      <c r="G552" s="1">
        <f t="shared" si="336"/>
        <v>2.825864972044593</v>
      </c>
      <c r="H552" s="1">
        <f t="shared" si="336"/>
        <v>3.2823340218859198</v>
      </c>
      <c r="I552" s="1">
        <f t="shared" si="336"/>
        <v>3.9045498218294661</v>
      </c>
      <c r="J552" s="1">
        <f t="shared" si="336"/>
        <v>4.7961722343756881</v>
      </c>
      <c r="K552" s="1">
        <f t="shared" si="336"/>
        <v>6.1627625560453181</v>
      </c>
      <c r="L552" s="1">
        <f t="shared" si="336"/>
        <v>8.4649315755601862</v>
      </c>
      <c r="M552" s="1">
        <f t="shared" si="336"/>
        <v>12.932348488269923</v>
      </c>
      <c r="N552" s="1">
        <f t="shared" si="336"/>
        <v>23.942569438564089</v>
      </c>
      <c r="O552" s="1">
        <f t="shared" si="336"/>
        <v>78.780938110674626</v>
      </c>
      <c r="P552" s="1">
        <f t="shared" si="336"/>
        <v>-78.79043722407549</v>
      </c>
      <c r="Q552" s="1">
        <f t="shared" si="336"/>
        <v>-23.990132441950291</v>
      </c>
      <c r="R552" s="1">
        <f t="shared" si="336"/>
        <v>-13.002118647224449</v>
      </c>
      <c r="S552" s="1">
        <f t="shared" si="336"/>
        <v>-8.5612189115771127</v>
      </c>
      <c r="T552" s="1">
        <f t="shared" si="336"/>
        <v>-6.2639674176138991</v>
      </c>
      <c r="U552" s="1">
        <f t="shared" si="336"/>
        <v>-4.8940429368070939</v>
      </c>
      <c r="V552" s="1">
        <f t="shared" si="336"/>
        <v>-3.9897432436404081</v>
      </c>
      <c r="W552" s="1">
        <f t="shared" si="336"/>
        <v>-3.3573302428065466</v>
      </c>
      <c r="X552" s="1">
        <f t="shared" si="336"/>
        <v>-2.8926216794339821</v>
      </c>
      <c r="Y552" s="1">
        <f t="shared" si="336"/>
        <v>-2.5379046990478145</v>
      </c>
      <c r="Z552" s="1">
        <f t="shared" si="336"/>
        <v>-2.2588870090920365</v>
      </c>
      <c r="AA552" s="1">
        <f t="shared" si="336"/>
        <v>-2.0340233256982794</v>
      </c>
      <c r="AB552" s="1">
        <f t="shared" si="336"/>
        <v>-1.8491485578244651</v>
      </c>
      <c r="AC552" s="1">
        <f t="shared" si="336"/>
        <v>-1.6940971600859036</v>
      </c>
      <c r="AD552" s="1">
        <f t="shared" si="336"/>
        <v>-1.560565224559886</v>
      </c>
      <c r="AE552" s="1">
        <f t="shared" si="336"/>
        <v>-1.4462164123546772</v>
      </c>
      <c r="AF552" s="1">
        <f t="shared" si="336"/>
        <v>-1.3472426965375182</v>
      </c>
      <c r="AG552" s="1">
        <f t="shared" si="336"/>
        <v>-1.2607721226287729</v>
      </c>
      <c r="AH552" s="1">
        <f t="shared" si="336"/>
        <v>-1.1845999633695092</v>
      </c>
      <c r="AI552" s="1">
        <f t="shared" si="336"/>
        <v>-1.1170069329446022</v>
      </c>
      <c r="AJ552" s="1">
        <f t="shared" si="336"/>
        <v>-1.0566334216469653</v>
      </c>
      <c r="AK552" s="1">
        <f t="shared" si="336"/>
        <v>-1.0009106991004406</v>
      </c>
      <c r="AL552" s="1">
        <f t="shared" si="336"/>
        <v>-0.95051974271819439</v>
      </c>
      <c r="AM552" s="1">
        <f t="shared" si="336"/>
        <v>-0.90489172412546937</v>
      </c>
      <c r="AN552" s="1">
        <f t="shared" si="336"/>
        <v>-0.863388973824884</v>
      </c>
      <c r="AO552" s="1">
        <f t="shared" si="336"/>
        <v>-0.82548180815554428</v>
      </c>
    </row>
    <row r="553" spans="2:41">
      <c r="B553" s="1">
        <f t="shared" ref="B553:AO553" si="337">1/B406*(1+B357/SQRT(B357^2+B406^2))</f>
        <v>1.5130043902198043</v>
      </c>
      <c r="C553" s="1">
        <f t="shared" si="337"/>
        <v>1.6436395506223647</v>
      </c>
      <c r="D553" s="1">
        <f t="shared" si="337"/>
        <v>1.7982789060410931</v>
      </c>
      <c r="E553" s="1">
        <f t="shared" si="337"/>
        <v>1.9840123920597807</v>
      </c>
      <c r="F553" s="1">
        <f t="shared" si="337"/>
        <v>2.210183075684673</v>
      </c>
      <c r="G553" s="1">
        <f t="shared" si="337"/>
        <v>2.4848278815266549</v>
      </c>
      <c r="H553" s="1">
        <f t="shared" si="337"/>
        <v>2.8344185902173513</v>
      </c>
      <c r="I553" s="1">
        <f t="shared" si="337"/>
        <v>3.2930961609647182</v>
      </c>
      <c r="J553" s="1">
        <f t="shared" si="337"/>
        <v>3.9184410816056006</v>
      </c>
      <c r="K553" s="1">
        <f t="shared" si="337"/>
        <v>4.8146459353388353</v>
      </c>
      <c r="L553" s="1">
        <f t="shared" si="337"/>
        <v>6.1881576936795595</v>
      </c>
      <c r="M553" s="1">
        <f t="shared" si="337"/>
        <v>8.5008992260447975</v>
      </c>
      <c r="N553" s="1">
        <f t="shared" si="337"/>
        <v>12.94803923940098</v>
      </c>
      <c r="O553" s="1">
        <f t="shared" si="337"/>
        <v>23.953235599917864</v>
      </c>
      <c r="P553" s="1">
        <f t="shared" si="337"/>
        <v>78.787283036502458</v>
      </c>
      <c r="Q553" s="1">
        <f t="shared" si="337"/>
        <v>-78.796709354718672</v>
      </c>
      <c r="R553" s="1">
        <f t="shared" si="337"/>
        <v>-24.000551538532431</v>
      </c>
      <c r="S553" s="1">
        <f t="shared" si="337"/>
        <v>-13.010340198742318</v>
      </c>
      <c r="T553" s="1">
        <f t="shared" si="337"/>
        <v>-8.5669748606101166</v>
      </c>
      <c r="U553" s="1">
        <f t="shared" si="337"/>
        <v>-6.2680255631605775</v>
      </c>
      <c r="V553" s="1">
        <f t="shared" si="337"/>
        <v>-4.8881235795982194</v>
      </c>
      <c r="W553" s="1">
        <f t="shared" si="337"/>
        <v>-3.9852759556275745</v>
      </c>
      <c r="X553" s="1">
        <f t="shared" si="337"/>
        <v>-3.3538592157523723</v>
      </c>
      <c r="Y553" s="1">
        <f t="shared" si="337"/>
        <v>-2.8898565147410102</v>
      </c>
      <c r="Z553" s="1">
        <f t="shared" si="337"/>
        <v>-2.5356547561363638</v>
      </c>
      <c r="AA553" s="1">
        <f t="shared" si="337"/>
        <v>-2.2570231718474361</v>
      </c>
      <c r="AB553" s="1">
        <f t="shared" si="337"/>
        <v>-2.0324555595413338</v>
      </c>
      <c r="AC553" s="1">
        <f t="shared" si="337"/>
        <v>-1.8472368964966286</v>
      </c>
      <c r="AD553" s="1">
        <f t="shared" si="337"/>
        <v>-1.6900183793060601</v>
      </c>
      <c r="AE553" s="1">
        <f t="shared" si="337"/>
        <v>-1.5570119096604689</v>
      </c>
      <c r="AF553" s="1">
        <f t="shared" si="337"/>
        <v>-1.443094333076002</v>
      </c>
      <c r="AG553" s="1">
        <f t="shared" si="337"/>
        <v>-1.3444786386228555</v>
      </c>
      <c r="AH553" s="1">
        <f t="shared" si="337"/>
        <v>-1.2583083993036077</v>
      </c>
      <c r="AI553" s="1">
        <f t="shared" si="337"/>
        <v>-1.1823905439163709</v>
      </c>
      <c r="AJ553" s="1">
        <f t="shared" si="337"/>
        <v>-1.1150146642150285</v>
      </c>
      <c r="AK553" s="1">
        <f t="shared" si="337"/>
        <v>-1.0532014842589219</v>
      </c>
      <c r="AL553" s="1">
        <f t="shared" si="337"/>
        <v>-0.99759820354213335</v>
      </c>
      <c r="AM553" s="1">
        <f t="shared" si="337"/>
        <v>-0.94749089718523893</v>
      </c>
      <c r="AN553" s="1">
        <f t="shared" si="337"/>
        <v>-0.90211191373607913</v>
      </c>
      <c r="AO553" s="1">
        <f t="shared" si="337"/>
        <v>-0.86082894798881049</v>
      </c>
    </row>
    <row r="554" spans="2:41">
      <c r="B554" s="1">
        <f t="shared" ref="B554:AO554" si="338">1/B407*(1+B358/SQRT(B358^2+B407^2))</f>
        <v>1.407168372903836</v>
      </c>
      <c r="C554" s="1">
        <f t="shared" si="338"/>
        <v>1.5197318141895744</v>
      </c>
      <c r="D554" s="1">
        <f t="shared" si="338"/>
        <v>1.651368992982061</v>
      </c>
      <c r="E554" s="1">
        <f t="shared" si="338"/>
        <v>1.8072466164213392</v>
      </c>
      <c r="F554" s="1">
        <f t="shared" si="338"/>
        <v>1.9938943031001701</v>
      </c>
      <c r="G554" s="1">
        <f t="shared" si="338"/>
        <v>2.2159199915760079</v>
      </c>
      <c r="H554" s="1">
        <f t="shared" si="338"/>
        <v>2.4917617138285402</v>
      </c>
      <c r="I554" s="1">
        <f t="shared" si="338"/>
        <v>2.8429523319044163</v>
      </c>
      <c r="J554" s="1">
        <f t="shared" si="338"/>
        <v>3.3038260003573461</v>
      </c>
      <c r="K554" s="1">
        <f t="shared" si="338"/>
        <v>3.932276947646745</v>
      </c>
      <c r="L554" s="1">
        <f t="shared" si="338"/>
        <v>4.8330182627058926</v>
      </c>
      <c r="M554" s="1">
        <f t="shared" si="338"/>
        <v>6.2133525631738182</v>
      </c>
      <c r="N554" s="1">
        <f t="shared" si="338"/>
        <v>8.5118262809297569</v>
      </c>
      <c r="O554" s="1">
        <f t="shared" si="338"/>
        <v>12.956431676740021</v>
      </c>
      <c r="P554" s="1">
        <f t="shared" si="338"/>
        <v>23.963846284643495</v>
      </c>
      <c r="Q554" s="1">
        <f t="shared" si="338"/>
        <v>78.793579309862011</v>
      </c>
      <c r="R554" s="1">
        <f t="shared" si="338"/>
        <v>-78.802933563192454</v>
      </c>
      <c r="S554" s="1">
        <f t="shared" si="338"/>
        <v>-24.010916625010488</v>
      </c>
      <c r="T554" s="1">
        <f t="shared" si="338"/>
        <v>-13.018535712251373</v>
      </c>
      <c r="U554" s="1">
        <f t="shared" si="338"/>
        <v>-8.5727192670936123</v>
      </c>
      <c r="V554" s="1">
        <f t="shared" si="338"/>
        <v>-6.2599037974519929</v>
      </c>
      <c r="W554" s="1">
        <f t="shared" si="338"/>
        <v>-4.8821929124135623</v>
      </c>
      <c r="X554" s="1">
        <f t="shared" si="338"/>
        <v>-3.9808023661168739</v>
      </c>
      <c r="Y554" s="1">
        <f t="shared" si="338"/>
        <v>-3.3503844433758894</v>
      </c>
      <c r="Z554" s="1">
        <f t="shared" si="338"/>
        <v>-2.8870890012842367</v>
      </c>
      <c r="AA554" s="1">
        <f t="shared" si="338"/>
        <v>-2.5334032731088341</v>
      </c>
      <c r="AB554" s="1">
        <f t="shared" si="338"/>
        <v>-2.255158286320186</v>
      </c>
      <c r="AC554" s="1">
        <f t="shared" si="338"/>
        <v>-2.0302114313804731</v>
      </c>
      <c r="AD554" s="1">
        <f t="shared" si="338"/>
        <v>-1.8425028324867179</v>
      </c>
      <c r="AE554" s="1">
        <f t="shared" si="338"/>
        <v>-1.6859347548115002</v>
      </c>
      <c r="AF554" s="1">
        <f t="shared" si="338"/>
        <v>-1.5534549934214474</v>
      </c>
      <c r="AG554" s="1">
        <f t="shared" si="338"/>
        <v>-1.4399695300632389</v>
      </c>
      <c r="AH554" s="1">
        <f t="shared" si="338"/>
        <v>-1.3417124894431991</v>
      </c>
      <c r="AI554" s="1">
        <f t="shared" si="338"/>
        <v>-1.2558430487036911</v>
      </c>
      <c r="AJ554" s="1">
        <f t="shared" si="338"/>
        <v>-1.1801798430383199</v>
      </c>
      <c r="AK554" s="1">
        <f t="shared" si="338"/>
        <v>-1.111225525670017</v>
      </c>
      <c r="AL554" s="1">
        <f t="shared" si="338"/>
        <v>-1.049560830043174</v>
      </c>
      <c r="AM554" s="1">
        <f t="shared" si="338"/>
        <v>-0.99428312983869849</v>
      </c>
      <c r="AN554" s="1">
        <f t="shared" si="338"/>
        <v>-0.94446000012368292</v>
      </c>
      <c r="AO554" s="1">
        <f t="shared" si="338"/>
        <v>-0.89933046265422734</v>
      </c>
    </row>
    <row r="555" spans="2:41">
      <c r="B555" s="1">
        <f t="shared" ref="B555:AO555" si="339">1/B408*(1+B359/SQRT(B359^2+B408^2))</f>
        <v>1.315086082905734</v>
      </c>
      <c r="C555" s="1">
        <f t="shared" si="339"/>
        <v>1.4130669370249258</v>
      </c>
      <c r="D555" s="1">
        <f t="shared" si="339"/>
        <v>1.5264491270869198</v>
      </c>
      <c r="E555" s="1">
        <f t="shared" si="339"/>
        <v>1.6590844025745943</v>
      </c>
      <c r="F555" s="1">
        <f t="shared" si="339"/>
        <v>1.815651310025707</v>
      </c>
      <c r="G555" s="1">
        <f t="shared" si="339"/>
        <v>1.9987088054326811</v>
      </c>
      <c r="H555" s="1">
        <f t="shared" si="339"/>
        <v>2.2216482205489267</v>
      </c>
      <c r="I555" s="1">
        <f t="shared" si="339"/>
        <v>2.4986825540963791</v>
      </c>
      <c r="J555" s="1">
        <f t="shared" si="339"/>
        <v>2.8514659079934792</v>
      </c>
      <c r="K555" s="1">
        <f t="shared" si="339"/>
        <v>3.3145231192703122</v>
      </c>
      <c r="L555" s="1">
        <f t="shared" si="339"/>
        <v>3.9460568106034755</v>
      </c>
      <c r="M555" s="1">
        <f t="shared" si="339"/>
        <v>4.8512883935243645</v>
      </c>
      <c r="N555" s="1">
        <f t="shared" si="339"/>
        <v>6.2210268445277759</v>
      </c>
      <c r="O555" s="1">
        <f t="shared" si="339"/>
        <v>8.5176806335245985</v>
      </c>
      <c r="P555" s="1">
        <f t="shared" si="339"/>
        <v>12.964797639703502</v>
      </c>
      <c r="Q555" s="1">
        <f t="shared" si="339"/>
        <v>23.974401821946046</v>
      </c>
      <c r="R555" s="1">
        <f t="shared" si="339"/>
        <v>78.799827419126174</v>
      </c>
      <c r="S555" s="1">
        <f t="shared" si="339"/>
        <v>-78.809110328883577</v>
      </c>
      <c r="T555" s="1">
        <f t="shared" si="339"/>
        <v>-24.021228022102544</v>
      </c>
      <c r="U555" s="1">
        <f t="shared" si="339"/>
        <v>-13.026705255265318</v>
      </c>
      <c r="V555" s="1">
        <f t="shared" si="339"/>
        <v>-8.5612189115771145</v>
      </c>
      <c r="W555" s="1">
        <f t="shared" si="339"/>
        <v>-6.2517601429746943</v>
      </c>
      <c r="X555" s="1">
        <f t="shared" si="339"/>
        <v>-4.8762509602116904</v>
      </c>
      <c r="Y555" s="1">
        <f t="shared" si="339"/>
        <v>-3.9763224943730542</v>
      </c>
      <c r="Z555" s="1">
        <f t="shared" si="339"/>
        <v>-3.3469059392657323</v>
      </c>
      <c r="AA555" s="1">
        <f t="shared" si="339"/>
        <v>-2.8843191485299928</v>
      </c>
      <c r="AB555" s="1">
        <f t="shared" si="339"/>
        <v>-2.5311502566270048</v>
      </c>
      <c r="AC555" s="1">
        <f t="shared" si="339"/>
        <v>-2.2524885650716113</v>
      </c>
      <c r="AD555" s="1">
        <f t="shared" si="339"/>
        <v>-2.024653087233145</v>
      </c>
      <c r="AE555" s="1">
        <f t="shared" si="339"/>
        <v>-1.8377622408297301</v>
      </c>
      <c r="AF555" s="1">
        <f t="shared" si="339"/>
        <v>-1.6818463740046443</v>
      </c>
      <c r="AG555" s="1">
        <f t="shared" si="339"/>
        <v>-1.5498945432050206</v>
      </c>
      <c r="AH555" s="1">
        <f t="shared" si="339"/>
        <v>-1.4368420559552231</v>
      </c>
      <c r="AI555" s="1">
        <f t="shared" si="339"/>
        <v>-1.338944290659613</v>
      </c>
      <c r="AJ555" s="1">
        <f t="shared" si="339"/>
        <v>-1.2533761041901235</v>
      </c>
      <c r="AK555" s="1">
        <f t="shared" si="339"/>
        <v>-1.1759749277380414</v>
      </c>
      <c r="AL555" s="1">
        <f t="shared" si="339"/>
        <v>-1.1072055879167781</v>
      </c>
      <c r="AM555" s="1">
        <f t="shared" si="339"/>
        <v>-1.0459170659439503</v>
      </c>
      <c r="AN555" s="1">
        <f t="shared" si="339"/>
        <v>-0.99096560237927289</v>
      </c>
      <c r="AO555" s="1">
        <f t="shared" si="339"/>
        <v>-0.94142715592679771</v>
      </c>
    </row>
    <row r="556" spans="2:41">
      <c r="B556" s="1">
        <f t="shared" ref="B556:AO556" si="340">1/B409*(1+B360/SQRT(B360^2+B409^2))</f>
        <v>1.2342524100239005</v>
      </c>
      <c r="C556" s="1">
        <f t="shared" si="340"/>
        <v>1.3202994803820187</v>
      </c>
      <c r="D556" s="1">
        <f t="shared" si="340"/>
        <v>1.4189577459458225</v>
      </c>
      <c r="E556" s="1">
        <f t="shared" si="340"/>
        <v>1.5331558669576419</v>
      </c>
      <c r="F556" s="1">
        <f t="shared" si="340"/>
        <v>1.6663176194435123</v>
      </c>
      <c r="G556" s="1">
        <f t="shared" si="340"/>
        <v>1.8197472809386015</v>
      </c>
      <c r="H556" s="1">
        <f t="shared" si="340"/>
        <v>2.0035172115307103</v>
      </c>
      <c r="I556" s="1">
        <f t="shared" si="340"/>
        <v>2.2273676206988746</v>
      </c>
      <c r="J556" s="1">
        <f t="shared" si="340"/>
        <v>2.505590203001367</v>
      </c>
      <c r="K556" s="1">
        <f t="shared" si="340"/>
        <v>2.859959033270675</v>
      </c>
      <c r="L556" s="1">
        <f t="shared" si="340"/>
        <v>3.3251871046331232</v>
      </c>
      <c r="M556" s="1">
        <f t="shared" si="340"/>
        <v>3.9597800774119301</v>
      </c>
      <c r="N556" s="1">
        <f t="shared" si="340"/>
        <v>4.8568619880033337</v>
      </c>
      <c r="O556" s="1">
        <f t="shared" si="340"/>
        <v>6.2251423448433449</v>
      </c>
      <c r="P556" s="1">
        <f t="shared" si="340"/>
        <v>8.5235233835470385</v>
      </c>
      <c r="Q556" s="1">
        <f t="shared" si="340"/>
        <v>12.9731371951227</v>
      </c>
      <c r="R556" s="1">
        <f t="shared" si="340"/>
        <v>23.984902539133365</v>
      </c>
      <c r="S556" s="1">
        <f t="shared" si="340"/>
        <v>78.806027846654956</v>
      </c>
      <c r="T556" s="1">
        <f t="shared" si="340"/>
        <v>-78.81524012529627</v>
      </c>
      <c r="U556" s="1">
        <f t="shared" si="340"/>
        <v>-24.031486048658827</v>
      </c>
      <c r="V556" s="1">
        <f t="shared" si="340"/>
        <v>-13.010340198742318</v>
      </c>
      <c r="W556" s="1">
        <f t="shared" si="340"/>
        <v>-8.5496723557480561</v>
      </c>
      <c r="X556" s="1">
        <f t="shared" si="340"/>
        <v>-6.2435946197187802</v>
      </c>
      <c r="Y556" s="1">
        <f t="shared" si="340"/>
        <v>-4.8702977483717005</v>
      </c>
      <c r="Z556" s="1">
        <f t="shared" si="340"/>
        <v>-3.9718363598516717</v>
      </c>
      <c r="AA556" s="1">
        <f t="shared" si="340"/>
        <v>-3.3434237171028247</v>
      </c>
      <c r="AB556" s="1">
        <f t="shared" si="340"/>
        <v>-2.8815469659921256</v>
      </c>
      <c r="AC556" s="1">
        <f t="shared" si="340"/>
        <v>-2.5279244349130892</v>
      </c>
      <c r="AD556" s="1">
        <f t="shared" si="340"/>
        <v>-2.2458746346148741</v>
      </c>
      <c r="AE556" s="1">
        <f t="shared" si="340"/>
        <v>-2.0190857365698793</v>
      </c>
      <c r="AF556" s="1">
        <f t="shared" si="340"/>
        <v>-1.8330152374755313</v>
      </c>
      <c r="AG556" s="1">
        <f t="shared" si="340"/>
        <v>-1.6777533248268215</v>
      </c>
      <c r="AH556" s="1">
        <f t="shared" si="340"/>
        <v>-1.5463306267242132</v>
      </c>
      <c r="AI556" s="1">
        <f t="shared" si="340"/>
        <v>-1.4337119636248397</v>
      </c>
      <c r="AJ556" s="1">
        <f t="shared" si="340"/>
        <v>-1.3361740840927394</v>
      </c>
      <c r="AK556" s="1">
        <f t="shared" si="340"/>
        <v>-1.2486833547636047</v>
      </c>
      <c r="AL556" s="1">
        <f t="shared" si="340"/>
        <v>-1.1715134244525813</v>
      </c>
      <c r="AM556" s="1">
        <f t="shared" si="340"/>
        <v>-1.1031818637052591</v>
      </c>
      <c r="AN556" s="1">
        <f t="shared" si="340"/>
        <v>-1.0422703419080619</v>
      </c>
      <c r="AO556" s="1">
        <f t="shared" si="340"/>
        <v>-0.98764574602000343</v>
      </c>
    </row>
    <row r="557" spans="2:41">
      <c r="B557" s="1">
        <f t="shared" ref="B557:AO557" si="341">1/B410*(1+B361/SQRT(B361^2+B410^2))</f>
        <v>1.1627335079134224</v>
      </c>
      <c r="C557" s="1">
        <f t="shared" si="341"/>
        <v>1.2388930522606114</v>
      </c>
      <c r="D557" s="1">
        <f t="shared" si="341"/>
        <v>1.3255068331130142</v>
      </c>
      <c r="E557" s="1">
        <f t="shared" si="341"/>
        <v>1.4248404420572665</v>
      </c>
      <c r="F557" s="1">
        <f t="shared" si="341"/>
        <v>1.5394449906411949</v>
      </c>
      <c r="G557" s="1">
        <f t="shared" si="341"/>
        <v>1.6698434777260649</v>
      </c>
      <c r="H557" s="1">
        <f t="shared" si="341"/>
        <v>1.8238388531809757</v>
      </c>
      <c r="I557" s="1">
        <f t="shared" si="341"/>
        <v>2.0083194190435121</v>
      </c>
      <c r="J557" s="1">
        <f t="shared" si="341"/>
        <v>2.2330780513044881</v>
      </c>
      <c r="K557" s="1">
        <f t="shared" si="341"/>
        <v>2.512484463319467</v>
      </c>
      <c r="L557" s="1">
        <f t="shared" si="341"/>
        <v>2.8684314264538515</v>
      </c>
      <c r="M557" s="1">
        <f t="shared" si="341"/>
        <v>3.3358175511391503</v>
      </c>
      <c r="N557" s="1">
        <f t="shared" si="341"/>
        <v>3.9639706138312385</v>
      </c>
      <c r="O557" s="1">
        <f t="shared" si="341"/>
        <v>4.8598526119893304</v>
      </c>
      <c r="P557" s="1">
        <f t="shared" si="341"/>
        <v>6.2292523958798203</v>
      </c>
      <c r="Q557" s="1">
        <f t="shared" si="341"/>
        <v>8.5293545375506081</v>
      </c>
      <c r="R557" s="1">
        <f t="shared" si="341"/>
        <v>12.981450409944664</v>
      </c>
      <c r="S557" s="1">
        <f t="shared" si="341"/>
        <v>23.995348761622445</v>
      </c>
      <c r="T557" s="1">
        <f t="shared" si="341"/>
        <v>78.812181068883518</v>
      </c>
      <c r="U557" s="1">
        <f t="shared" si="341"/>
        <v>-78.821323420137688</v>
      </c>
      <c r="V557" s="1">
        <f t="shared" si="341"/>
        <v>-24.010916625010434</v>
      </c>
      <c r="W557" s="1">
        <f t="shared" si="341"/>
        <v>-12.993870990278516</v>
      </c>
      <c r="X557" s="1">
        <f t="shared" si="341"/>
        <v>-8.5380795406948256</v>
      </c>
      <c r="Y557" s="1">
        <f t="shared" si="341"/>
        <v>-6.2354072486479897</v>
      </c>
      <c r="Z557" s="1">
        <f t="shared" si="341"/>
        <v>-4.8643333026942344</v>
      </c>
      <c r="AA557" s="1">
        <f t="shared" si="341"/>
        <v>-3.967343982199167</v>
      </c>
      <c r="AB557" s="1">
        <f t="shared" si="341"/>
        <v>-3.3399377906602692</v>
      </c>
      <c r="AC557" s="1">
        <f t="shared" si="341"/>
        <v>-2.877577045709752</v>
      </c>
      <c r="AD557" s="1">
        <f t="shared" si="341"/>
        <v>-2.5199305079887937</v>
      </c>
      <c r="AE557" s="1">
        <f t="shared" si="341"/>
        <v>-2.2392479324184102</v>
      </c>
      <c r="AF557" s="1">
        <f t="shared" si="341"/>
        <v>-2.0135095361042654</v>
      </c>
      <c r="AG557" s="1">
        <f t="shared" si="341"/>
        <v>-1.8282619392124537</v>
      </c>
      <c r="AH557" s="1">
        <f t="shared" si="341"/>
        <v>-1.6736556957496869</v>
      </c>
      <c r="AI557" s="1">
        <f t="shared" si="341"/>
        <v>-1.542763312036924</v>
      </c>
      <c r="AJ557" s="1">
        <f t="shared" si="341"/>
        <v>-1.430579306174824</v>
      </c>
      <c r="AK557" s="1">
        <f t="shared" si="341"/>
        <v>-1.3309038689973891</v>
      </c>
      <c r="AL557" s="1">
        <f t="shared" si="341"/>
        <v>-1.2437036421975884</v>
      </c>
      <c r="AM557" s="1">
        <f t="shared" si="341"/>
        <v>-1.1670472632492939</v>
      </c>
      <c r="AN557" s="1">
        <f t="shared" si="341"/>
        <v>-1.0991545354176366</v>
      </c>
      <c r="AO557" s="1">
        <f t="shared" si="341"/>
        <v>-1.0386208085010225</v>
      </c>
    </row>
    <row r="558" spans="2:41">
      <c r="B558" s="1">
        <f t="shared" ref="B558:AO558" si="342">1/B411*(1+B362/SQRT(B362^2+B411^2))</f>
        <v>1.0991545354176369</v>
      </c>
      <c r="C558" s="1">
        <f t="shared" si="342"/>
        <v>1.1670472632492934</v>
      </c>
      <c r="D558" s="1">
        <f t="shared" si="342"/>
        <v>1.2437036421975887</v>
      </c>
      <c r="E558" s="1">
        <f t="shared" si="342"/>
        <v>1.3309038689973893</v>
      </c>
      <c r="F558" s="1">
        <f t="shared" si="342"/>
        <v>1.4305793061748244</v>
      </c>
      <c r="G558" s="1">
        <f t="shared" si="342"/>
        <v>1.5427633120369246</v>
      </c>
      <c r="H558" s="1">
        <f t="shared" si="342"/>
        <v>1.6736556957496878</v>
      </c>
      <c r="I558" s="1">
        <f t="shared" si="342"/>
        <v>1.8282619392124544</v>
      </c>
      <c r="J558" s="1">
        <f t="shared" si="342"/>
        <v>2.0135095361042663</v>
      </c>
      <c r="K558" s="1">
        <f t="shared" si="342"/>
        <v>2.2392479324184116</v>
      </c>
      <c r="L558" s="1">
        <f t="shared" si="342"/>
        <v>2.5199305079887955</v>
      </c>
      <c r="M558" s="1">
        <f t="shared" si="342"/>
        <v>2.8775770457097543</v>
      </c>
      <c r="N558" s="1">
        <f t="shared" si="342"/>
        <v>3.3399377906602714</v>
      </c>
      <c r="O558" s="1">
        <f t="shared" si="342"/>
        <v>3.9673439821991705</v>
      </c>
      <c r="P558" s="1">
        <f t="shared" si="342"/>
        <v>4.8643333026942388</v>
      </c>
      <c r="Q558" s="1">
        <f t="shared" si="342"/>
        <v>6.2354072486479977</v>
      </c>
      <c r="R558" s="1">
        <f t="shared" si="342"/>
        <v>8.5380795406948362</v>
      </c>
      <c r="S558" s="1">
        <f t="shared" si="342"/>
        <v>12.993870990278497</v>
      </c>
      <c r="T558" s="1">
        <f t="shared" si="342"/>
        <v>24.01091662501052</v>
      </c>
      <c r="U558" s="1">
        <f t="shared" si="342"/>
        <v>78.821323420136963</v>
      </c>
      <c r="V558" s="1">
        <f t="shared" si="342"/>
        <v>-78.812181068882808</v>
      </c>
      <c r="W558" s="1">
        <f t="shared" si="342"/>
        <v>-23.995348761622498</v>
      </c>
      <c r="X558" s="1">
        <f t="shared" si="342"/>
        <v>-12.981450409944639</v>
      </c>
      <c r="Y558" s="1">
        <f t="shared" si="342"/>
        <v>-8.5293545375505957</v>
      </c>
      <c r="Z558" s="1">
        <f t="shared" si="342"/>
        <v>-6.2292523958798123</v>
      </c>
      <c r="AA558" s="1">
        <f t="shared" si="342"/>
        <v>-4.8598526119893251</v>
      </c>
      <c r="AB558" s="1">
        <f t="shared" si="342"/>
        <v>-3.9639706138312349</v>
      </c>
      <c r="AC558" s="1">
        <f t="shared" si="342"/>
        <v>-3.3358175511391481</v>
      </c>
      <c r="AD558" s="1">
        <f t="shared" si="342"/>
        <v>-2.8684314264538506</v>
      </c>
      <c r="AE558" s="1">
        <f t="shared" si="342"/>
        <v>-2.5124844633194652</v>
      </c>
      <c r="AF558" s="1">
        <f t="shared" si="342"/>
        <v>-2.2330780513044868</v>
      </c>
      <c r="AG558" s="1">
        <f t="shared" si="342"/>
        <v>-2.0083194190435116</v>
      </c>
      <c r="AH558" s="1">
        <f t="shared" si="342"/>
        <v>-1.8238388531809751</v>
      </c>
      <c r="AI558" s="1">
        <f t="shared" si="342"/>
        <v>-1.6698434777260645</v>
      </c>
      <c r="AJ558" s="1">
        <f t="shared" si="342"/>
        <v>-1.5394449906411944</v>
      </c>
      <c r="AK558" s="1">
        <f t="shared" si="342"/>
        <v>-1.424840442057266</v>
      </c>
      <c r="AL558" s="1">
        <f t="shared" si="342"/>
        <v>-1.3255068331130135</v>
      </c>
      <c r="AM558" s="1">
        <f t="shared" si="342"/>
        <v>-1.2388930522606121</v>
      </c>
      <c r="AN558" s="1">
        <f t="shared" si="342"/>
        <v>-1.162733507913422</v>
      </c>
      <c r="AO558" s="1">
        <f t="shared" si="342"/>
        <v>-1.095265185572033</v>
      </c>
    </row>
    <row r="559" spans="2:41">
      <c r="B559" s="1">
        <f t="shared" ref="B559:AO559" si="343">1/B412*(1+B363/SQRT(B363^2+B412^2))</f>
        <v>1.0422703419080621</v>
      </c>
      <c r="C559" s="1">
        <f t="shared" si="343"/>
        <v>1.1031818637052586</v>
      </c>
      <c r="D559" s="1">
        <f t="shared" si="343"/>
        <v>1.171513424452582</v>
      </c>
      <c r="E559" s="1">
        <f t="shared" si="343"/>
        <v>1.2486833547636049</v>
      </c>
      <c r="F559" s="1">
        <f t="shared" si="343"/>
        <v>1.3361740840927396</v>
      </c>
      <c r="G559" s="1">
        <f t="shared" si="343"/>
        <v>1.4337119636248399</v>
      </c>
      <c r="H559" s="1">
        <f t="shared" si="343"/>
        <v>1.5463306267242138</v>
      </c>
      <c r="I559" s="1">
        <f t="shared" si="343"/>
        <v>1.6777533248268224</v>
      </c>
      <c r="J559" s="1">
        <f t="shared" si="343"/>
        <v>1.8330152374755317</v>
      </c>
      <c r="K559" s="1">
        <f t="shared" si="343"/>
        <v>2.0190857365698802</v>
      </c>
      <c r="L559" s="1">
        <f t="shared" si="343"/>
        <v>2.245874634614875</v>
      </c>
      <c r="M559" s="1">
        <f t="shared" si="343"/>
        <v>2.5279244349130905</v>
      </c>
      <c r="N559" s="1">
        <f t="shared" si="343"/>
        <v>2.8815469659921273</v>
      </c>
      <c r="O559" s="1">
        <f t="shared" si="343"/>
        <v>3.3434237171028274</v>
      </c>
      <c r="P559" s="1">
        <f t="shared" si="343"/>
        <v>3.9718363598516744</v>
      </c>
      <c r="Q559" s="1">
        <f t="shared" si="343"/>
        <v>4.8702977483717049</v>
      </c>
      <c r="R559" s="1">
        <f t="shared" si="343"/>
        <v>6.2435946197187855</v>
      </c>
      <c r="S559" s="1">
        <f t="shared" si="343"/>
        <v>8.5496723557480436</v>
      </c>
      <c r="T559" s="1">
        <f t="shared" si="343"/>
        <v>13.010340198742339</v>
      </c>
      <c r="U559" s="1">
        <f t="shared" si="343"/>
        <v>24.031486048658735</v>
      </c>
      <c r="V559" s="1">
        <f t="shared" si="343"/>
        <v>78.815240125296896</v>
      </c>
      <c r="W559" s="1">
        <f t="shared" si="343"/>
        <v>-78.80602784665551</v>
      </c>
      <c r="X559" s="1">
        <f t="shared" si="343"/>
        <v>-23.984902539133291</v>
      </c>
      <c r="Y559" s="1">
        <f t="shared" si="343"/>
        <v>-12.973137195122677</v>
      </c>
      <c r="Z559" s="1">
        <f t="shared" si="343"/>
        <v>-8.5235233835470279</v>
      </c>
      <c r="AA559" s="1">
        <f t="shared" si="343"/>
        <v>-6.2251423448433387</v>
      </c>
      <c r="AB559" s="1">
        <f t="shared" si="343"/>
        <v>-4.8568619880033301</v>
      </c>
      <c r="AC559" s="1">
        <f t="shared" si="343"/>
        <v>-3.9597800774119274</v>
      </c>
      <c r="AD559" s="1">
        <f t="shared" si="343"/>
        <v>-3.3251871046331209</v>
      </c>
      <c r="AE559" s="1">
        <f t="shared" si="343"/>
        <v>-2.8599590332706741</v>
      </c>
      <c r="AF559" s="1">
        <f t="shared" si="343"/>
        <v>-2.5055902030013657</v>
      </c>
      <c r="AG559" s="1">
        <f t="shared" si="343"/>
        <v>-2.2273676206988737</v>
      </c>
      <c r="AH559" s="1">
        <f t="shared" si="343"/>
        <v>-2.0035172115307098</v>
      </c>
      <c r="AI559" s="1">
        <f t="shared" si="343"/>
        <v>-1.8197472809386011</v>
      </c>
      <c r="AJ559" s="1">
        <f t="shared" si="343"/>
        <v>-1.6663176194435121</v>
      </c>
      <c r="AK559" s="1">
        <f t="shared" si="343"/>
        <v>-1.5331558669576417</v>
      </c>
      <c r="AL559" s="1">
        <f t="shared" si="343"/>
        <v>-1.418957745945822</v>
      </c>
      <c r="AM559" s="1">
        <f t="shared" si="343"/>
        <v>-1.3202994803820194</v>
      </c>
      <c r="AN559" s="1">
        <f t="shared" si="343"/>
        <v>-1.2342524100239001</v>
      </c>
      <c r="AO559" s="1">
        <f t="shared" si="343"/>
        <v>-1.1585728001638469</v>
      </c>
    </row>
    <row r="560" spans="2:41">
      <c r="B560" s="1">
        <f t="shared" ref="B560:AO560" si="344">1/B413*(1+B364/SQRT(B364^2+B413^2))</f>
        <v>0.99096560237927311</v>
      </c>
      <c r="C560" s="1">
        <f t="shared" si="344"/>
        <v>1.0459170659439498</v>
      </c>
      <c r="D560" s="1">
        <f t="shared" si="344"/>
        <v>1.1072055879167784</v>
      </c>
      <c r="E560" s="1">
        <f t="shared" si="344"/>
        <v>1.1759749277380418</v>
      </c>
      <c r="F560" s="1">
        <f t="shared" si="344"/>
        <v>1.2533761041901239</v>
      </c>
      <c r="G560" s="1">
        <f t="shared" si="344"/>
        <v>1.3389442906596134</v>
      </c>
      <c r="H560" s="1">
        <f t="shared" si="344"/>
        <v>1.4368420559552235</v>
      </c>
      <c r="I560" s="1">
        <f t="shared" si="344"/>
        <v>1.5498945432050211</v>
      </c>
      <c r="J560" s="1">
        <f t="shared" si="344"/>
        <v>1.6818463740046452</v>
      </c>
      <c r="K560" s="1">
        <f t="shared" si="344"/>
        <v>1.8377622408297305</v>
      </c>
      <c r="L560" s="1">
        <f t="shared" si="344"/>
        <v>2.024653087233145</v>
      </c>
      <c r="M560" s="1">
        <f t="shared" si="344"/>
        <v>2.2524885650716131</v>
      </c>
      <c r="N560" s="1">
        <f t="shared" si="344"/>
        <v>2.5311502566270057</v>
      </c>
      <c r="O560" s="1">
        <f t="shared" si="344"/>
        <v>2.8843191485299942</v>
      </c>
      <c r="P560" s="1">
        <f t="shared" si="344"/>
        <v>3.3469059392657341</v>
      </c>
      <c r="Q560" s="1">
        <f t="shared" si="344"/>
        <v>3.9763224943730573</v>
      </c>
      <c r="R560" s="1">
        <f t="shared" si="344"/>
        <v>4.8762509602116948</v>
      </c>
      <c r="S560" s="1">
        <f t="shared" si="344"/>
        <v>6.2517601429746881</v>
      </c>
      <c r="T560" s="1">
        <f t="shared" si="344"/>
        <v>8.5612189115771233</v>
      </c>
      <c r="U560" s="1">
        <f t="shared" si="344"/>
        <v>13.026705255265286</v>
      </c>
      <c r="V560" s="1">
        <f t="shared" si="344"/>
        <v>24.021228022102612</v>
      </c>
      <c r="W560" s="1">
        <f t="shared" si="344"/>
        <v>78.809110328882994</v>
      </c>
      <c r="X560" s="1">
        <f t="shared" si="344"/>
        <v>-78.799827419125606</v>
      </c>
      <c r="Y560" s="1">
        <f t="shared" si="344"/>
        <v>-23.974401821945978</v>
      </c>
      <c r="Z560" s="1">
        <f t="shared" si="344"/>
        <v>-12.96479763970348</v>
      </c>
      <c r="AA560" s="1">
        <f t="shared" si="344"/>
        <v>-8.5176806335245878</v>
      </c>
      <c r="AB560" s="1">
        <f t="shared" si="344"/>
        <v>-6.2210268445277714</v>
      </c>
      <c r="AC560" s="1">
        <f t="shared" si="344"/>
        <v>-4.8512883935243618</v>
      </c>
      <c r="AD560" s="1">
        <f t="shared" si="344"/>
        <v>-3.9460568106034737</v>
      </c>
      <c r="AE560" s="1">
        <f t="shared" si="344"/>
        <v>-3.3145231192703108</v>
      </c>
      <c r="AF560" s="1">
        <f t="shared" si="344"/>
        <v>-2.8514659079934783</v>
      </c>
      <c r="AG560" s="1">
        <f t="shared" si="344"/>
        <v>-2.4986825540963782</v>
      </c>
      <c r="AH560" s="1">
        <f t="shared" si="344"/>
        <v>-2.2216482205489259</v>
      </c>
      <c r="AI560" s="1">
        <f t="shared" si="344"/>
        <v>-1.9987088054326805</v>
      </c>
      <c r="AJ560" s="1">
        <f t="shared" si="344"/>
        <v>-1.8156513100257061</v>
      </c>
      <c r="AK560" s="1">
        <f t="shared" si="344"/>
        <v>-1.6590844025745934</v>
      </c>
      <c r="AL560" s="1">
        <f t="shared" si="344"/>
        <v>-1.5264491270869194</v>
      </c>
      <c r="AM560" s="1">
        <f t="shared" si="344"/>
        <v>-1.4130669370249265</v>
      </c>
      <c r="AN560" s="1">
        <f t="shared" si="344"/>
        <v>-1.3150860829057336</v>
      </c>
      <c r="AO560" s="1">
        <f t="shared" si="344"/>
        <v>-1.2296072134222469</v>
      </c>
    </row>
    <row r="561" spans="2:41">
      <c r="B561" s="1">
        <f t="shared" ref="B561:AO561" si="345">1/B414*(1+B365/SQRT(B365^2+B414^2))</f>
        <v>0.94446000012368292</v>
      </c>
      <c r="C561" s="1">
        <f t="shared" si="345"/>
        <v>0.99428312983869804</v>
      </c>
      <c r="D561" s="1">
        <f t="shared" si="345"/>
        <v>1.049560830043174</v>
      </c>
      <c r="E561" s="1">
        <f t="shared" si="345"/>
        <v>1.111225525670017</v>
      </c>
      <c r="F561" s="1">
        <f t="shared" si="345"/>
        <v>1.1801798430383199</v>
      </c>
      <c r="G561" s="1">
        <f t="shared" si="345"/>
        <v>1.2558430487036911</v>
      </c>
      <c r="H561" s="1">
        <f t="shared" si="345"/>
        <v>1.3417124894431991</v>
      </c>
      <c r="I561" s="1">
        <f t="shared" si="345"/>
        <v>1.4399695300632389</v>
      </c>
      <c r="J561" s="1">
        <f t="shared" si="345"/>
        <v>1.5534549934214474</v>
      </c>
      <c r="K561" s="1">
        <f t="shared" si="345"/>
        <v>1.6859347548115002</v>
      </c>
      <c r="L561" s="1">
        <f t="shared" si="345"/>
        <v>1.8425028324867179</v>
      </c>
      <c r="M561" s="1">
        <f t="shared" si="345"/>
        <v>2.0302114313804731</v>
      </c>
      <c r="N561" s="1">
        <f t="shared" si="345"/>
        <v>2.255158286320186</v>
      </c>
      <c r="O561" s="1">
        <f t="shared" si="345"/>
        <v>2.5334032731088341</v>
      </c>
      <c r="P561" s="1">
        <f t="shared" si="345"/>
        <v>2.8870890012842367</v>
      </c>
      <c r="Q561" s="1">
        <f t="shared" si="345"/>
        <v>3.3503844433758894</v>
      </c>
      <c r="R561" s="1">
        <f t="shared" si="345"/>
        <v>3.9808023661168739</v>
      </c>
      <c r="S561" s="1">
        <f t="shared" si="345"/>
        <v>4.8821929124135552</v>
      </c>
      <c r="T561" s="1">
        <f t="shared" si="345"/>
        <v>6.2599037974519929</v>
      </c>
      <c r="U561" s="1">
        <f t="shared" si="345"/>
        <v>8.5727192670935839</v>
      </c>
      <c r="V561" s="1">
        <f t="shared" si="345"/>
        <v>13.018535712251373</v>
      </c>
      <c r="W561" s="1">
        <f t="shared" si="345"/>
        <v>24.010916625010353</v>
      </c>
      <c r="X561" s="1">
        <f t="shared" si="345"/>
        <v>78.802933563192454</v>
      </c>
      <c r="Y561" s="1">
        <f t="shared" si="345"/>
        <v>-78.793579309862011</v>
      </c>
      <c r="Z561" s="1">
        <f t="shared" si="345"/>
        <v>-23.963846284643495</v>
      </c>
      <c r="AA561" s="1">
        <f t="shared" si="345"/>
        <v>-12.956431676740021</v>
      </c>
      <c r="AB561" s="1">
        <f t="shared" si="345"/>
        <v>-8.5118262809297569</v>
      </c>
      <c r="AC561" s="1">
        <f t="shared" si="345"/>
        <v>-6.2133525631738182</v>
      </c>
      <c r="AD561" s="1">
        <f t="shared" si="345"/>
        <v>-4.8330182627058926</v>
      </c>
      <c r="AE561" s="1">
        <f t="shared" si="345"/>
        <v>-3.932276947646745</v>
      </c>
      <c r="AF561" s="1">
        <f t="shared" si="345"/>
        <v>-3.3038260003573461</v>
      </c>
      <c r="AG561" s="1">
        <f t="shared" si="345"/>
        <v>-2.8429523319044163</v>
      </c>
      <c r="AH561" s="1">
        <f t="shared" si="345"/>
        <v>-2.4917617138285402</v>
      </c>
      <c r="AI561" s="1">
        <f t="shared" si="345"/>
        <v>-2.2159199915760079</v>
      </c>
      <c r="AJ561" s="1">
        <f t="shared" si="345"/>
        <v>-1.9938943031001701</v>
      </c>
      <c r="AK561" s="1">
        <f t="shared" si="345"/>
        <v>-1.8072466164213392</v>
      </c>
      <c r="AL561" s="1">
        <f t="shared" si="345"/>
        <v>-1.651368992982061</v>
      </c>
      <c r="AM561" s="1">
        <f t="shared" si="345"/>
        <v>-1.5197318141895757</v>
      </c>
      <c r="AN561" s="1">
        <f t="shared" si="345"/>
        <v>-1.407168372903836</v>
      </c>
      <c r="AO561" s="1">
        <f t="shared" si="345"/>
        <v>-1.3098669233031912</v>
      </c>
    </row>
    <row r="562" spans="2:41">
      <c r="B562" s="1">
        <f t="shared" ref="B562:AO562" si="346">1/B415*(1+B366/SQRT(B366^2+B415^2))</f>
        <v>0.90211191373607913</v>
      </c>
      <c r="C562" s="1">
        <f t="shared" si="346"/>
        <v>0.94749089718523838</v>
      </c>
      <c r="D562" s="1">
        <f t="shared" si="346"/>
        <v>0.99759820354213335</v>
      </c>
      <c r="E562" s="1">
        <f t="shared" si="346"/>
        <v>1.0532014842589219</v>
      </c>
      <c r="F562" s="1">
        <f t="shared" si="346"/>
        <v>1.1150146642150285</v>
      </c>
      <c r="G562" s="1">
        <f t="shared" si="346"/>
        <v>1.1823905439163709</v>
      </c>
      <c r="H562" s="1">
        <f t="shared" si="346"/>
        <v>1.2583083993036077</v>
      </c>
      <c r="I562" s="1">
        <f t="shared" si="346"/>
        <v>1.3444786386228555</v>
      </c>
      <c r="J562" s="1">
        <f t="shared" si="346"/>
        <v>1.443094333076002</v>
      </c>
      <c r="K562" s="1">
        <f t="shared" si="346"/>
        <v>1.5570119096604689</v>
      </c>
      <c r="L562" s="1">
        <f t="shared" si="346"/>
        <v>1.6900183793060601</v>
      </c>
      <c r="M562" s="1">
        <f t="shared" si="346"/>
        <v>1.8472368964966286</v>
      </c>
      <c r="N562" s="1">
        <f t="shared" si="346"/>
        <v>2.0324555595413338</v>
      </c>
      <c r="O562" s="1">
        <f t="shared" si="346"/>
        <v>2.2570231718474361</v>
      </c>
      <c r="P562" s="1">
        <f t="shared" si="346"/>
        <v>2.5356547561363638</v>
      </c>
      <c r="Q562" s="1">
        <f t="shared" si="346"/>
        <v>2.8898565147410102</v>
      </c>
      <c r="R562" s="1">
        <f t="shared" si="346"/>
        <v>3.3538592157523723</v>
      </c>
      <c r="S562" s="1">
        <f t="shared" si="346"/>
        <v>3.9852759556275688</v>
      </c>
      <c r="T562" s="1">
        <f t="shared" si="346"/>
        <v>4.8881235795982194</v>
      </c>
      <c r="U562" s="1">
        <f t="shared" si="346"/>
        <v>6.2680255631605615</v>
      </c>
      <c r="V562" s="1">
        <f t="shared" si="346"/>
        <v>8.5669748606101166</v>
      </c>
      <c r="W562" s="1">
        <f t="shared" si="346"/>
        <v>13.010340198742272</v>
      </c>
      <c r="X562" s="1">
        <f t="shared" si="346"/>
        <v>24.000551538532431</v>
      </c>
      <c r="Y562" s="1">
        <f t="shared" si="346"/>
        <v>78.796709354718672</v>
      </c>
      <c r="Z562" s="1">
        <f t="shared" si="346"/>
        <v>-78.787283036502458</v>
      </c>
      <c r="AA562" s="1">
        <f t="shared" si="346"/>
        <v>-23.953235599917864</v>
      </c>
      <c r="AB562" s="1">
        <f t="shared" si="346"/>
        <v>-12.94803923940098</v>
      </c>
      <c r="AC562" s="1">
        <f t="shared" si="346"/>
        <v>-8.5008992260447975</v>
      </c>
      <c r="AD562" s="1">
        <f t="shared" si="346"/>
        <v>-6.1881576936795595</v>
      </c>
      <c r="AE562" s="1">
        <f t="shared" si="346"/>
        <v>-4.8146459353388353</v>
      </c>
      <c r="AF562" s="1">
        <f t="shared" si="346"/>
        <v>-3.9184410816056006</v>
      </c>
      <c r="AG562" s="1">
        <f t="shared" si="346"/>
        <v>-3.2930961609647182</v>
      </c>
      <c r="AH562" s="1">
        <f t="shared" si="346"/>
        <v>-2.8344185902173513</v>
      </c>
      <c r="AI562" s="1">
        <f t="shared" si="346"/>
        <v>-2.4848278815266549</v>
      </c>
      <c r="AJ562" s="1">
        <f t="shared" si="346"/>
        <v>-2.210183075684673</v>
      </c>
      <c r="AK562" s="1">
        <f t="shared" si="346"/>
        <v>-1.9840123920597807</v>
      </c>
      <c r="AL562" s="1">
        <f t="shared" si="346"/>
        <v>-1.7982789060410931</v>
      </c>
      <c r="AM562" s="1">
        <f t="shared" si="346"/>
        <v>-1.643639550622366</v>
      </c>
      <c r="AN562" s="1">
        <f t="shared" si="346"/>
        <v>-1.5130043902198043</v>
      </c>
      <c r="AO562" s="1">
        <f t="shared" si="346"/>
        <v>-1.4012624136117513</v>
      </c>
    </row>
    <row r="563" spans="2:41">
      <c r="B563" s="1">
        <f t="shared" ref="B563:AO563" si="347">1/B416*(1+B367/SQRT(B367^2+B416^2))</f>
        <v>0.863388973824884</v>
      </c>
      <c r="C563" s="1">
        <f t="shared" si="347"/>
        <v>0.90489172412546892</v>
      </c>
      <c r="D563" s="1">
        <f t="shared" si="347"/>
        <v>0.95051974271819439</v>
      </c>
      <c r="E563" s="1">
        <f t="shared" si="347"/>
        <v>1.0009106991004406</v>
      </c>
      <c r="F563" s="1">
        <f t="shared" si="347"/>
        <v>1.0566334216469653</v>
      </c>
      <c r="G563" s="1">
        <f t="shared" si="347"/>
        <v>1.1170069329446022</v>
      </c>
      <c r="H563" s="1">
        <f t="shared" si="347"/>
        <v>1.1845999633695092</v>
      </c>
      <c r="I563" s="1">
        <f t="shared" si="347"/>
        <v>1.2607721226287729</v>
      </c>
      <c r="J563" s="1">
        <f t="shared" si="347"/>
        <v>1.3472426965375182</v>
      </c>
      <c r="K563" s="1">
        <f t="shared" si="347"/>
        <v>1.4462164123546772</v>
      </c>
      <c r="L563" s="1">
        <f t="shared" si="347"/>
        <v>1.560565224559886</v>
      </c>
      <c r="M563" s="1">
        <f t="shared" si="347"/>
        <v>1.6940971600859036</v>
      </c>
      <c r="N563" s="1">
        <f t="shared" si="347"/>
        <v>1.8491485578244651</v>
      </c>
      <c r="O563" s="1">
        <f t="shared" si="347"/>
        <v>2.0340233256982794</v>
      </c>
      <c r="P563" s="1">
        <f t="shared" si="347"/>
        <v>2.2588870090920365</v>
      </c>
      <c r="Q563" s="1">
        <f t="shared" si="347"/>
        <v>2.5379046990478145</v>
      </c>
      <c r="R563" s="1">
        <f t="shared" si="347"/>
        <v>2.8926216794339821</v>
      </c>
      <c r="S563" s="1">
        <f t="shared" si="347"/>
        <v>3.3573302428065426</v>
      </c>
      <c r="T563" s="1">
        <f t="shared" si="347"/>
        <v>3.9897432436404081</v>
      </c>
      <c r="U563" s="1">
        <f t="shared" si="347"/>
        <v>4.894042936807085</v>
      </c>
      <c r="V563" s="1">
        <f t="shared" si="347"/>
        <v>6.2639674176138991</v>
      </c>
      <c r="W563" s="1">
        <f t="shared" si="347"/>
        <v>8.5612189115770896</v>
      </c>
      <c r="X563" s="1">
        <f t="shared" si="347"/>
        <v>13.002118647224449</v>
      </c>
      <c r="Y563" s="1">
        <f t="shared" si="347"/>
        <v>23.990132441950291</v>
      </c>
      <c r="Z563" s="1">
        <f t="shared" si="347"/>
        <v>78.79043722407549</v>
      </c>
      <c r="AA563" s="1">
        <f t="shared" si="347"/>
        <v>-78.780938110674626</v>
      </c>
      <c r="AB563" s="1">
        <f t="shared" si="347"/>
        <v>-23.942569438564089</v>
      </c>
      <c r="AC563" s="1">
        <f t="shared" si="347"/>
        <v>-12.932348488269923</v>
      </c>
      <c r="AD563" s="1">
        <f t="shared" si="347"/>
        <v>-8.4649315755601862</v>
      </c>
      <c r="AE563" s="1">
        <f t="shared" si="347"/>
        <v>-6.1627625560453181</v>
      </c>
      <c r="AF563" s="1">
        <f t="shared" si="347"/>
        <v>-4.7961722343756881</v>
      </c>
      <c r="AG563" s="1">
        <f t="shared" si="347"/>
        <v>-3.9045498218294661</v>
      </c>
      <c r="AH563" s="1">
        <f t="shared" si="347"/>
        <v>-3.2823340218859198</v>
      </c>
      <c r="AI563" s="1">
        <f t="shared" si="347"/>
        <v>-2.825864972044593</v>
      </c>
      <c r="AJ563" s="1">
        <f t="shared" si="347"/>
        <v>-2.4778812586015255</v>
      </c>
      <c r="AK563" s="1">
        <f t="shared" si="347"/>
        <v>-2.198403526012823</v>
      </c>
      <c r="AL563" s="1">
        <f t="shared" si="347"/>
        <v>-1.9734644439259579</v>
      </c>
      <c r="AM563" s="1">
        <f t="shared" si="347"/>
        <v>-1.7892921779255977</v>
      </c>
      <c r="AN563" s="1">
        <f t="shared" si="347"/>
        <v>-1.6358966821897756</v>
      </c>
      <c r="AO563" s="1">
        <f t="shared" si="347"/>
        <v>-1.5062673207209465</v>
      </c>
    </row>
    <row r="564" spans="2:41">
      <c r="B564" s="1">
        <f t="shared" ref="B564:AO564" si="348">1/B417*(1+B368/SQRT(B368^2+B417^2))</f>
        <v>0.82784580189617196</v>
      </c>
      <c r="C564" s="1">
        <f t="shared" si="348"/>
        <v>0.86594760725743036</v>
      </c>
      <c r="D564" s="1">
        <f t="shared" si="348"/>
        <v>0.90766980587630464</v>
      </c>
      <c r="E564" s="1">
        <f t="shared" si="348"/>
        <v>0.95354643268627481</v>
      </c>
      <c r="F564" s="1">
        <f t="shared" si="348"/>
        <v>1.0040335322526841</v>
      </c>
      <c r="G564" s="1">
        <f t="shared" si="348"/>
        <v>1.0584380035852814</v>
      </c>
      <c r="H564" s="1">
        <f t="shared" si="348"/>
        <v>1.1189981597334695</v>
      </c>
      <c r="I564" s="1">
        <f t="shared" si="348"/>
        <v>1.1868080744744185</v>
      </c>
      <c r="J564" s="1">
        <f t="shared" si="348"/>
        <v>1.2632341854311904</v>
      </c>
      <c r="K564" s="1">
        <f t="shared" si="348"/>
        <v>1.3500046216886767</v>
      </c>
      <c r="L564" s="1">
        <f t="shared" si="348"/>
        <v>1.4493357154986262</v>
      </c>
      <c r="M564" s="1">
        <f t="shared" si="348"/>
        <v>1.5641148711142103</v>
      </c>
      <c r="N564" s="1">
        <f t="shared" si="348"/>
        <v>1.6957444359146558</v>
      </c>
      <c r="O564" s="1">
        <f t="shared" si="348"/>
        <v>1.8504841732693007</v>
      </c>
      <c r="P564" s="1">
        <f t="shared" si="348"/>
        <v>2.0355903519970493</v>
      </c>
      <c r="Q564" s="1">
        <f t="shared" si="348"/>
        <v>2.2607497932992278</v>
      </c>
      <c r="R564" s="1">
        <f t="shared" si="348"/>
        <v>2.5401530952073634</v>
      </c>
      <c r="S564" s="1">
        <f t="shared" si="348"/>
        <v>2.8953844859444309</v>
      </c>
      <c r="T564" s="1">
        <f t="shared" si="348"/>
        <v>3.3607975110421453</v>
      </c>
      <c r="U564" s="1">
        <f t="shared" si="348"/>
        <v>3.9942042110814069</v>
      </c>
      <c r="V564" s="1">
        <f t="shared" si="348"/>
        <v>4.8910846734931468</v>
      </c>
      <c r="W564" s="1">
        <f t="shared" si="348"/>
        <v>6.2599037974519822</v>
      </c>
      <c r="X564" s="1">
        <f t="shared" si="348"/>
        <v>8.5554514124331753</v>
      </c>
      <c r="Y564" s="1">
        <f t="shared" si="348"/>
        <v>12.99387099027849</v>
      </c>
      <c r="Z564" s="1">
        <f t="shared" si="348"/>
        <v>23.97965901267132</v>
      </c>
      <c r="AA564" s="1">
        <f t="shared" si="348"/>
        <v>78.784116685907705</v>
      </c>
      <c r="AB564" s="1">
        <f t="shared" si="348"/>
        <v>-78.774544037904391</v>
      </c>
      <c r="AC564" s="1">
        <f t="shared" si="348"/>
        <v>-23.922568694968813</v>
      </c>
      <c r="AD564" s="1">
        <f t="shared" si="348"/>
        <v>-12.880457837274326</v>
      </c>
      <c r="AE564" s="1">
        <f t="shared" si="348"/>
        <v>-8.4285333056360212</v>
      </c>
      <c r="AF564" s="1">
        <f t="shared" si="348"/>
        <v>-6.137167985244524</v>
      </c>
      <c r="AG564" s="1">
        <f t="shared" si="348"/>
        <v>-4.7775980195545786</v>
      </c>
      <c r="AH564" s="1">
        <f t="shared" si="348"/>
        <v>-3.8906037939334013</v>
      </c>
      <c r="AI564" s="1">
        <f t="shared" si="348"/>
        <v>-3.2715400115927413</v>
      </c>
      <c r="AJ564" s="1">
        <f t="shared" si="348"/>
        <v>-2.81729177036196</v>
      </c>
      <c r="AK564" s="1">
        <f t="shared" si="348"/>
        <v>-2.4636108632127192</v>
      </c>
      <c r="AL564" s="1">
        <f t="shared" si="348"/>
        <v>-2.185823782592708</v>
      </c>
      <c r="AM564" s="1">
        <f t="shared" si="348"/>
        <v>-1.9628900919477061</v>
      </c>
      <c r="AN564" s="1">
        <f t="shared" si="348"/>
        <v>-1.7802872438230517</v>
      </c>
      <c r="AO564" s="1">
        <f t="shared" si="348"/>
        <v>-1.6281409998463579</v>
      </c>
    </row>
    <row r="565" spans="2:41">
      <c r="B565" s="1">
        <f t="shared" ref="B565:AO565" si="349">1/B418*(1+B369/SQRT(B369^2+B418^2))</f>
        <v>0.79518280309940126</v>
      </c>
      <c r="C565" s="1">
        <f t="shared" si="349"/>
        <v>0.83029043405532676</v>
      </c>
      <c r="D565" s="1">
        <f t="shared" si="349"/>
        <v>0.86859332940257261</v>
      </c>
      <c r="E565" s="1">
        <f t="shared" si="349"/>
        <v>0.91054221044316985</v>
      </c>
      <c r="F565" s="1">
        <f t="shared" si="349"/>
        <v>0.95650474892118464</v>
      </c>
      <c r="G565" s="1">
        <f t="shared" si="349"/>
        <v>1.0057902398065697</v>
      </c>
      <c r="H565" s="1">
        <f t="shared" si="349"/>
        <v>1.0603675596781441</v>
      </c>
      <c r="I565" s="1">
        <f t="shared" si="349"/>
        <v>1.1211271542524579</v>
      </c>
      <c r="J565" s="1">
        <f t="shared" si="349"/>
        <v>1.1891687868425831</v>
      </c>
      <c r="K565" s="1">
        <f t="shared" si="349"/>
        <v>1.2658661730141043</v>
      </c>
      <c r="L565" s="1">
        <f t="shared" si="349"/>
        <v>1.3529568636562059</v>
      </c>
      <c r="M565" s="1">
        <f t="shared" si="349"/>
        <v>1.4526695484559762</v>
      </c>
      <c r="N565" s="1">
        <f t="shared" si="349"/>
        <v>1.5657960524898438</v>
      </c>
      <c r="O565" s="1">
        <f t="shared" si="349"/>
        <v>1.6971796042817195</v>
      </c>
      <c r="P565" s="1">
        <f t="shared" si="349"/>
        <v>1.852148891247174</v>
      </c>
      <c r="Q565" s="1">
        <f t="shared" si="349"/>
        <v>2.0375433422012699</v>
      </c>
      <c r="R565" s="1">
        <f t="shared" si="349"/>
        <v>2.2630711435243316</v>
      </c>
      <c r="S565" s="1">
        <f t="shared" si="349"/>
        <v>2.5429545967699174</v>
      </c>
      <c r="T565" s="1">
        <f t="shared" si="349"/>
        <v>2.8988262998966148</v>
      </c>
      <c r="U565" s="1">
        <f t="shared" si="349"/>
        <v>3.3651157980306738</v>
      </c>
      <c r="V565" s="1">
        <f t="shared" si="349"/>
        <v>3.9930760427997045</v>
      </c>
      <c r="W565" s="1">
        <f t="shared" si="349"/>
        <v>4.8895865252106603</v>
      </c>
      <c r="X565" s="1">
        <f t="shared" si="349"/>
        <v>6.2578452616577849</v>
      </c>
      <c r="Y565" s="1">
        <f t="shared" si="349"/>
        <v>8.5525282870968571</v>
      </c>
      <c r="Z565" s="1">
        <f t="shared" si="349"/>
        <v>12.989687181502594</v>
      </c>
      <c r="AA565" s="1">
        <f t="shared" si="349"/>
        <v>23.974337982830388</v>
      </c>
      <c r="AB565" s="1">
        <f t="shared" si="349"/>
        <v>78.780899488126195</v>
      </c>
      <c r="AC565" s="1">
        <f t="shared" si="349"/>
        <v>-78.76572118764058</v>
      </c>
      <c r="AD565" s="1">
        <f t="shared" si="349"/>
        <v>-23.861373543584882</v>
      </c>
      <c r="AE565" s="1">
        <f t="shared" si="349"/>
        <v>-12.83190265133709</v>
      </c>
      <c r="AF565" s="1">
        <f t="shared" si="349"/>
        <v>-8.3947122404415371</v>
      </c>
      <c r="AG565" s="1">
        <f t="shared" si="349"/>
        <v>-6.1134782035700717</v>
      </c>
      <c r="AH565" s="1">
        <f t="shared" si="349"/>
        <v>-4.7604452954856216</v>
      </c>
      <c r="AI565" s="1">
        <f t="shared" si="349"/>
        <v>-3.8777432790171908</v>
      </c>
      <c r="AJ565" s="1">
        <f t="shared" si="349"/>
        <v>-3.2615953907537181</v>
      </c>
      <c r="AK565" s="1">
        <f t="shared" si="349"/>
        <v>-2.8003687727488518</v>
      </c>
      <c r="AL565" s="1">
        <f t="shared" si="349"/>
        <v>-2.4489301771197423</v>
      </c>
      <c r="AM565" s="1">
        <f t="shared" si="349"/>
        <v>-2.1736770360026472</v>
      </c>
      <c r="AN565" s="1">
        <f t="shared" si="349"/>
        <v>-1.9526857623223992</v>
      </c>
      <c r="AO565" s="1">
        <f t="shared" si="349"/>
        <v>-1.7716013413714831</v>
      </c>
    </row>
    <row r="566" spans="2:41">
      <c r="B566" s="1">
        <f t="shared" ref="B566:AO566" si="350">1/B419*(1+B370/SQRT(B370^2+B419^2))</f>
        <v>0.76422618193552516</v>
      </c>
      <c r="C566" s="1">
        <f t="shared" si="350"/>
        <v>0.79662019191590783</v>
      </c>
      <c r="D566" s="1">
        <f t="shared" si="350"/>
        <v>0.8318414260526189</v>
      </c>
      <c r="E566" s="1">
        <f t="shared" si="350"/>
        <v>0.87027180000513005</v>
      </c>
      <c r="F566" s="1">
        <f t="shared" si="350"/>
        <v>0.91220760316904193</v>
      </c>
      <c r="G566" s="1">
        <f t="shared" si="350"/>
        <v>0.95696776471423928</v>
      </c>
      <c r="H566" s="1">
        <f t="shared" si="350"/>
        <v>1.0062967045274178</v>
      </c>
      <c r="I566" s="1">
        <f t="shared" si="350"/>
        <v>1.0609238371845211</v>
      </c>
      <c r="J566" s="1">
        <f t="shared" si="350"/>
        <v>1.1217409027138603</v>
      </c>
      <c r="K566" s="1">
        <f t="shared" si="350"/>
        <v>1.1898493016440612</v>
      </c>
      <c r="L566" s="1">
        <f t="shared" si="350"/>
        <v>1.2666248432854996</v>
      </c>
      <c r="M566" s="1">
        <f t="shared" si="350"/>
        <v>1.3538077881861361</v>
      </c>
      <c r="N566" s="1">
        <f t="shared" si="350"/>
        <v>1.4517745949627814</v>
      </c>
      <c r="O566" s="1">
        <f t="shared" si="350"/>
        <v>1.5643456163702474</v>
      </c>
      <c r="P566" s="1">
        <f t="shared" si="350"/>
        <v>1.6955137307072532</v>
      </c>
      <c r="Q566" s="1">
        <f t="shared" si="350"/>
        <v>1.8502165565106623</v>
      </c>
      <c r="R566" s="1">
        <f t="shared" si="350"/>
        <v>2.0352763766359319</v>
      </c>
      <c r="S566" s="1">
        <f t="shared" si="350"/>
        <v>2.2603765726905811</v>
      </c>
      <c r="T566" s="1">
        <f t="shared" si="350"/>
        <v>2.539702636937061</v>
      </c>
      <c r="U566" s="1">
        <f t="shared" si="350"/>
        <v>2.8948310040871381</v>
      </c>
      <c r="V566" s="1">
        <f t="shared" si="350"/>
        <v>3.3548995229721617</v>
      </c>
      <c r="W566" s="1">
        <f t="shared" si="350"/>
        <v>3.9799050947144101</v>
      </c>
      <c r="X566" s="1">
        <f t="shared" si="350"/>
        <v>4.8720825000782417</v>
      </c>
      <c r="Y566" s="1">
        <f t="shared" si="350"/>
        <v>6.2337638592298177</v>
      </c>
      <c r="Z566" s="1">
        <f t="shared" si="350"/>
        <v>8.5182607322073221</v>
      </c>
      <c r="AA566" s="1">
        <f t="shared" si="350"/>
        <v>12.940456581941248</v>
      </c>
      <c r="AB566" s="1">
        <f t="shared" si="350"/>
        <v>23.911312059914941</v>
      </c>
      <c r="AC566" s="1">
        <f t="shared" si="350"/>
        <v>78.736718281481544</v>
      </c>
      <c r="AD566" s="1">
        <f t="shared" si="350"/>
        <v>-78.691387750515943</v>
      </c>
      <c r="AE566" s="1">
        <f t="shared" si="350"/>
        <v>-23.735773125931864</v>
      </c>
      <c r="AF566" s="1">
        <f t="shared" si="350"/>
        <v>-12.733993669443644</v>
      </c>
      <c r="AG566" s="1">
        <f t="shared" si="350"/>
        <v>-8.3271929756757999</v>
      </c>
      <c r="AH566" s="1">
        <f t="shared" si="350"/>
        <v>-6.0664448559073341</v>
      </c>
      <c r="AI566" s="1">
        <f t="shared" si="350"/>
        <v>-4.7264995756916273</v>
      </c>
      <c r="AJ566" s="1">
        <f t="shared" si="350"/>
        <v>-3.8523423886137511</v>
      </c>
      <c r="AK566" s="1">
        <f t="shared" si="350"/>
        <v>-3.2305386676661412</v>
      </c>
      <c r="AL566" s="1">
        <f t="shared" si="350"/>
        <v>-2.7745426616942632</v>
      </c>
      <c r="AM566" s="1">
        <f t="shared" si="350"/>
        <v>-2.4279634615736936</v>
      </c>
      <c r="AN566" s="1">
        <f t="shared" si="350"/>
        <v>-2.15634503809253</v>
      </c>
      <c r="AO566" s="1">
        <f t="shared" si="350"/>
        <v>-1.9381352416190307</v>
      </c>
    </row>
    <row r="567" spans="2:41">
      <c r="B567" s="1">
        <f t="shared" ref="B567:AO567" si="351">1/B420*(1+B371/SQRT(B371^2+B420^2))</f>
        <v>0.7353565011703026</v>
      </c>
      <c r="C567" s="1">
        <f t="shared" si="351"/>
        <v>0.76532230660476819</v>
      </c>
      <c r="D567" s="1">
        <f t="shared" si="351"/>
        <v>0.79779969649168891</v>
      </c>
      <c r="E567" s="1">
        <f t="shared" si="351"/>
        <v>0.8331141027797101</v>
      </c>
      <c r="F567" s="1">
        <f t="shared" si="351"/>
        <v>0.87150466590778009</v>
      </c>
      <c r="G567" s="1">
        <f t="shared" si="351"/>
        <v>0.91230605522825525</v>
      </c>
      <c r="H567" s="1">
        <f t="shared" si="351"/>
        <v>0.95707504836253299</v>
      </c>
      <c r="I567" s="1">
        <f t="shared" si="351"/>
        <v>1.006414054548284</v>
      </c>
      <c r="J567" s="1">
        <f t="shared" si="351"/>
        <v>1.0610527277484565</v>
      </c>
      <c r="K567" s="1">
        <f t="shared" si="351"/>
        <v>1.1218831077500069</v>
      </c>
      <c r="L567" s="1">
        <f t="shared" si="351"/>
        <v>1.1900069742320853</v>
      </c>
      <c r="M567" s="1">
        <f t="shared" si="351"/>
        <v>1.2668006213444489</v>
      </c>
      <c r="N567" s="1">
        <f t="shared" si="351"/>
        <v>1.3523615526042012</v>
      </c>
      <c r="O567" s="1">
        <f t="shared" si="351"/>
        <v>1.4497613785950396</v>
      </c>
      <c r="P567" s="1">
        <f t="shared" si="351"/>
        <v>1.5620532396912543</v>
      </c>
      <c r="Q567" s="1">
        <f t="shared" si="351"/>
        <v>1.6928806340975746</v>
      </c>
      <c r="R567" s="1">
        <f t="shared" si="351"/>
        <v>1.8471619617247865</v>
      </c>
      <c r="S567" s="1">
        <f t="shared" si="351"/>
        <v>2.0316923194296459</v>
      </c>
      <c r="T567" s="1">
        <f t="shared" si="351"/>
        <v>2.2561157320352563</v>
      </c>
      <c r="U567" s="1">
        <f t="shared" si="351"/>
        <v>2.5345592350110469</v>
      </c>
      <c r="V567" s="1">
        <f t="shared" si="351"/>
        <v>2.8843561058906722</v>
      </c>
      <c r="W567" s="1">
        <f t="shared" si="351"/>
        <v>3.3417277081412102</v>
      </c>
      <c r="X567" s="1">
        <f t="shared" si="351"/>
        <v>3.9629054207400785</v>
      </c>
      <c r="Y567" s="1">
        <f t="shared" si="351"/>
        <v>4.8494532088357456</v>
      </c>
      <c r="Z567" s="1">
        <f t="shared" si="351"/>
        <v>6.2025502418330589</v>
      </c>
      <c r="AA567" s="1">
        <f t="shared" si="351"/>
        <v>8.4736480745937968</v>
      </c>
      <c r="AB567" s="1">
        <f t="shared" si="351"/>
        <v>12.875855514588178</v>
      </c>
      <c r="AC567" s="1">
        <f t="shared" si="351"/>
        <v>23.817691120879285</v>
      </c>
      <c r="AD567" s="1">
        <f t="shared" si="351"/>
        <v>78.647381633136078</v>
      </c>
      <c r="AE567" s="1">
        <f t="shared" si="351"/>
        <v>-78.59720208841479</v>
      </c>
      <c r="AF567" s="1">
        <f t="shared" si="351"/>
        <v>-23.581631520988047</v>
      </c>
      <c r="AG567" s="1">
        <f t="shared" si="351"/>
        <v>-12.61690684461054</v>
      </c>
      <c r="AH567" s="1">
        <f t="shared" si="351"/>
        <v>-8.2475970694082239</v>
      </c>
      <c r="AI567" s="1">
        <f t="shared" si="351"/>
        <v>-6.011429990101135</v>
      </c>
      <c r="AJ567" s="1">
        <f t="shared" si="351"/>
        <v>-4.6869718302610295</v>
      </c>
      <c r="AK567" s="1">
        <f t="shared" si="351"/>
        <v>-3.8079009555234773</v>
      </c>
      <c r="AL567" s="1">
        <f t="shared" si="351"/>
        <v>-3.194739936939039</v>
      </c>
      <c r="AM567" s="1">
        <f t="shared" si="351"/>
        <v>-2.7461489162314732</v>
      </c>
      <c r="AN567" s="1">
        <f t="shared" si="351"/>
        <v>-2.4049462503351355</v>
      </c>
      <c r="AO567" s="1">
        <f t="shared" si="351"/>
        <v>-2.137338366933943</v>
      </c>
    </row>
    <row r="568" spans="2:41">
      <c r="B568" s="1">
        <f t="shared" ref="B568:AO568" si="352">1/B421*(1+B372/SQRT(B372^2+B421^2))</f>
        <v>0.70857791325487507</v>
      </c>
      <c r="C568" s="1">
        <f t="shared" si="352"/>
        <v>0.73637750857854323</v>
      </c>
      <c r="D568" s="1">
        <f t="shared" si="352"/>
        <v>0.7664181713277719</v>
      </c>
      <c r="E568" s="1">
        <f t="shared" si="352"/>
        <v>0.79897888443459963</v>
      </c>
      <c r="F568" s="1">
        <f t="shared" si="352"/>
        <v>0.83425303550013696</v>
      </c>
      <c r="G568" s="1">
        <f t="shared" si="352"/>
        <v>0.87159532615358859</v>
      </c>
      <c r="H568" s="1">
        <f t="shared" si="352"/>
        <v>0.91240450481607771</v>
      </c>
      <c r="I568" s="1">
        <f t="shared" si="352"/>
        <v>0.95718232901345535</v>
      </c>
      <c r="J568" s="1">
        <f t="shared" si="352"/>
        <v>1.0065314009076163</v>
      </c>
      <c r="K568" s="1">
        <f t="shared" si="352"/>
        <v>1.0611816138040553</v>
      </c>
      <c r="L568" s="1">
        <f t="shared" si="352"/>
        <v>1.1220253071866519</v>
      </c>
      <c r="M568" s="1">
        <f t="shared" si="352"/>
        <v>1.1901646397981174</v>
      </c>
      <c r="N568" s="1">
        <f t="shared" si="352"/>
        <v>1.2655112605427277</v>
      </c>
      <c r="O568" s="1">
        <f t="shared" si="352"/>
        <v>1.3505788869093303</v>
      </c>
      <c r="P568" s="1">
        <f t="shared" si="352"/>
        <v>1.4477469790861637</v>
      </c>
      <c r="Q568" s="1">
        <f t="shared" si="352"/>
        <v>1.5597593206282896</v>
      </c>
      <c r="R568" s="1">
        <f t="shared" si="352"/>
        <v>1.6902454908691251</v>
      </c>
      <c r="S568" s="1">
        <f t="shared" si="352"/>
        <v>1.8441045958355908</v>
      </c>
      <c r="T568" s="1">
        <f t="shared" si="352"/>
        <v>2.0281044219997395</v>
      </c>
      <c r="U568" s="1">
        <f t="shared" si="352"/>
        <v>2.2518494241677929</v>
      </c>
      <c r="V568" s="1">
        <f t="shared" si="352"/>
        <v>2.5260236533151526</v>
      </c>
      <c r="W568" s="1">
        <f t="shared" si="352"/>
        <v>2.8738478073769933</v>
      </c>
      <c r="X568" s="1">
        <f t="shared" si="352"/>
        <v>3.3285028876324532</v>
      </c>
      <c r="Y568" s="1">
        <f t="shared" si="352"/>
        <v>3.9458168173569463</v>
      </c>
      <c r="Z568" s="1">
        <f t="shared" si="352"/>
        <v>4.8266642157450868</v>
      </c>
      <c r="AA568" s="1">
        <f t="shared" si="352"/>
        <v>6.1710251453236973</v>
      </c>
      <c r="AB568" s="1">
        <f t="shared" si="352"/>
        <v>8.4283675761083146</v>
      </c>
      <c r="AC568" s="1">
        <f t="shared" si="352"/>
        <v>12.802077114999529</v>
      </c>
      <c r="AD568" s="1">
        <f t="shared" si="352"/>
        <v>23.669223290538689</v>
      </c>
      <c r="AE568" s="1">
        <f t="shared" si="352"/>
        <v>78.548409509349057</v>
      </c>
      <c r="AF568" s="1">
        <f t="shared" si="352"/>
        <v>-78.492678835860445</v>
      </c>
      <c r="AG568" s="1">
        <f t="shared" si="352"/>
        <v>-23.416750691374016</v>
      </c>
      <c r="AH568" s="1">
        <f t="shared" si="352"/>
        <v>-12.495196211870208</v>
      </c>
      <c r="AI568" s="1">
        <f t="shared" si="352"/>
        <v>-8.1661226900119726</v>
      </c>
      <c r="AJ568" s="1">
        <f t="shared" si="352"/>
        <v>-5.9555801343663086</v>
      </c>
      <c r="AK568" s="1">
        <f t="shared" si="352"/>
        <v>-4.6267578684177391</v>
      </c>
      <c r="AL568" s="1">
        <f t="shared" si="352"/>
        <v>-3.7610559873006135</v>
      </c>
      <c r="AM568" s="1">
        <f t="shared" si="352"/>
        <v>-3.1586415757207327</v>
      </c>
      <c r="AN568" s="1">
        <f t="shared" si="352"/>
        <v>-2.7175773582600966</v>
      </c>
      <c r="AO568" s="1">
        <f t="shared" si="352"/>
        <v>-2.3818188273423213</v>
      </c>
    </row>
    <row r="569" spans="2:41">
      <c r="B569" s="1">
        <f t="shared" ref="B569:AO569" si="353">1/B422*(1+B373/SQRT(B373^2+B422^2))</f>
        <v>0.68367211077804546</v>
      </c>
      <c r="C569" s="1">
        <f t="shared" si="353"/>
        <v>0.70953124599317341</v>
      </c>
      <c r="D569" s="1">
        <f t="shared" si="353"/>
        <v>0.73739829562336989</v>
      </c>
      <c r="E569" s="1">
        <f t="shared" si="353"/>
        <v>0.76751376870360566</v>
      </c>
      <c r="F569" s="1">
        <f t="shared" si="353"/>
        <v>0.80003418118374969</v>
      </c>
      <c r="G569" s="1">
        <f t="shared" si="353"/>
        <v>0.83433678956142721</v>
      </c>
      <c r="H569" s="1">
        <f t="shared" si="353"/>
        <v>0.87168598434496081</v>
      </c>
      <c r="I569" s="1">
        <f t="shared" si="353"/>
        <v>0.91250295192862019</v>
      </c>
      <c r="J569" s="1">
        <f t="shared" si="353"/>
        <v>0.95728960666240259</v>
      </c>
      <c r="K569" s="1">
        <f t="shared" si="353"/>
        <v>1.0066487435999283</v>
      </c>
      <c r="L569" s="1">
        <f t="shared" si="353"/>
        <v>1.0613104953447283</v>
      </c>
      <c r="M569" s="1">
        <f t="shared" si="353"/>
        <v>1.1221675010158179</v>
      </c>
      <c r="N569" s="1">
        <f t="shared" si="353"/>
        <v>1.1890081591263866</v>
      </c>
      <c r="O569" s="1">
        <f t="shared" si="353"/>
        <v>1.2639220552784469</v>
      </c>
      <c r="P569" s="1">
        <f t="shared" si="353"/>
        <v>1.3487953104385586</v>
      </c>
      <c r="Q569" s="1">
        <f t="shared" si="353"/>
        <v>1.4457314104745622</v>
      </c>
      <c r="R569" s="1">
        <f t="shared" si="353"/>
        <v>1.5574638771844187</v>
      </c>
      <c r="S569" s="1">
        <f t="shared" si="353"/>
        <v>1.6876083244514641</v>
      </c>
      <c r="T569" s="1">
        <f t="shared" si="353"/>
        <v>1.8410444898303902</v>
      </c>
      <c r="U569" s="1">
        <f t="shared" si="353"/>
        <v>2.0245127260540228</v>
      </c>
      <c r="V569" s="1">
        <f t="shared" si="353"/>
        <v>2.2447721504418681</v>
      </c>
      <c r="W569" s="1">
        <f t="shared" si="353"/>
        <v>2.5174664039339012</v>
      </c>
      <c r="X569" s="1">
        <f t="shared" si="353"/>
        <v>2.8633066310539843</v>
      </c>
      <c r="Y569" s="1">
        <f t="shared" si="353"/>
        <v>3.3152258234001648</v>
      </c>
      <c r="Z569" s="1">
        <f t="shared" si="353"/>
        <v>3.9286403963569239</v>
      </c>
      <c r="AA569" s="1">
        <f t="shared" si="353"/>
        <v>4.8037170569863523</v>
      </c>
      <c r="AB569" s="1">
        <f t="shared" si="353"/>
        <v>6.1391901085208449</v>
      </c>
      <c r="AC569" s="1">
        <f t="shared" si="353"/>
        <v>8.3771488005606791</v>
      </c>
      <c r="AD569" s="1">
        <f t="shared" si="353"/>
        <v>12.687706096000531</v>
      </c>
      <c r="AE569" s="1">
        <f t="shared" si="353"/>
        <v>23.510454505753856</v>
      </c>
      <c r="AF569" s="1">
        <f t="shared" si="353"/>
        <v>78.438395258873228</v>
      </c>
      <c r="AG569" s="1">
        <f t="shared" si="353"/>
        <v>-78.376282637547021</v>
      </c>
      <c r="AH569" s="1">
        <f t="shared" si="353"/>
        <v>-23.240307534541657</v>
      </c>
      <c r="AI569" s="1">
        <f t="shared" si="353"/>
        <v>-12.368746823087001</v>
      </c>
      <c r="AJ569" s="1">
        <f t="shared" si="353"/>
        <v>-8.0827735506459035</v>
      </c>
      <c r="AK569" s="1">
        <f t="shared" si="353"/>
        <v>-5.8700482615111165</v>
      </c>
      <c r="AL569" s="1">
        <f t="shared" si="353"/>
        <v>-4.5630438823410326</v>
      </c>
      <c r="AM569" s="1">
        <f t="shared" si="353"/>
        <v>-3.7137051822875478</v>
      </c>
      <c r="AN569" s="1">
        <f t="shared" si="353"/>
        <v>-3.1222610505038135</v>
      </c>
      <c r="AO569" s="1">
        <f t="shared" si="353"/>
        <v>-2.6888395790217801</v>
      </c>
    </row>
    <row r="570" spans="2:41">
      <c r="B570" s="1">
        <f t="shared" ref="B570:AO570" si="354">1/B423*(1+B374/SQRT(B374^2+B423^2))</f>
        <v>0.66045004366085802</v>
      </c>
      <c r="C570" s="1">
        <f t="shared" si="354"/>
        <v>0.68456426246927471</v>
      </c>
      <c r="D570" s="1">
        <f t="shared" si="354"/>
        <v>0.7104843911202372</v>
      </c>
      <c r="E570" s="1">
        <f t="shared" si="354"/>
        <v>0.73841885587409029</v>
      </c>
      <c r="F570" s="1">
        <f t="shared" si="354"/>
        <v>0.7684942805331193</v>
      </c>
      <c r="G570" s="1">
        <f t="shared" si="354"/>
        <v>0.8001117859451502</v>
      </c>
      <c r="H570" s="1">
        <f t="shared" si="354"/>
        <v>0.83442054190447301</v>
      </c>
      <c r="I570" s="1">
        <f t="shared" si="354"/>
        <v>0.87177664047858883</v>
      </c>
      <c r="J570" s="1">
        <f t="shared" si="354"/>
        <v>0.91260139656199257</v>
      </c>
      <c r="K570" s="1">
        <f t="shared" si="354"/>
        <v>0.95739688130477119</v>
      </c>
      <c r="L570" s="1">
        <f t="shared" si="354"/>
        <v>1.0067660826197324</v>
      </c>
      <c r="M570" s="1">
        <f t="shared" si="354"/>
        <v>1.0614393723638862</v>
      </c>
      <c r="N570" s="1">
        <f t="shared" si="354"/>
        <v>1.1211245227175668</v>
      </c>
      <c r="O570" s="1">
        <f t="shared" si="354"/>
        <v>1.1875828053892568</v>
      </c>
      <c r="P570" s="1">
        <f t="shared" si="354"/>
        <v>1.262332139438098</v>
      </c>
      <c r="Q570" s="1">
        <f t="shared" si="354"/>
        <v>1.347010834315677</v>
      </c>
      <c r="R570" s="1">
        <f t="shared" si="354"/>
        <v>1.4437146868411794</v>
      </c>
      <c r="S570" s="1">
        <f t="shared" si="354"/>
        <v>1.5551669274255986</v>
      </c>
      <c r="T570" s="1">
        <f t="shared" si="354"/>
        <v>1.6849691583695365</v>
      </c>
      <c r="U570" s="1">
        <f t="shared" si="354"/>
        <v>1.8379816748453999</v>
      </c>
      <c r="V570" s="1">
        <f t="shared" si="354"/>
        <v>2.0185563015726293</v>
      </c>
      <c r="W570" s="1">
        <f t="shared" si="354"/>
        <v>2.2376803013494855</v>
      </c>
      <c r="X570" s="1">
        <f t="shared" si="354"/>
        <v>2.5088878563620254</v>
      </c>
      <c r="Y570" s="1">
        <f t="shared" si="354"/>
        <v>2.852733109091643</v>
      </c>
      <c r="Z570" s="1">
        <f t="shared" si="354"/>
        <v>3.3018972962126778</v>
      </c>
      <c r="AA570" s="1">
        <f t="shared" si="354"/>
        <v>3.9113773087795161</v>
      </c>
      <c r="AB570" s="1">
        <f t="shared" si="354"/>
        <v>4.7806133570032205</v>
      </c>
      <c r="AC570" s="1">
        <f t="shared" si="354"/>
        <v>6.1033718852067409</v>
      </c>
      <c r="AD570" s="1">
        <f t="shared" si="354"/>
        <v>8.2987548846213404</v>
      </c>
      <c r="AE570" s="1">
        <f t="shared" si="354"/>
        <v>12.5687840789269</v>
      </c>
      <c r="AF570" s="1">
        <f t="shared" si="354"/>
        <v>23.34059072631408</v>
      </c>
      <c r="AG570" s="1">
        <f t="shared" si="354"/>
        <v>78.31567229827337</v>
      </c>
      <c r="AH570" s="1">
        <f t="shared" si="354"/>
        <v>-78.246189638182116</v>
      </c>
      <c r="AI570" s="1">
        <f t="shared" si="354"/>
        <v>-23.05142740913578</v>
      </c>
      <c r="AJ570" s="1">
        <f t="shared" si="354"/>
        <v>-12.237453370084594</v>
      </c>
      <c r="AK570" s="1">
        <f t="shared" si="354"/>
        <v>-7.9539190356780809</v>
      </c>
      <c r="AL570" s="1">
        <f t="shared" si="354"/>
        <v>-5.7789761884825701</v>
      </c>
      <c r="AM570" s="1">
        <f t="shared" si="354"/>
        <v>-4.4984039698000542</v>
      </c>
      <c r="AN570" s="1">
        <f t="shared" si="354"/>
        <v>-3.6658769869804706</v>
      </c>
      <c r="AO570" s="1">
        <f t="shared" si="354"/>
        <v>-3.0856165984924648</v>
      </c>
    </row>
    <row r="571" spans="2:41">
      <c r="B571" s="1">
        <f t="shared" ref="B571:AO571" si="355">1/B424*(1+B375/SQRT(B375^2+B424^2))</f>
        <v>0.63874719200226449</v>
      </c>
      <c r="C571" s="1">
        <f t="shared" si="355"/>
        <v>0.66128670512250909</v>
      </c>
      <c r="D571" s="1">
        <f t="shared" si="355"/>
        <v>0.68545625380164465</v>
      </c>
      <c r="E571" s="1">
        <f t="shared" si="355"/>
        <v>0.71143734302241013</v>
      </c>
      <c r="F571" s="1">
        <f t="shared" si="355"/>
        <v>0.73933223199740461</v>
      </c>
      <c r="G571" s="1">
        <f t="shared" si="355"/>
        <v>0.76856638661386034</v>
      </c>
      <c r="H571" s="1">
        <f t="shared" si="355"/>
        <v>0.80018938926143723</v>
      </c>
      <c r="I571" s="1">
        <f t="shared" si="355"/>
        <v>0.83450429252644431</v>
      </c>
      <c r="J571" s="1">
        <f t="shared" si="355"/>
        <v>0.87186729455116552</v>
      </c>
      <c r="K571" s="1">
        <f t="shared" si="355"/>
        <v>0.91269983871230609</v>
      </c>
      <c r="L571" s="1">
        <f t="shared" si="355"/>
        <v>0.95750415293595825</v>
      </c>
      <c r="M571" s="1">
        <f t="shared" si="355"/>
        <v>1.0068834179615438</v>
      </c>
      <c r="N571" s="1">
        <f t="shared" si="355"/>
        <v>1.060494084607702</v>
      </c>
      <c r="O571" s="1">
        <f t="shared" si="355"/>
        <v>1.1198391130315082</v>
      </c>
      <c r="P571" s="1">
        <f t="shared" si="355"/>
        <v>1.1861568905875768</v>
      </c>
      <c r="Q571" s="1">
        <f t="shared" si="355"/>
        <v>1.2607415219381275</v>
      </c>
      <c r="R571" s="1">
        <f t="shared" si="355"/>
        <v>1.345225469693577</v>
      </c>
      <c r="S571" s="1">
        <f t="shared" si="355"/>
        <v>1.4416968223090385</v>
      </c>
      <c r="T571" s="1">
        <f t="shared" si="355"/>
        <v>1.552868489480026</v>
      </c>
      <c r="U571" s="1">
        <f t="shared" si="355"/>
        <v>1.6823280162427301</v>
      </c>
      <c r="V571" s="1">
        <f t="shared" si="355"/>
        <v>1.832903494112885</v>
      </c>
      <c r="W571" s="1">
        <f t="shared" si="355"/>
        <v>2.0125897662203558</v>
      </c>
      <c r="X571" s="1">
        <f t="shared" si="355"/>
        <v>2.2305741420949721</v>
      </c>
      <c r="Y571" s="1">
        <f t="shared" si="355"/>
        <v>2.5002883853038278</v>
      </c>
      <c r="Z571" s="1">
        <f t="shared" si="355"/>
        <v>2.8421277832346257</v>
      </c>
      <c r="AA571" s="1">
        <f t="shared" si="355"/>
        <v>3.2885181055433663</v>
      </c>
      <c r="AB571" s="1">
        <f t="shared" si="355"/>
        <v>3.8940287448765027</v>
      </c>
      <c r="AC571" s="1">
        <f t="shared" si="355"/>
        <v>4.7546999717164713</v>
      </c>
      <c r="AD571" s="1">
        <f t="shared" si="355"/>
        <v>6.0489317052346161</v>
      </c>
      <c r="AE571" s="1">
        <f t="shared" si="355"/>
        <v>8.2184826027674589</v>
      </c>
      <c r="AF571" s="1">
        <f t="shared" si="355"/>
        <v>12.445191241383846</v>
      </c>
      <c r="AG571" s="1">
        <f t="shared" si="355"/>
        <v>23.158786065507012</v>
      </c>
      <c r="AH571" s="1">
        <f t="shared" si="355"/>
        <v>78.178255970052959</v>
      </c>
      <c r="AI571" s="1">
        <f t="shared" si="355"/>
        <v>-78.100221918724813</v>
      </c>
      <c r="AJ571" s="1">
        <f t="shared" si="355"/>
        <v>-22.849185765829088</v>
      </c>
      <c r="AK571" s="1">
        <f t="shared" si="355"/>
        <v>-12.030684099316682</v>
      </c>
      <c r="AL571" s="1">
        <f t="shared" si="355"/>
        <v>-7.8151737642249941</v>
      </c>
      <c r="AM571" s="1">
        <f t="shared" si="355"/>
        <v>-5.6860184307252277</v>
      </c>
      <c r="AN571" s="1">
        <f t="shared" si="355"/>
        <v>-4.4328865447421411</v>
      </c>
      <c r="AO571" s="1">
        <f t="shared" si="355"/>
        <v>-3.6176015294286614</v>
      </c>
    </row>
    <row r="572" spans="2:41">
      <c r="B572" s="1">
        <f t="shared" ref="B572:AO572" si="356">1/B425*(1+B376/SQRT(B376^2+B425^2))</f>
        <v>0.61841972426115177</v>
      </c>
      <c r="C572" s="1">
        <f t="shared" si="356"/>
        <v>0.63953337127245347</v>
      </c>
      <c r="D572" s="1">
        <f t="shared" si="356"/>
        <v>0.66212322902000942</v>
      </c>
      <c r="E572" s="1">
        <f t="shared" si="356"/>
        <v>0.68634807985334045</v>
      </c>
      <c r="F572" s="1">
        <f t="shared" si="356"/>
        <v>0.71229022739989734</v>
      </c>
      <c r="G572" s="1">
        <f t="shared" si="356"/>
        <v>0.73939940169776419</v>
      </c>
      <c r="H572" s="1">
        <f t="shared" si="356"/>
        <v>0.76863849147294572</v>
      </c>
      <c r="I572" s="1">
        <f t="shared" si="356"/>
        <v>0.80026699113017696</v>
      </c>
      <c r="J572" s="1">
        <f t="shared" si="356"/>
        <v>0.83458804142451193</v>
      </c>
      <c r="K572" s="1">
        <f t="shared" si="356"/>
        <v>0.87195794655938386</v>
      </c>
      <c r="L572" s="1">
        <f t="shared" si="356"/>
        <v>0.91279827837567273</v>
      </c>
      <c r="M572" s="1">
        <f t="shared" si="356"/>
        <v>0.95761142155136225</v>
      </c>
      <c r="N572" s="1">
        <f t="shared" si="356"/>
        <v>1.0060227963196542</v>
      </c>
      <c r="O572" s="1">
        <f t="shared" si="356"/>
        <v>1.05932911393729</v>
      </c>
      <c r="P572" s="1">
        <f t="shared" si="356"/>
        <v>1.1185532555438027</v>
      </c>
      <c r="Q572" s="1">
        <f t="shared" si="356"/>
        <v>1.1847304219446262</v>
      </c>
      <c r="R572" s="1">
        <f t="shared" si="356"/>
        <v>1.259150211715282</v>
      </c>
      <c r="S572" s="1">
        <f t="shared" si="356"/>
        <v>1.3434392277539231</v>
      </c>
      <c r="T572" s="1">
        <f t="shared" si="356"/>
        <v>1.4396778310427802</v>
      </c>
      <c r="U572" s="1">
        <f t="shared" si="356"/>
        <v>1.550568581537479</v>
      </c>
      <c r="V572" s="1">
        <f t="shared" si="356"/>
        <v>1.6779497566769348</v>
      </c>
      <c r="W572" s="1">
        <f t="shared" si="356"/>
        <v>1.8278181124424624</v>
      </c>
      <c r="X572" s="1">
        <f t="shared" si="356"/>
        <v>2.0066133137249107</v>
      </c>
      <c r="Y572" s="1">
        <f t="shared" si="356"/>
        <v>2.2234539408288385</v>
      </c>
      <c r="Z572" s="1">
        <f t="shared" si="356"/>
        <v>2.4916683706106899</v>
      </c>
      <c r="AA572" s="1">
        <f t="shared" si="356"/>
        <v>2.831491204708612</v>
      </c>
      <c r="AB572" s="1">
        <f t="shared" si="356"/>
        <v>3.2750890694473864</v>
      </c>
      <c r="AC572" s="1">
        <f t="shared" si="356"/>
        <v>3.874608066821088</v>
      </c>
      <c r="AD572" s="1">
        <f t="shared" si="356"/>
        <v>4.7154737529437529</v>
      </c>
      <c r="AE572" s="1">
        <f t="shared" si="356"/>
        <v>5.9936482648819105</v>
      </c>
      <c r="AF572" s="1">
        <f t="shared" si="356"/>
        <v>8.1363326270144523</v>
      </c>
      <c r="AG572" s="1">
        <f t="shared" si="356"/>
        <v>12.316816257512562</v>
      </c>
      <c r="AH572" s="1">
        <f t="shared" si="356"/>
        <v>22.964143629124532</v>
      </c>
      <c r="AI572" s="1">
        <f t="shared" si="356"/>
        <v>78.023770188500606</v>
      </c>
      <c r="AJ572" s="1">
        <f t="shared" si="356"/>
        <v>-77.935764530357758</v>
      </c>
      <c r="AK572" s="1">
        <f t="shared" si="356"/>
        <v>-22.51773943421831</v>
      </c>
      <c r="AL572" s="1">
        <f t="shared" si="356"/>
        <v>-11.802998322165246</v>
      </c>
      <c r="AM572" s="1">
        <f t="shared" si="356"/>
        <v>-7.6719956299361831</v>
      </c>
      <c r="AN572" s="1">
        <f t="shared" si="356"/>
        <v>-5.5912593199283975</v>
      </c>
      <c r="AO572" s="1">
        <f t="shared" si="356"/>
        <v>-4.3665441292640033</v>
      </c>
    </row>
    <row r="573" spans="2:41">
      <c r="B573" s="1">
        <f t="shared" ref="B573:AO573" si="357">1/B426*(1+B377/SQRT(B377^2+B426^2))</f>
        <v>0.5993302105512317</v>
      </c>
      <c r="C573" s="1">
        <f t="shared" si="357"/>
        <v>0.61914803154584708</v>
      </c>
      <c r="D573" s="1">
        <f t="shared" si="357"/>
        <v>0.64030688471227426</v>
      </c>
      <c r="E573" s="1">
        <f t="shared" si="357"/>
        <v>0.66294626047468297</v>
      </c>
      <c r="F573" s="1">
        <f t="shared" si="357"/>
        <v>0.68713203755815244</v>
      </c>
      <c r="G573" s="1">
        <f t="shared" si="357"/>
        <v>0.71233774122031157</v>
      </c>
      <c r="H573" s="1">
        <f t="shared" si="357"/>
        <v>0.73945028421731729</v>
      </c>
      <c r="I573" s="1">
        <f t="shared" si="357"/>
        <v>0.76869311241021687</v>
      </c>
      <c r="J573" s="1">
        <f t="shared" si="357"/>
        <v>0.80032577607863353</v>
      </c>
      <c r="K573" s="1">
        <f t="shared" si="357"/>
        <v>0.83465148276134693</v>
      </c>
      <c r="L573" s="1">
        <f t="shared" si="357"/>
        <v>0.872026616997438</v>
      </c>
      <c r="M573" s="1">
        <f t="shared" si="357"/>
        <v>0.91287284793151502</v>
      </c>
      <c r="N573" s="1">
        <f t="shared" si="357"/>
        <v>0.95679863029430945</v>
      </c>
      <c r="O573" s="1">
        <f t="shared" si="357"/>
        <v>1.0049337360198309</v>
      </c>
      <c r="P573" s="1">
        <f t="shared" si="357"/>
        <v>1.058132506896452</v>
      </c>
      <c r="Q573" s="1">
        <f t="shared" si="357"/>
        <v>1.1172324335158708</v>
      </c>
      <c r="R573" s="1">
        <f t="shared" si="357"/>
        <v>1.1832651066445483</v>
      </c>
      <c r="S573" s="1">
        <f t="shared" si="357"/>
        <v>1.2575154887522761</v>
      </c>
      <c r="T573" s="1">
        <f t="shared" si="357"/>
        <v>1.3416041525423401</v>
      </c>
      <c r="U573" s="1">
        <f t="shared" si="357"/>
        <v>1.4376035044985118</v>
      </c>
      <c r="V573" s="1">
        <f t="shared" si="357"/>
        <v>1.5466947361182248</v>
      </c>
      <c r="W573" s="1">
        <f t="shared" si="357"/>
        <v>1.6734951813471044</v>
      </c>
      <c r="X573" s="1">
        <f t="shared" si="357"/>
        <v>1.8226431026739076</v>
      </c>
      <c r="Y573" s="1">
        <f t="shared" si="357"/>
        <v>2.0005300652897549</v>
      </c>
      <c r="Z573" s="1">
        <f t="shared" si="357"/>
        <v>2.21620426340266</v>
      </c>
      <c r="AA573" s="1">
        <f t="shared" si="357"/>
        <v>2.4828880347492208</v>
      </c>
      <c r="AB573" s="1">
        <f t="shared" si="357"/>
        <v>2.8206508404168105</v>
      </c>
      <c r="AC573" s="1">
        <f t="shared" si="357"/>
        <v>3.2598562605998684</v>
      </c>
      <c r="AD573" s="1">
        <f t="shared" si="357"/>
        <v>3.8449982896153125</v>
      </c>
      <c r="AE573" s="1">
        <f t="shared" si="357"/>
        <v>4.6754435599396755</v>
      </c>
      <c r="AF573" s="1">
        <f t="shared" si="357"/>
        <v>5.9369857556807304</v>
      </c>
      <c r="AG573" s="1">
        <f t="shared" si="357"/>
        <v>8.0514863948990563</v>
      </c>
      <c r="AH573" s="1">
        <f t="shared" si="357"/>
        <v>12.182241593052691</v>
      </c>
      <c r="AI573" s="1">
        <f t="shared" si="357"/>
        <v>22.753625690613621</v>
      </c>
      <c r="AJ573" s="1">
        <f t="shared" si="357"/>
        <v>77.847554360117556</v>
      </c>
      <c r="AK573" s="1">
        <f t="shared" si="357"/>
        <v>-77.644453321132232</v>
      </c>
      <c r="AL573" s="1">
        <f t="shared" si="357"/>
        <v>-22.131492720664806</v>
      </c>
      <c r="AM573" s="1">
        <f t="shared" si="357"/>
        <v>-11.561190212649043</v>
      </c>
      <c r="AN573" s="1">
        <f t="shared" si="357"/>
        <v>-7.5235896855088731</v>
      </c>
      <c r="AO573" s="1">
        <f t="shared" si="357"/>
        <v>-5.4941928342129449</v>
      </c>
    </row>
    <row r="574" spans="2:41">
      <c r="B574" s="1">
        <f t="shared" ref="B574:AO574" si="358">1/B427*(1+B378/SQRT(B378^2+B427^2))</f>
        <v>0.58129347212903704</v>
      </c>
      <c r="C574" s="1">
        <f t="shared" si="358"/>
        <v>0.59992578936895447</v>
      </c>
      <c r="D574" s="1">
        <f t="shared" si="358"/>
        <v>0.61977947660695842</v>
      </c>
      <c r="E574" s="1">
        <f t="shared" si="358"/>
        <v>0.64097751297593841</v>
      </c>
      <c r="F574" s="1">
        <f t="shared" si="358"/>
        <v>0.66357214857592262</v>
      </c>
      <c r="G574" s="1">
        <f t="shared" si="358"/>
        <v>0.68705991559753143</v>
      </c>
      <c r="H574" s="1">
        <f t="shared" si="358"/>
        <v>0.71226067894091183</v>
      </c>
      <c r="I574" s="1">
        <f t="shared" si="358"/>
        <v>0.73936775824569501</v>
      </c>
      <c r="J574" s="1">
        <f t="shared" si="358"/>
        <v>0.7686045230955173</v>
      </c>
      <c r="K574" s="1">
        <f t="shared" si="358"/>
        <v>0.80023043314495113</v>
      </c>
      <c r="L574" s="1">
        <f t="shared" si="358"/>
        <v>0.83454858761413631</v>
      </c>
      <c r="M574" s="1">
        <f t="shared" si="358"/>
        <v>0.87191524074290128</v>
      </c>
      <c r="N574" s="1">
        <f t="shared" si="358"/>
        <v>0.91193142303858044</v>
      </c>
      <c r="O574" s="1">
        <f t="shared" si="358"/>
        <v>0.95558987974910692</v>
      </c>
      <c r="P574" s="1">
        <f t="shared" si="358"/>
        <v>1.0036111302309403</v>
      </c>
      <c r="Q574" s="1">
        <f t="shared" si="358"/>
        <v>1.0566792437129788</v>
      </c>
      <c r="R574" s="1">
        <f t="shared" si="358"/>
        <v>1.1156282520252305</v>
      </c>
      <c r="S574" s="1">
        <f t="shared" si="358"/>
        <v>1.1814853545424386</v>
      </c>
      <c r="T574" s="1">
        <f t="shared" si="358"/>
        <v>1.2555298729594619</v>
      </c>
      <c r="U574" s="1">
        <f t="shared" si="358"/>
        <v>1.3393750411175895</v>
      </c>
      <c r="V574" s="1">
        <f t="shared" si="358"/>
        <v>1.433756702026534</v>
      </c>
      <c r="W574" s="1">
        <f t="shared" si="358"/>
        <v>1.5423100791321733</v>
      </c>
      <c r="X574" s="1">
        <f t="shared" si="358"/>
        <v>1.6684524053166836</v>
      </c>
      <c r="Y574" s="1">
        <f t="shared" si="358"/>
        <v>1.816783590789816</v>
      </c>
      <c r="Z574" s="1">
        <f t="shared" si="358"/>
        <v>1.993640442487653</v>
      </c>
      <c r="AA574" s="1">
        <f t="shared" si="358"/>
        <v>2.2079909272751936</v>
      </c>
      <c r="AB574" s="1">
        <f t="shared" si="358"/>
        <v>2.4729363265724711</v>
      </c>
      <c r="AC574" s="1">
        <f t="shared" si="358"/>
        <v>2.807138154704703</v>
      </c>
      <c r="AD574" s="1">
        <f t="shared" si="358"/>
        <v>3.2351976692590632</v>
      </c>
      <c r="AE574" s="1">
        <f t="shared" si="358"/>
        <v>3.8128018120741873</v>
      </c>
      <c r="AF574" s="1">
        <f t="shared" si="358"/>
        <v>4.6317980294696781</v>
      </c>
      <c r="AG574" s="1">
        <f t="shared" si="358"/>
        <v>5.8749322073750303</v>
      </c>
      <c r="AH574" s="1">
        <f t="shared" si="358"/>
        <v>7.9578370096516551</v>
      </c>
      <c r="AI574" s="1">
        <f t="shared" si="358"/>
        <v>12.03139273579762</v>
      </c>
      <c r="AJ574" s="1">
        <f t="shared" si="358"/>
        <v>22.509615832169967</v>
      </c>
      <c r="AK574" s="1">
        <f t="shared" si="358"/>
        <v>77.519293782888909</v>
      </c>
      <c r="AL574" s="1">
        <f t="shared" si="358"/>
        <v>-77.251752947419277</v>
      </c>
      <c r="AM574" s="1">
        <f t="shared" si="358"/>
        <v>-21.678720054675416</v>
      </c>
      <c r="AN574" s="1">
        <f t="shared" si="358"/>
        <v>-11.293405081062676</v>
      </c>
      <c r="AO574" s="1">
        <f t="shared" si="358"/>
        <v>-7.363207946548898</v>
      </c>
    </row>
    <row r="575" spans="2:41">
      <c r="B575" s="1">
        <f t="shared" ref="B575:AO575" si="359">1/B428*(1+B379/SQRT(B379^2+B428^2))</f>
        <v>0.56432475901600243</v>
      </c>
      <c r="C575" s="1">
        <f t="shared" si="359"/>
        <v>0.58187553397528147</v>
      </c>
      <c r="D575" s="1">
        <f t="shared" si="359"/>
        <v>0.60054188927192587</v>
      </c>
      <c r="E575" s="1">
        <f t="shared" si="359"/>
        <v>0.62043266954261012</v>
      </c>
      <c r="F575" s="1">
        <f t="shared" si="359"/>
        <v>0.6415888526416399</v>
      </c>
      <c r="G575" s="1">
        <f t="shared" si="359"/>
        <v>0.66352917262961941</v>
      </c>
      <c r="H575" s="1">
        <f t="shared" si="359"/>
        <v>0.68701409223595677</v>
      </c>
      <c r="I575" s="1">
        <f t="shared" si="359"/>
        <v>0.71221171664170779</v>
      </c>
      <c r="J575" s="1">
        <f t="shared" si="359"/>
        <v>0.73931532446269799</v>
      </c>
      <c r="K575" s="1">
        <f t="shared" si="359"/>
        <v>0.76854823681473206</v>
      </c>
      <c r="L575" s="1">
        <f t="shared" si="359"/>
        <v>0.80016985576735755</v>
      </c>
      <c r="M575" s="1">
        <f t="shared" si="359"/>
        <v>0.8344832117121741</v>
      </c>
      <c r="N575" s="1">
        <f t="shared" si="359"/>
        <v>0.87108889871585438</v>
      </c>
      <c r="O575" s="1">
        <f t="shared" si="359"/>
        <v>0.91086629128439744</v>
      </c>
      <c r="P575" s="1">
        <f t="shared" si="359"/>
        <v>0.95442885418169809</v>
      </c>
      <c r="Q575" s="1">
        <f t="shared" si="359"/>
        <v>1.0023407064909029</v>
      </c>
      <c r="R575" s="1">
        <f t="shared" si="359"/>
        <v>1.0552832691366987</v>
      </c>
      <c r="S575" s="1">
        <f t="shared" si="359"/>
        <v>1.1140872465452736</v>
      </c>
      <c r="T575" s="1">
        <f t="shared" si="359"/>
        <v>1.1797756126377148</v>
      </c>
      <c r="U575" s="1">
        <f t="shared" si="359"/>
        <v>1.2536222602244378</v>
      </c>
      <c r="V575" s="1">
        <f t="shared" si="359"/>
        <v>1.3360590266553731</v>
      </c>
      <c r="W575" s="1">
        <f t="shared" si="359"/>
        <v>1.4300064146375837</v>
      </c>
      <c r="X575" s="1">
        <f t="shared" si="359"/>
        <v>1.5380348559842012</v>
      </c>
      <c r="Y575" s="1">
        <f t="shared" si="359"/>
        <v>1.6635346786313041</v>
      </c>
      <c r="Z575" s="1">
        <f t="shared" si="359"/>
        <v>1.811068213189722</v>
      </c>
      <c r="AA575" s="1">
        <f t="shared" si="359"/>
        <v>1.9869185591850727</v>
      </c>
      <c r="AB575" s="1">
        <f t="shared" si="359"/>
        <v>2.1999748982385396</v>
      </c>
      <c r="AC575" s="1">
        <f t="shared" si="359"/>
        <v>2.4622305446141315</v>
      </c>
      <c r="AD575" s="1">
        <f t="shared" si="359"/>
        <v>2.7879057778067327</v>
      </c>
      <c r="AE575" s="1">
        <f t="shared" si="359"/>
        <v>3.2107948208996855</v>
      </c>
      <c r="AF575" s="1">
        <f t="shared" si="359"/>
        <v>3.7808829572662201</v>
      </c>
      <c r="AG575" s="1">
        <f t="shared" si="359"/>
        <v>4.5884120549628227</v>
      </c>
      <c r="AH575" s="1">
        <f t="shared" si="359"/>
        <v>5.8129753725664219</v>
      </c>
      <c r="AI575" s="1">
        <f t="shared" si="359"/>
        <v>7.8635951149970724</v>
      </c>
      <c r="AJ575" s="1">
        <f t="shared" si="359"/>
        <v>11.877181539937531</v>
      </c>
      <c r="AK575" s="1">
        <f t="shared" si="359"/>
        <v>22.12300695378952</v>
      </c>
      <c r="AL575" s="1">
        <f t="shared" si="359"/>
        <v>77.099960492067055</v>
      </c>
      <c r="AM575" s="1">
        <f t="shared" si="359"/>
        <v>-76.762835630229645</v>
      </c>
      <c r="AN575" s="1">
        <f t="shared" si="359"/>
        <v>-21.178732991354472</v>
      </c>
      <c r="AO575" s="1">
        <f t="shared" si="359"/>
        <v>-11.014720408482745</v>
      </c>
    </row>
    <row r="576" spans="2:41">
      <c r="B576" s="1">
        <f t="shared" ref="B576:AO576" si="360">1/B429*(1+B380/SQRT(B380^2+B429^2))</f>
        <v>0.5483150202096706</v>
      </c>
      <c r="C576" s="1">
        <f t="shared" si="360"/>
        <v>0.56487546337250583</v>
      </c>
      <c r="D576" s="1">
        <f t="shared" si="360"/>
        <v>0.58245753653712251</v>
      </c>
      <c r="E576" s="1">
        <f t="shared" si="360"/>
        <v>0.60115791850432643</v>
      </c>
      <c r="F576" s="1">
        <f t="shared" si="360"/>
        <v>0.62100822427275293</v>
      </c>
      <c r="G576" s="1">
        <f t="shared" si="360"/>
        <v>0.64154846715558511</v>
      </c>
      <c r="H576" s="1">
        <f t="shared" si="360"/>
        <v>0.6634861962892985</v>
      </c>
      <c r="I576" s="1">
        <f t="shared" si="360"/>
        <v>0.68696826841513692</v>
      </c>
      <c r="J576" s="1">
        <f t="shared" si="360"/>
        <v>0.71216275380528871</v>
      </c>
      <c r="K576" s="1">
        <f t="shared" si="360"/>
        <v>0.7392628900488003</v>
      </c>
      <c r="L576" s="1">
        <f t="shared" si="360"/>
        <v>0.76849194978984714</v>
      </c>
      <c r="M576" s="1">
        <f t="shared" si="360"/>
        <v>0.80010927750806626</v>
      </c>
      <c r="N576" s="1">
        <f t="shared" si="360"/>
        <v>0.83371979062708701</v>
      </c>
      <c r="O576" s="1">
        <f t="shared" si="360"/>
        <v>0.87010804672132003</v>
      </c>
      <c r="P576" s="1">
        <f t="shared" si="360"/>
        <v>0.90980087705042711</v>
      </c>
      <c r="Q576" s="1">
        <f t="shared" si="360"/>
        <v>0.95326749124189758</v>
      </c>
      <c r="R576" s="1">
        <f t="shared" si="360"/>
        <v>1.0010698767043793</v>
      </c>
      <c r="S576" s="1">
        <f t="shared" si="360"/>
        <v>1.0538868017304011</v>
      </c>
      <c r="T576" s="1">
        <f t="shared" si="360"/>
        <v>1.1125456373534841</v>
      </c>
      <c r="U576" s="1">
        <f t="shared" si="360"/>
        <v>1.1780651236254966</v>
      </c>
      <c r="V576" s="1">
        <f t="shared" si="360"/>
        <v>1.2506672722428962</v>
      </c>
      <c r="W576" s="1">
        <f t="shared" si="360"/>
        <v>1.3327401977154876</v>
      </c>
      <c r="X576" s="1">
        <f t="shared" si="360"/>
        <v>1.426252541881891</v>
      </c>
      <c r="Y576" s="1">
        <f t="shared" si="360"/>
        <v>1.5337549917625162</v>
      </c>
      <c r="Z576" s="1">
        <f t="shared" si="360"/>
        <v>1.6586108340386072</v>
      </c>
      <c r="AA576" s="1">
        <f t="shared" si="360"/>
        <v>1.8053446009979093</v>
      </c>
      <c r="AB576" s="1">
        <f t="shared" si="360"/>
        <v>1.9801853216555212</v>
      </c>
      <c r="AC576" s="1">
        <f t="shared" si="360"/>
        <v>2.191125543396597</v>
      </c>
      <c r="AD576" s="1">
        <f t="shared" si="360"/>
        <v>2.4466373243507951</v>
      </c>
      <c r="AE576" s="1">
        <f t="shared" si="360"/>
        <v>2.7685827117983006</v>
      </c>
      <c r="AF576" s="1">
        <f t="shared" si="360"/>
        <v>3.1862484990765179</v>
      </c>
      <c r="AG576" s="1">
        <f t="shared" si="360"/>
        <v>3.7487224773295211</v>
      </c>
      <c r="AH576" s="1">
        <f t="shared" si="360"/>
        <v>4.5445851630731156</v>
      </c>
      <c r="AI576" s="1">
        <f t="shared" si="360"/>
        <v>5.7501244509878822</v>
      </c>
      <c r="AJ576" s="1">
        <f t="shared" si="360"/>
        <v>7.767265319084439</v>
      </c>
      <c r="AK576" s="1">
        <f t="shared" si="360"/>
        <v>11.639775291554347</v>
      </c>
      <c r="AL576" s="1">
        <f t="shared" si="360"/>
        <v>21.674415237901616</v>
      </c>
      <c r="AM576" s="1">
        <f t="shared" si="360"/>
        <v>76.570112351947046</v>
      </c>
      <c r="AN576" s="1">
        <f t="shared" si="360"/>
        <v>-76.138572205076485</v>
      </c>
      <c r="AO576" s="1">
        <f t="shared" si="360"/>
        <v>-20.62246447873315</v>
      </c>
    </row>
    <row r="577" spans="1:41">
      <c r="B577" s="1">
        <f t="shared" ref="B577:AO577" si="361">1/B430*(1+B381/SQRT(B381^2+B430^2))</f>
        <v>0.53318545398033934</v>
      </c>
      <c r="C577" s="1">
        <f t="shared" si="361"/>
        <v>0.54883682914623211</v>
      </c>
      <c r="D577" s="1">
        <f t="shared" si="361"/>
        <v>0.56542611638121487</v>
      </c>
      <c r="E577" s="1">
        <f t="shared" si="361"/>
        <v>0.58303947795745226</v>
      </c>
      <c r="F577" s="1">
        <f t="shared" si="361"/>
        <v>0.60170073232035859</v>
      </c>
      <c r="G577" s="1">
        <f t="shared" si="361"/>
        <v>0.62097020257308355</v>
      </c>
      <c r="H577" s="1">
        <f t="shared" si="361"/>
        <v>0.64150808133086579</v>
      </c>
      <c r="I577" s="1">
        <f t="shared" si="361"/>
        <v>0.6634432195555473</v>
      </c>
      <c r="J577" s="1">
        <f t="shared" si="361"/>
        <v>0.68692244413573789</v>
      </c>
      <c r="K577" s="1">
        <f t="shared" si="361"/>
        <v>0.71211379043241452</v>
      </c>
      <c r="L577" s="1">
        <f t="shared" si="361"/>
        <v>0.73921045500487226</v>
      </c>
      <c r="M577" s="1">
        <f t="shared" si="361"/>
        <v>0.76843566202186409</v>
      </c>
      <c r="N577" s="1">
        <f t="shared" si="361"/>
        <v>0.79940188727174299</v>
      </c>
      <c r="O577" s="1">
        <f t="shared" si="361"/>
        <v>0.83281364434284466</v>
      </c>
      <c r="P577" s="1">
        <f t="shared" si="361"/>
        <v>0.86912696072130691</v>
      </c>
      <c r="Q577" s="1">
        <f t="shared" si="361"/>
        <v>0.90873518527196273</v>
      </c>
      <c r="R577" s="1">
        <f t="shared" si="361"/>
        <v>0.95210579678064722</v>
      </c>
      <c r="S577" s="1">
        <f t="shared" si="361"/>
        <v>0.99979864785900097</v>
      </c>
      <c r="T577" s="1">
        <f t="shared" si="361"/>
        <v>1.052489849906157</v>
      </c>
      <c r="U577" s="1">
        <f t="shared" si="361"/>
        <v>1.1110034346653095</v>
      </c>
      <c r="V577" s="1">
        <f t="shared" si="361"/>
        <v>1.1754156945077718</v>
      </c>
      <c r="W577" s="1">
        <f t="shared" si="361"/>
        <v>1.2477101009764007</v>
      </c>
      <c r="X577" s="1">
        <f t="shared" si="361"/>
        <v>1.3294186266054409</v>
      </c>
      <c r="Y577" s="1">
        <f t="shared" si="361"/>
        <v>1.4224951757238471</v>
      </c>
      <c r="Z577" s="1">
        <f t="shared" si="361"/>
        <v>1.5294706051589435</v>
      </c>
      <c r="AA577" s="1">
        <f t="shared" si="361"/>
        <v>1.6536810272608575</v>
      </c>
      <c r="AB577" s="1">
        <f t="shared" si="361"/>
        <v>1.7996129623265888</v>
      </c>
      <c r="AC577" s="1">
        <f t="shared" si="361"/>
        <v>1.972754955684527</v>
      </c>
      <c r="AD577" s="1">
        <f t="shared" si="361"/>
        <v>2.1782444480948633</v>
      </c>
      <c r="AE577" s="1">
        <f t="shared" si="361"/>
        <v>2.4309861896946883</v>
      </c>
      <c r="AF577" s="1">
        <f t="shared" si="361"/>
        <v>2.7491724519896126</v>
      </c>
      <c r="AG577" s="1">
        <f t="shared" si="361"/>
        <v>3.1615641244680273</v>
      </c>
      <c r="AH577" s="1">
        <f t="shared" si="361"/>
        <v>3.7163291315793345</v>
      </c>
      <c r="AI577" s="1">
        <f t="shared" si="361"/>
        <v>4.5003320659357335</v>
      </c>
      <c r="AJ577" s="1">
        <f t="shared" si="361"/>
        <v>5.6864043989689632</v>
      </c>
      <c r="AK577" s="1">
        <f t="shared" si="361"/>
        <v>7.6219107404646378</v>
      </c>
      <c r="AL577" s="1">
        <f t="shared" si="361"/>
        <v>11.379209327124144</v>
      </c>
      <c r="AM577" s="1">
        <f t="shared" si="361"/>
        <v>21.173935885838539</v>
      </c>
      <c r="AN577" s="1">
        <f t="shared" si="361"/>
        <v>75.889828289048779</v>
      </c>
      <c r="AO577" s="1">
        <f t="shared" si="361"/>
        <v>-75.327884937698627</v>
      </c>
    </row>
    <row r="586" spans="1:41">
      <c r="A586" s="1" t="s">
        <v>129</v>
      </c>
    </row>
    <row r="587" spans="1:41">
      <c r="B587" s="1">
        <f t="shared" ref="B587:AO587" si="362">(B440+B489+B538)*0.0795774715459477</f>
        <v>-13.515747806272213</v>
      </c>
      <c r="C587" s="1">
        <f t="shared" si="362"/>
        <v>3.7943805049202979</v>
      </c>
      <c r="D587" s="1">
        <f t="shared" si="362"/>
        <v>0.64083630673922931</v>
      </c>
      <c r="E587" s="1">
        <f t="shared" si="362"/>
        <v>0.25082551388432978</v>
      </c>
      <c r="F587" s="1">
        <f t="shared" si="362"/>
        <v>0.1320620484114923</v>
      </c>
      <c r="G587" s="1">
        <f t="shared" si="362"/>
        <v>8.0936719857422082E-2</v>
      </c>
      <c r="H587" s="1">
        <f t="shared" si="362"/>
        <v>5.4435492397310756E-2</v>
      </c>
      <c r="I587" s="1">
        <f t="shared" si="362"/>
        <v>3.9069584527876629E-2</v>
      </c>
      <c r="J587" s="1">
        <f t="shared" si="362"/>
        <v>2.9384519142071398E-2</v>
      </c>
      <c r="K587" s="1">
        <f t="shared" si="362"/>
        <v>2.2893992683473242E-2</v>
      </c>
      <c r="L587" s="1">
        <f t="shared" si="362"/>
        <v>1.8335177894625219E-2</v>
      </c>
      <c r="M587" s="1">
        <f t="shared" si="362"/>
        <v>1.5012090579847955E-2</v>
      </c>
      <c r="N587" s="1">
        <f t="shared" si="362"/>
        <v>1.2505970510314934E-2</v>
      </c>
      <c r="O587" s="1">
        <f t="shared" si="362"/>
        <v>1.0567875188824403E-2</v>
      </c>
      <c r="P587" s="1">
        <f t="shared" si="362"/>
        <v>9.0456269938125854E-3</v>
      </c>
      <c r="Q587" s="1">
        <f t="shared" si="362"/>
        <v>7.8295810786180552E-3</v>
      </c>
      <c r="R587" s="1">
        <f t="shared" si="362"/>
        <v>6.8429025343428136E-3</v>
      </c>
      <c r="S587" s="1">
        <f t="shared" si="362"/>
        <v>6.0314016054446541E-3</v>
      </c>
      <c r="T587" s="1">
        <f t="shared" si="362"/>
        <v>5.3559798844267509E-3</v>
      </c>
      <c r="U587" s="1">
        <f t="shared" si="362"/>
        <v>4.7878584043099916E-3</v>
      </c>
      <c r="V587" s="1">
        <f t="shared" si="362"/>
        <v>4.303914441175857E-3</v>
      </c>
      <c r="W587" s="1">
        <f t="shared" si="362"/>
        <v>3.8883028889653264E-3</v>
      </c>
      <c r="X587" s="1">
        <f t="shared" si="362"/>
        <v>3.5300369967770878E-3</v>
      </c>
      <c r="Y587" s="1">
        <f t="shared" si="362"/>
        <v>3.2190434328174347E-3</v>
      </c>
      <c r="Z587" s="1">
        <f t="shared" si="362"/>
        <v>2.9473652853384299E-3</v>
      </c>
      <c r="AA587" s="1">
        <f t="shared" si="362"/>
        <v>2.708650499729156E-3</v>
      </c>
      <c r="AB587" s="1">
        <f t="shared" si="362"/>
        <v>2.4977788630265729E-3</v>
      </c>
      <c r="AC587" s="1">
        <f t="shared" si="362"/>
        <v>2.3104020602017147E-3</v>
      </c>
      <c r="AD587" s="1">
        <f t="shared" si="362"/>
        <v>2.1423465834855241E-3</v>
      </c>
      <c r="AE587" s="1">
        <f t="shared" si="362"/>
        <v>1.9912048371951317E-3</v>
      </c>
      <c r="AF587" s="1">
        <f t="shared" si="362"/>
        <v>1.8554881696366964E-3</v>
      </c>
      <c r="AG587" s="1">
        <f t="shared" si="362"/>
        <v>1.7331695486130642E-3</v>
      </c>
      <c r="AH587" s="1">
        <f t="shared" si="362"/>
        <v>1.6225439032909884E-3</v>
      </c>
      <c r="AI587" s="1">
        <f t="shared" si="362"/>
        <v>1.5221687174962863E-3</v>
      </c>
      <c r="AJ587" s="1">
        <f t="shared" si="362"/>
        <v>1.4308170164743707E-3</v>
      </c>
      <c r="AK587" s="1">
        <f t="shared" si="362"/>
        <v>1.3468094808129797E-3</v>
      </c>
      <c r="AL587" s="1">
        <f t="shared" si="362"/>
        <v>1.269307736233425E-3</v>
      </c>
      <c r="AM587" s="1">
        <f t="shared" si="362"/>
        <v>1.1982241309132886E-3</v>
      </c>
      <c r="AN587" s="1">
        <f t="shared" si="362"/>
        <v>1.1329357970573011E-3</v>
      </c>
      <c r="AO587" s="1">
        <f t="shared" si="362"/>
        <v>1.0728307126982009E-3</v>
      </c>
    </row>
    <row r="588" spans="1:41">
      <c r="B588" s="1">
        <f t="shared" ref="B588:AO588" si="363">(B441+B490+B539)*0.0795774715459477</f>
        <v>3.7829223315592659</v>
      </c>
      <c r="C588" s="1">
        <f t="shared" si="363"/>
        <v>-13.369633038222512</v>
      </c>
      <c r="D588" s="1">
        <f t="shared" si="363"/>
        <v>3.8527867954233805</v>
      </c>
      <c r="E588" s="1">
        <f t="shared" si="363"/>
        <v>0.65610494629531146</v>
      </c>
      <c r="F588" s="1">
        <f t="shared" si="363"/>
        <v>0.25614718974524964</v>
      </c>
      <c r="G588" s="1">
        <f t="shared" si="363"/>
        <v>0.13408598609884648</v>
      </c>
      <c r="H588" s="1">
        <f t="shared" si="363"/>
        <v>8.1790315417986828E-2</v>
      </c>
      <c r="I588" s="1">
        <f t="shared" si="363"/>
        <v>5.4941132870079554E-2</v>
      </c>
      <c r="J588" s="1">
        <f t="shared" si="363"/>
        <v>3.9392685573796965E-2</v>
      </c>
      <c r="K588" s="1">
        <f t="shared" si="363"/>
        <v>2.9603102639957246E-2</v>
      </c>
      <c r="L588" s="1">
        <f t="shared" si="363"/>
        <v>2.3048579427349242E-2</v>
      </c>
      <c r="M588" s="1">
        <f t="shared" si="363"/>
        <v>1.8448449713700917E-2</v>
      </c>
      <c r="N588" s="1">
        <f t="shared" si="363"/>
        <v>1.5084841458792693E-2</v>
      </c>
      <c r="O588" s="1">
        <f t="shared" si="363"/>
        <v>1.254945914107772E-2</v>
      </c>
      <c r="P588" s="1">
        <f t="shared" si="363"/>
        <v>1.0600462115526441E-2</v>
      </c>
      <c r="Q588" s="1">
        <f t="shared" si="363"/>
        <v>9.0717832246290184E-3</v>
      </c>
      <c r="R588" s="1">
        <f t="shared" si="363"/>
        <v>7.8508902895028099E-3</v>
      </c>
      <c r="S588" s="1">
        <f t="shared" si="363"/>
        <v>6.8604901787368607E-3</v>
      </c>
      <c r="T588" s="1">
        <f t="shared" si="363"/>
        <v>6.0460850112518515E-3</v>
      </c>
      <c r="U588" s="1">
        <f t="shared" si="363"/>
        <v>5.3683640577568215E-3</v>
      </c>
      <c r="V588" s="1">
        <f t="shared" si="363"/>
        <v>4.7965821708231124E-3</v>
      </c>
      <c r="W588" s="1">
        <f t="shared" si="363"/>
        <v>4.3097582135597475E-3</v>
      </c>
      <c r="X588" s="1">
        <f t="shared" si="363"/>
        <v>3.893355546451711E-3</v>
      </c>
      <c r="Y588" s="1">
        <f t="shared" si="363"/>
        <v>3.5344349419605308E-3</v>
      </c>
      <c r="Z588" s="1">
        <f t="shared" si="363"/>
        <v>3.2228949291224075E-3</v>
      </c>
      <c r="AA588" s="1">
        <f t="shared" si="363"/>
        <v>2.950757137307242E-3</v>
      </c>
      <c r="AB588" s="1">
        <f t="shared" si="363"/>
        <v>2.7116529558939523E-3</v>
      </c>
      <c r="AC588" s="1">
        <f t="shared" si="363"/>
        <v>2.5002432258714518E-3</v>
      </c>
      <c r="AD588" s="1">
        <f t="shared" si="363"/>
        <v>2.3115102400966532E-3</v>
      </c>
      <c r="AE588" s="1">
        <f t="shared" si="363"/>
        <v>2.1425010338328777E-3</v>
      </c>
      <c r="AF588" s="1">
        <f t="shared" si="363"/>
        <v>1.991343918302487E-3</v>
      </c>
      <c r="AG588" s="1">
        <f t="shared" si="363"/>
        <v>1.8556138517234512E-3</v>
      </c>
      <c r="AH588" s="1">
        <f t="shared" si="363"/>
        <v>1.7332834965038044E-3</v>
      </c>
      <c r="AI588" s="1">
        <f t="shared" si="363"/>
        <v>1.6226475314250815E-3</v>
      </c>
      <c r="AJ588" s="1">
        <f t="shared" si="363"/>
        <v>1.5222632337332381E-3</v>
      </c>
      <c r="AK588" s="1">
        <f t="shared" si="363"/>
        <v>1.4302162249748332E-3</v>
      </c>
      <c r="AL588" s="1">
        <f t="shared" si="363"/>
        <v>1.3455299427482649E-3</v>
      </c>
      <c r="AM588" s="1">
        <f t="shared" si="363"/>
        <v>1.2680561789519499E-3</v>
      </c>
      <c r="AN588" s="1">
        <f t="shared" si="363"/>
        <v>1.197071041170832E-3</v>
      </c>
      <c r="AO588" s="1">
        <f t="shared" si="363"/>
        <v>1.1318711348072548E-3</v>
      </c>
    </row>
    <row r="589" spans="1:41">
      <c r="B589" s="1">
        <f t="shared" ref="B589:AO589" si="364">(B442+B491+B540)*0.0795774715459477</f>
        <v>0.63229076671452467</v>
      </c>
      <c r="C589" s="1">
        <f t="shared" si="364"/>
        <v>3.8424605808494929</v>
      </c>
      <c r="D589" s="1">
        <f t="shared" si="364"/>
        <v>-13.260527532036971</v>
      </c>
      <c r="E589" s="1">
        <f t="shared" si="364"/>
        <v>3.9012390929577898</v>
      </c>
      <c r="F589" s="1">
        <f t="shared" si="364"/>
        <v>0.66994653297677742</v>
      </c>
      <c r="G589" s="1">
        <f t="shared" si="364"/>
        <v>0.2604594316116291</v>
      </c>
      <c r="H589" s="1">
        <f t="shared" si="364"/>
        <v>0.13565816623624521</v>
      </c>
      <c r="I589" s="1">
        <f t="shared" si="364"/>
        <v>8.263396997890439E-2</v>
      </c>
      <c r="J589" s="1">
        <f t="shared" si="364"/>
        <v>5.5442518469622129E-2</v>
      </c>
      <c r="K589" s="1">
        <f t="shared" si="364"/>
        <v>3.9713720906793523E-2</v>
      </c>
      <c r="L589" s="1">
        <f t="shared" si="364"/>
        <v>2.982058358710199E-2</v>
      </c>
      <c r="M589" s="1">
        <f t="shared" si="364"/>
        <v>2.3202532780284155E-2</v>
      </c>
      <c r="N589" s="1">
        <f t="shared" si="364"/>
        <v>1.8544654412940259E-2</v>
      </c>
      <c r="O589" s="1">
        <f t="shared" si="364"/>
        <v>1.5140985677078648E-2</v>
      </c>
      <c r="P589" s="1">
        <f t="shared" si="364"/>
        <v>1.2590698291713663E-2</v>
      </c>
      <c r="Q589" s="1">
        <f t="shared" si="364"/>
        <v>1.0633006517554857E-2</v>
      </c>
      <c r="R589" s="1">
        <f t="shared" si="364"/>
        <v>9.0979098327409677E-3</v>
      </c>
      <c r="S589" s="1">
        <f t="shared" si="364"/>
        <v>7.8721783470562818E-3</v>
      </c>
      <c r="T589" s="1">
        <f t="shared" si="364"/>
        <v>6.8780623867266523E-3</v>
      </c>
      <c r="U589" s="1">
        <f t="shared" si="364"/>
        <v>6.0607569352800605E-3</v>
      </c>
      <c r="V589" s="1">
        <f t="shared" si="364"/>
        <v>5.3786097720882296E-3</v>
      </c>
      <c r="W589" s="1">
        <f t="shared" si="364"/>
        <v>4.8033880605808559E-3</v>
      </c>
      <c r="X589" s="1">
        <f t="shared" si="364"/>
        <v>4.3155998483134211E-3</v>
      </c>
      <c r="Y589" s="1">
        <f t="shared" si="364"/>
        <v>3.8984065348613641E-3</v>
      </c>
      <c r="Z589" s="1">
        <f t="shared" si="364"/>
        <v>3.5388315693357054E-3</v>
      </c>
      <c r="AA589" s="1">
        <f t="shared" si="364"/>
        <v>3.2267453743445801E-3</v>
      </c>
      <c r="AB589" s="1">
        <f t="shared" si="364"/>
        <v>2.9541481431022299E-3</v>
      </c>
      <c r="AC589" s="1">
        <f t="shared" si="364"/>
        <v>2.7144233031018909E-3</v>
      </c>
      <c r="AD589" s="1">
        <f t="shared" si="364"/>
        <v>2.5014842147833556E-3</v>
      </c>
      <c r="AE589" s="1">
        <f t="shared" si="364"/>
        <v>2.3116824025213915E-3</v>
      </c>
      <c r="AF589" s="1">
        <f t="shared" si="364"/>
        <v>2.1426554822331751E-3</v>
      </c>
      <c r="AG589" s="1">
        <f t="shared" si="364"/>
        <v>1.9914829978125064E-3</v>
      </c>
      <c r="AH589" s="1">
        <f t="shared" si="364"/>
        <v>1.8557395324926966E-3</v>
      </c>
      <c r="AI589" s="1">
        <f t="shared" si="364"/>
        <v>1.7333974433027218E-3</v>
      </c>
      <c r="AJ589" s="1">
        <f t="shared" si="364"/>
        <v>1.6227511586506937E-3</v>
      </c>
      <c r="AK589" s="1">
        <f t="shared" si="364"/>
        <v>1.5216066535782711E-3</v>
      </c>
      <c r="AL589" s="1">
        <f t="shared" si="364"/>
        <v>1.4288207719517876E-3</v>
      </c>
      <c r="AM589" s="1">
        <f t="shared" si="364"/>
        <v>1.3441682643060909E-3</v>
      </c>
      <c r="AN589" s="1">
        <f t="shared" si="364"/>
        <v>1.2668044975880958E-3</v>
      </c>
      <c r="AO589" s="1">
        <f t="shared" si="364"/>
        <v>1.1959178501034925E-3</v>
      </c>
    </row>
    <row r="590" spans="1:41">
      <c r="B590" s="1">
        <f t="shared" ref="B590:AO590" si="365">(B443+B492+B541)*0.0795774715459477</f>
        <v>0.24585128697427366</v>
      </c>
      <c r="C590" s="1">
        <f t="shared" si="365"/>
        <v>0.64812729751244258</v>
      </c>
      <c r="D590" s="1">
        <f t="shared" si="365"/>
        <v>3.8920108860449916</v>
      </c>
      <c r="E590" s="1">
        <f t="shared" si="365"/>
        <v>-13.176999065749893</v>
      </c>
      <c r="F590" s="1">
        <f t="shared" si="365"/>
        <v>3.9411514315224996</v>
      </c>
      <c r="G590" s="1">
        <f t="shared" si="365"/>
        <v>0.68079632109520649</v>
      </c>
      <c r="H590" s="1">
        <f t="shared" si="365"/>
        <v>0.26374588499875862</v>
      </c>
      <c r="I590" s="1">
        <f t="shared" si="365"/>
        <v>0.13720207757592975</v>
      </c>
      <c r="J590" s="1">
        <f t="shared" si="365"/>
        <v>8.3467370545777908E-2</v>
      </c>
      <c r="K590" s="1">
        <f t="shared" si="365"/>
        <v>5.5939495902894557E-2</v>
      </c>
      <c r="L590" s="1">
        <f t="shared" si="365"/>
        <v>4.0032611125916336E-2</v>
      </c>
      <c r="M590" s="1">
        <f t="shared" si="365"/>
        <v>3.0036918225000354E-2</v>
      </c>
      <c r="N590" s="1">
        <f t="shared" si="365"/>
        <v>2.3333303579311123E-2</v>
      </c>
      <c r="O590" s="1">
        <f t="shared" si="365"/>
        <v>1.8618818680846944E-2</v>
      </c>
      <c r="P590" s="1">
        <f t="shared" si="365"/>
        <v>1.5194198900862979E-2</v>
      </c>
      <c r="Q590" s="1">
        <f t="shared" si="365"/>
        <v>1.2631873002482447E-2</v>
      </c>
      <c r="R590" s="1">
        <f t="shared" si="365"/>
        <v>1.0665507288273274E-2</v>
      </c>
      <c r="S590" s="1">
        <f t="shared" si="365"/>
        <v>9.1240060425458597E-3</v>
      </c>
      <c r="T590" s="1">
        <f t="shared" si="365"/>
        <v>7.8934446952303467E-3</v>
      </c>
      <c r="U590" s="1">
        <f t="shared" si="365"/>
        <v>6.8956187515862638E-3</v>
      </c>
      <c r="V590" s="1">
        <f t="shared" si="365"/>
        <v>6.0728983172576448E-3</v>
      </c>
      <c r="W590" s="1">
        <f t="shared" si="365"/>
        <v>5.3866000799286809E-3</v>
      </c>
      <c r="X590" s="1">
        <f t="shared" si="365"/>
        <v>4.8101911314132858E-3</v>
      </c>
      <c r="Y590" s="1">
        <f t="shared" si="365"/>
        <v>4.3214393084844878E-3</v>
      </c>
      <c r="Z590" s="1">
        <f t="shared" si="365"/>
        <v>3.9034558250923691E-3</v>
      </c>
      <c r="AA590" s="1">
        <f t="shared" si="365"/>
        <v>3.5432268557386145E-3</v>
      </c>
      <c r="AB590" s="1">
        <f t="shared" si="365"/>
        <v>3.230594749865737E-3</v>
      </c>
      <c r="AC590" s="1">
        <f t="shared" si="365"/>
        <v>2.9572771445747596E-3</v>
      </c>
      <c r="AD590" s="1">
        <f t="shared" si="365"/>
        <v>2.7158191368984691E-3</v>
      </c>
      <c r="AE590" s="1">
        <f t="shared" si="365"/>
        <v>2.5016768971916539E-3</v>
      </c>
      <c r="AF590" s="1">
        <f t="shared" si="365"/>
        <v>2.3118545625548381E-3</v>
      </c>
      <c r="AG590" s="1">
        <f t="shared" si="365"/>
        <v>2.142809928683554E-3</v>
      </c>
      <c r="AH590" s="1">
        <f t="shared" si="365"/>
        <v>1.9916220757227954E-3</v>
      </c>
      <c r="AI590" s="1">
        <f t="shared" si="365"/>
        <v>1.8558652119432222E-3</v>
      </c>
      <c r="AJ590" s="1">
        <f t="shared" si="365"/>
        <v>1.7335113890083059E-3</v>
      </c>
      <c r="AK590" s="1">
        <f t="shared" si="365"/>
        <v>1.6220316751902615E-3</v>
      </c>
      <c r="AL590" s="1">
        <f t="shared" si="365"/>
        <v>1.5200808730804493E-3</v>
      </c>
      <c r="AM590" s="1">
        <f t="shared" si="365"/>
        <v>1.427335683779401E-3</v>
      </c>
      <c r="AN590" s="1">
        <f t="shared" si="365"/>
        <v>1.3428064384277587E-3</v>
      </c>
      <c r="AO590" s="1">
        <f t="shared" si="365"/>
        <v>1.2655526960301173E-3</v>
      </c>
    </row>
    <row r="591" spans="1:41">
      <c r="B591" s="1">
        <f t="shared" ref="B591:AO591" si="366">(B444+B493+B542)*0.0795774715459477</f>
        <v>0.12903128508348982</v>
      </c>
      <c r="C591" s="1">
        <f t="shared" si="366"/>
        <v>0.25150822473832452</v>
      </c>
      <c r="D591" s="1">
        <f t="shared" si="366"/>
        <v>0.66288974903190079</v>
      </c>
      <c r="E591" s="1">
        <f t="shared" si="366"/>
        <v>3.933953467687386</v>
      </c>
      <c r="F591" s="1">
        <f t="shared" si="366"/>
        <v>-13.112154654067393</v>
      </c>
      <c r="G591" s="1">
        <f t="shared" si="366"/>
        <v>3.9703501792871299</v>
      </c>
      <c r="H591" s="1">
        <f t="shared" si="366"/>
        <v>0.68889741965563156</v>
      </c>
      <c r="I591" s="1">
        <f t="shared" si="366"/>
        <v>0.26698577111968042</v>
      </c>
      <c r="J591" s="1">
        <f t="shared" si="366"/>
        <v>0.13874228842999531</v>
      </c>
      <c r="K591" s="1">
        <f t="shared" si="366"/>
        <v>8.4303904174972674E-2</v>
      </c>
      <c r="L591" s="1">
        <f t="shared" si="366"/>
        <v>5.6440118412327003E-2</v>
      </c>
      <c r="M591" s="1">
        <f t="shared" si="366"/>
        <v>4.0354558194704557E-2</v>
      </c>
      <c r="N591" s="1">
        <f t="shared" si="366"/>
        <v>3.0224265788729672E-2</v>
      </c>
      <c r="O591" s="1">
        <f t="shared" si="366"/>
        <v>2.3436529610161669E-2</v>
      </c>
      <c r="P591" s="1">
        <f t="shared" si="366"/>
        <v>1.8690943384286045E-2</v>
      </c>
      <c r="Q591" s="1">
        <f t="shared" si="366"/>
        <v>1.524873096203473E-2</v>
      </c>
      <c r="R591" s="1">
        <f t="shared" si="366"/>
        <v>1.2674080637086773E-2</v>
      </c>
      <c r="S591" s="1">
        <f t="shared" si="366"/>
        <v>1.0698831089428111E-2</v>
      </c>
      <c r="T591" s="1">
        <f t="shared" si="366"/>
        <v>9.1507680371561741E-3</v>
      </c>
      <c r="U591" s="1">
        <f t="shared" si="366"/>
        <v>7.915256871099596E-3</v>
      </c>
      <c r="V591" s="1">
        <f t="shared" si="366"/>
        <v>6.9106200731693301E-3</v>
      </c>
      <c r="W591" s="1">
        <f t="shared" si="366"/>
        <v>6.0827550021835585E-3</v>
      </c>
      <c r="X591" s="1">
        <f t="shared" si="366"/>
        <v>5.3949173441218802E-3</v>
      </c>
      <c r="Y591" s="1">
        <f t="shared" si="366"/>
        <v>4.8172729391824176E-3</v>
      </c>
      <c r="Z591" s="1">
        <f t="shared" si="366"/>
        <v>4.3275182888901035E-3</v>
      </c>
      <c r="AA591" s="1">
        <f t="shared" si="366"/>
        <v>3.9087124214211167E-3</v>
      </c>
      <c r="AB591" s="1">
        <f t="shared" si="366"/>
        <v>3.5478027453673725E-3</v>
      </c>
      <c r="AC591" s="1">
        <f t="shared" si="366"/>
        <v>3.2343062516788697E-3</v>
      </c>
      <c r="AD591" s="1">
        <f t="shared" si="366"/>
        <v>2.9589949980752769E-3</v>
      </c>
      <c r="AE591" s="1">
        <f t="shared" si="366"/>
        <v>2.7161600300330858E-3</v>
      </c>
      <c r="AF591" s="1">
        <f t="shared" si="366"/>
        <v>2.5019801603730313E-3</v>
      </c>
      <c r="AG591" s="1">
        <f t="shared" si="366"/>
        <v>2.3121255260312936E-3</v>
      </c>
      <c r="AH591" s="1">
        <f t="shared" si="366"/>
        <v>2.1430530130634499E-3</v>
      </c>
      <c r="AI591" s="1">
        <f t="shared" si="366"/>
        <v>1.9918409717643148E-3</v>
      </c>
      <c r="AJ591" s="1">
        <f t="shared" si="366"/>
        <v>1.8560630202772948E-3</v>
      </c>
      <c r="AK591" s="1">
        <f t="shared" si="366"/>
        <v>1.732786119363067E-3</v>
      </c>
      <c r="AL591" s="1">
        <f t="shared" si="366"/>
        <v>1.6204183334709481E-3</v>
      </c>
      <c r="AM591" s="1">
        <f t="shared" si="366"/>
        <v>1.5185112858283718E-3</v>
      </c>
      <c r="AN591" s="1">
        <f t="shared" si="366"/>
        <v>1.425900051121333E-3</v>
      </c>
      <c r="AO591" s="1">
        <f t="shared" si="366"/>
        <v>1.3414899805328491E-3</v>
      </c>
    </row>
    <row r="592" spans="1:41">
      <c r="B592" s="1">
        <f t="shared" ref="B592:AO592" si="367">(B445+B494+B543)*0.0795774715459477</f>
        <v>7.9070425421321269E-2</v>
      </c>
      <c r="C592" s="1">
        <f t="shared" si="367"/>
        <v>0.13145770991435046</v>
      </c>
      <c r="D592" s="1">
        <f t="shared" si="367"/>
        <v>0.25667881587344349</v>
      </c>
      <c r="E592" s="1">
        <f t="shared" si="367"/>
        <v>0.67583653142255218</v>
      </c>
      <c r="F592" s="1">
        <f t="shared" si="367"/>
        <v>3.9670044462152303</v>
      </c>
      <c r="G592" s="1">
        <f t="shared" si="367"/>
        <v>-13.070945974887982</v>
      </c>
      <c r="H592" s="1">
        <f t="shared" si="367"/>
        <v>3.9892050838796491</v>
      </c>
      <c r="I592" s="1">
        <f t="shared" si="367"/>
        <v>0.69600081367487132</v>
      </c>
      <c r="J592" s="1">
        <f t="shared" si="367"/>
        <v>0.26989824113866023</v>
      </c>
      <c r="K592" s="1">
        <f t="shared" si="367"/>
        <v>0.14014315510453693</v>
      </c>
      <c r="L592" s="1">
        <f t="shared" si="367"/>
        <v>8.5069443535209066E-2</v>
      </c>
      <c r="M592" s="1">
        <f t="shared" si="367"/>
        <v>5.689989372023712E-2</v>
      </c>
      <c r="N592" s="1">
        <f t="shared" si="367"/>
        <v>4.0605425369020703E-2</v>
      </c>
      <c r="O592" s="1">
        <f t="shared" si="367"/>
        <v>3.0353177258177638E-2</v>
      </c>
      <c r="P592" s="1">
        <f t="shared" si="367"/>
        <v>2.3523059237388927E-2</v>
      </c>
      <c r="Q592" s="1">
        <f t="shared" si="367"/>
        <v>1.8754592189085421E-2</v>
      </c>
      <c r="R592" s="1">
        <f t="shared" si="367"/>
        <v>1.5296872666011367E-2</v>
      </c>
      <c r="S592" s="1">
        <f t="shared" si="367"/>
        <v>1.2711352911841254E-2</v>
      </c>
      <c r="T592" s="1">
        <f t="shared" si="367"/>
        <v>1.072826498123176E-2</v>
      </c>
      <c r="U592" s="1">
        <f t="shared" si="367"/>
        <v>9.1744103578729249E-3</v>
      </c>
      <c r="V592" s="1">
        <f t="shared" si="367"/>
        <v>7.9308974033049599E-3</v>
      </c>
      <c r="W592" s="1">
        <f t="shared" si="367"/>
        <v>6.9203332287276695E-3</v>
      </c>
      <c r="X592" s="1">
        <f t="shared" si="367"/>
        <v>6.0908695887121091E-3</v>
      </c>
      <c r="Y592" s="1">
        <f t="shared" si="367"/>
        <v>5.4017649815517729E-3</v>
      </c>
      <c r="Z592" s="1">
        <f t="shared" si="367"/>
        <v>4.8231037012887905E-3</v>
      </c>
      <c r="AA592" s="1">
        <f t="shared" si="367"/>
        <v>4.3325235851518415E-3</v>
      </c>
      <c r="AB592" s="1">
        <f t="shared" si="367"/>
        <v>3.9130407380642733E-3</v>
      </c>
      <c r="AC592" s="1">
        <f t="shared" si="367"/>
        <v>3.5512329591328119E-3</v>
      </c>
      <c r="AD592" s="1">
        <f t="shared" si="367"/>
        <v>3.2355510414042682E-3</v>
      </c>
      <c r="AE592" s="1">
        <f t="shared" si="367"/>
        <v>2.958757623706937E-3</v>
      </c>
      <c r="AF592" s="1">
        <f t="shared" si="367"/>
        <v>2.7159498480062911E-3</v>
      </c>
      <c r="AG592" s="1">
        <f t="shared" si="367"/>
        <v>2.5017931794847907E-3</v>
      </c>
      <c r="AH592" s="1">
        <f t="shared" si="367"/>
        <v>2.3119584598775976E-3</v>
      </c>
      <c r="AI592" s="1">
        <f t="shared" si="367"/>
        <v>2.1429031360822681E-3</v>
      </c>
      <c r="AJ592" s="1">
        <f t="shared" si="367"/>
        <v>1.9917060083862671E-3</v>
      </c>
      <c r="AK592" s="1">
        <f t="shared" si="367"/>
        <v>1.8549438190585074E-3</v>
      </c>
      <c r="AL592" s="1">
        <f t="shared" si="367"/>
        <v>1.7307221976621918E-3</v>
      </c>
      <c r="AM592" s="1">
        <f t="shared" si="367"/>
        <v>1.6184336590922706E-3</v>
      </c>
      <c r="AN592" s="1">
        <f t="shared" si="367"/>
        <v>1.5167009130884054E-3</v>
      </c>
      <c r="AO592" s="1">
        <f t="shared" si="367"/>
        <v>1.4242442076399871E-3</v>
      </c>
    </row>
    <row r="593" spans="2:41">
      <c r="B593" s="1">
        <f t="shared" ref="B593:AO593" si="368">(B446+B495+B544)*0.0795774715459477</f>
        <v>5.3310386998049041E-2</v>
      </c>
      <c r="C593" s="1">
        <f t="shared" si="368"/>
        <v>8.0345327113329423E-2</v>
      </c>
      <c r="D593" s="1">
        <f t="shared" si="368"/>
        <v>0.13381250503406458</v>
      </c>
      <c r="E593" s="1">
        <f t="shared" si="368"/>
        <v>0.26160651705235188</v>
      </c>
      <c r="F593" s="1">
        <f t="shared" si="368"/>
        <v>0.68742985571247905</v>
      </c>
      <c r="G593" s="1">
        <f t="shared" si="368"/>
        <v>3.989784139575991</v>
      </c>
      <c r="H593" s="1">
        <f t="shared" si="368"/>
        <v>-13.042923571929599</v>
      </c>
      <c r="I593" s="1">
        <f t="shared" si="368"/>
        <v>4.0061248465962889</v>
      </c>
      <c r="J593" s="1">
        <f t="shared" si="368"/>
        <v>0.70266846117609394</v>
      </c>
      <c r="K593" s="1">
        <f t="shared" si="368"/>
        <v>0.27269698912465634</v>
      </c>
      <c r="L593" s="1">
        <f t="shared" si="368"/>
        <v>0.14150466803797698</v>
      </c>
      <c r="M593" s="1">
        <f t="shared" si="368"/>
        <v>8.5817969766104493E-2</v>
      </c>
      <c r="N593" s="1">
        <f t="shared" si="368"/>
        <v>5.7281914211421786E-2</v>
      </c>
      <c r="O593" s="1">
        <f t="shared" si="368"/>
        <v>4.0790888661643016E-2</v>
      </c>
      <c r="P593" s="1">
        <f t="shared" si="368"/>
        <v>3.0472526238741429E-2</v>
      </c>
      <c r="Q593" s="1">
        <f t="shared" si="368"/>
        <v>2.3607985533604617E-2</v>
      </c>
      <c r="R593" s="1">
        <f t="shared" si="368"/>
        <v>1.8817091525811663E-2</v>
      </c>
      <c r="S593" s="1">
        <f t="shared" si="368"/>
        <v>1.5344161887079859E-2</v>
      </c>
      <c r="T593" s="1">
        <f t="shared" si="368"/>
        <v>1.2747975245333274E-2</v>
      </c>
      <c r="U593" s="1">
        <f t="shared" si="368"/>
        <v>1.0757191851807986E-2</v>
      </c>
      <c r="V593" s="1">
        <f t="shared" si="368"/>
        <v>9.193209761862298E-3</v>
      </c>
      <c r="W593" s="1">
        <f t="shared" si="368"/>
        <v>7.9423421078115026E-3</v>
      </c>
      <c r="X593" s="1">
        <f t="shared" si="368"/>
        <v>6.9297875903919269E-3</v>
      </c>
      <c r="Y593" s="1">
        <f t="shared" si="368"/>
        <v>6.0987684584165314E-3</v>
      </c>
      <c r="Z593" s="1">
        <f t="shared" si="368"/>
        <v>5.4084309258013641E-3</v>
      </c>
      <c r="AA593" s="1">
        <f t="shared" si="368"/>
        <v>4.8287799989965166E-3</v>
      </c>
      <c r="AB593" s="1">
        <f t="shared" si="368"/>
        <v>4.3373964658281368E-3</v>
      </c>
      <c r="AC593" s="1">
        <f t="shared" si="368"/>
        <v>3.9168672742668992E-3</v>
      </c>
      <c r="AD593" s="1">
        <f t="shared" si="368"/>
        <v>3.5525570099508757E-3</v>
      </c>
      <c r="AE593" s="1">
        <f t="shared" si="368"/>
        <v>3.2351953365543583E-3</v>
      </c>
      <c r="AF593" s="1">
        <f t="shared" si="368"/>
        <v>2.9584442648970086E-3</v>
      </c>
      <c r="AG593" s="1">
        <f t="shared" si="368"/>
        <v>2.715672386481364E-3</v>
      </c>
      <c r="AH593" s="1">
        <f t="shared" si="368"/>
        <v>2.5015463462553732E-3</v>
      </c>
      <c r="AI593" s="1">
        <f t="shared" si="368"/>
        <v>2.3117379164171834E-3</v>
      </c>
      <c r="AJ593" s="1">
        <f t="shared" si="368"/>
        <v>2.1427052842708698E-3</v>
      </c>
      <c r="AK593" s="1">
        <f t="shared" si="368"/>
        <v>1.9904249046471009E-3</v>
      </c>
      <c r="AL593" s="1">
        <f t="shared" si="368"/>
        <v>1.8526283290280457E-3</v>
      </c>
      <c r="AM593" s="1">
        <f t="shared" si="368"/>
        <v>1.7285044012071865E-3</v>
      </c>
      <c r="AN593" s="1">
        <f t="shared" si="368"/>
        <v>1.6164164678461048E-3</v>
      </c>
      <c r="AO593" s="1">
        <f t="shared" si="368"/>
        <v>1.5148609121948616E-3</v>
      </c>
    </row>
    <row r="594" spans="2:41">
      <c r="B594" s="1">
        <f t="shared" ref="B594:AO594" si="369">(B447+B496+B545)*0.0795774715459477</f>
        <v>3.8337928582085561E-2</v>
      </c>
      <c r="C594" s="1">
        <f t="shared" si="369"/>
        <v>5.4061600167571049E-2</v>
      </c>
      <c r="D594" s="1">
        <f t="shared" si="369"/>
        <v>8.1600181744438421E-2</v>
      </c>
      <c r="E594" s="1">
        <f t="shared" si="369"/>
        <v>0.1361083953343151</v>
      </c>
      <c r="F594" s="1">
        <f t="shared" si="369"/>
        <v>0.26621716123699224</v>
      </c>
      <c r="G594" s="1">
        <f t="shared" si="369"/>
        <v>0.69599250004788737</v>
      </c>
      <c r="H594" s="1">
        <f t="shared" si="369"/>
        <v>4.0065826893384928</v>
      </c>
      <c r="I594" s="1">
        <f t="shared" si="369"/>
        <v>-13.018220502340386</v>
      </c>
      <c r="J594" s="1">
        <f t="shared" si="369"/>
        <v>4.0215000200289861</v>
      </c>
      <c r="K594" s="1">
        <f t="shared" si="369"/>
        <v>0.70898797232424038</v>
      </c>
      <c r="L594" s="1">
        <f t="shared" si="369"/>
        <v>0.2754112613829181</v>
      </c>
      <c r="M594" s="1">
        <f t="shared" si="369"/>
        <v>0.14284018765767043</v>
      </c>
      <c r="N594" s="1">
        <f t="shared" si="369"/>
        <v>8.6445174067817251E-2</v>
      </c>
      <c r="O594" s="1">
        <f t="shared" si="369"/>
        <v>5.7566659720586486E-2</v>
      </c>
      <c r="P594" s="1">
        <f t="shared" si="369"/>
        <v>4.0964969825082444E-2</v>
      </c>
      <c r="Q594" s="1">
        <f t="shared" si="369"/>
        <v>3.0591478313650802E-2</v>
      </c>
      <c r="R594" s="1">
        <f t="shared" si="369"/>
        <v>2.3692685834981637E-2</v>
      </c>
      <c r="S594" s="1">
        <f t="shared" si="369"/>
        <v>1.8879454745559153E-2</v>
      </c>
      <c r="T594" s="1">
        <f t="shared" si="369"/>
        <v>1.5391365236408237E-2</v>
      </c>
      <c r="U594" s="1">
        <f t="shared" si="369"/>
        <v>1.2784541261820414E-2</v>
      </c>
      <c r="V594" s="1">
        <f t="shared" si="369"/>
        <v>1.0780576720582002E-2</v>
      </c>
      <c r="W594" s="1">
        <f t="shared" si="369"/>
        <v>9.2072323832340739E-3</v>
      </c>
      <c r="X594" s="1">
        <f t="shared" si="369"/>
        <v>7.9537799614612017E-3</v>
      </c>
      <c r="Y594" s="1">
        <f t="shared" si="369"/>
        <v>6.939236992261278E-3</v>
      </c>
      <c r="Z594" s="1">
        <f t="shared" si="369"/>
        <v>6.1066636691415113E-3</v>
      </c>
      <c r="AA594" s="1">
        <f t="shared" si="369"/>
        <v>5.415094125131901E-3</v>
      </c>
      <c r="AB594" s="1">
        <f t="shared" si="369"/>
        <v>4.8344542064037025E-3</v>
      </c>
      <c r="AC594" s="1">
        <f t="shared" si="369"/>
        <v>4.3418204296886993E-3</v>
      </c>
      <c r="AD594" s="1">
        <f t="shared" si="369"/>
        <v>3.9183898048031629E-3</v>
      </c>
      <c r="AE594" s="1">
        <f t="shared" si="369"/>
        <v>3.5521509879088381E-3</v>
      </c>
      <c r="AF594" s="1">
        <f t="shared" si="369"/>
        <v>3.2348396222120035E-3</v>
      </c>
      <c r="AG594" s="1">
        <f t="shared" si="369"/>
        <v>2.9581308985612786E-3</v>
      </c>
      <c r="AH594" s="1">
        <f t="shared" si="369"/>
        <v>2.7153949189419107E-3</v>
      </c>
      <c r="AI594" s="1">
        <f t="shared" si="369"/>
        <v>2.5012995081837379E-3</v>
      </c>
      <c r="AJ594" s="1">
        <f t="shared" si="369"/>
        <v>2.3115173690316823E-3</v>
      </c>
      <c r="AK594" s="1">
        <f t="shared" si="369"/>
        <v>2.141283338818824E-3</v>
      </c>
      <c r="AL594" s="1">
        <f t="shared" si="369"/>
        <v>1.9878625670147108E-3</v>
      </c>
      <c r="AM594" s="1">
        <f t="shared" si="369"/>
        <v>1.8501820475450017E-3</v>
      </c>
      <c r="AN594" s="1">
        <f t="shared" si="369"/>
        <v>1.7262862169428995E-3</v>
      </c>
      <c r="AO594" s="1">
        <f t="shared" si="369"/>
        <v>1.6143989637999929E-3</v>
      </c>
    </row>
    <row r="595" spans="2:41">
      <c r="B595" s="1">
        <f t="shared" ref="B595:AO595" si="370">(B448+B497+B546)*0.0795774715459477</f>
        <v>2.8880919489413029E-2</v>
      </c>
      <c r="C595" s="1">
        <f t="shared" si="370"/>
        <v>3.8816336795867191E-2</v>
      </c>
      <c r="D595" s="1">
        <f t="shared" si="370"/>
        <v>5.4804304205467565E-2</v>
      </c>
      <c r="E595" s="1">
        <f t="shared" si="370"/>
        <v>8.2833899513196835E-2</v>
      </c>
      <c r="F595" s="1">
        <f t="shared" si="370"/>
        <v>0.13829395890572937</v>
      </c>
      <c r="G595" s="1">
        <f t="shared" si="370"/>
        <v>0.26974719326352803</v>
      </c>
      <c r="H595" s="1">
        <f t="shared" si="370"/>
        <v>0.70264364225243447</v>
      </c>
      <c r="I595" s="1">
        <f t="shared" si="370"/>
        <v>4.021859542384524</v>
      </c>
      <c r="J595" s="1">
        <f t="shared" si="370"/>
        <v>-12.996335320891269</v>
      </c>
      <c r="K595" s="1">
        <f t="shared" si="370"/>
        <v>4.0355042913314856</v>
      </c>
      <c r="L595" s="1">
        <f t="shared" si="370"/>
        <v>0.71497668284697602</v>
      </c>
      <c r="M595" s="1">
        <f t="shared" si="370"/>
        <v>0.2780421228382956</v>
      </c>
      <c r="N595" s="1">
        <f t="shared" si="370"/>
        <v>0.14395565336430438</v>
      </c>
      <c r="O595" s="1">
        <f t="shared" si="370"/>
        <v>8.6910462294461199E-2</v>
      </c>
      <c r="P595" s="1">
        <f t="shared" si="370"/>
        <v>5.7833374813416841E-2</v>
      </c>
      <c r="Q595" s="1">
        <f t="shared" si="370"/>
        <v>4.1138292328249504E-2</v>
      </c>
      <c r="R595" s="1">
        <f t="shared" si="370"/>
        <v>3.0710026734373876E-2</v>
      </c>
      <c r="S595" s="1">
        <f t="shared" si="370"/>
        <v>2.3777156062076657E-2</v>
      </c>
      <c r="T595" s="1">
        <f t="shared" si="370"/>
        <v>1.8941679291290394E-2</v>
      </c>
      <c r="U595" s="1">
        <f t="shared" si="370"/>
        <v>1.5438481055721905E-2</v>
      </c>
      <c r="V595" s="1">
        <f t="shared" si="370"/>
        <v>1.2814116407361962E-2</v>
      </c>
      <c r="W595" s="1">
        <f t="shared" si="370"/>
        <v>1.0798006186515791E-2</v>
      </c>
      <c r="X595" s="1">
        <f t="shared" si="370"/>
        <v>9.2212452192992501E-3</v>
      </c>
      <c r="Y595" s="1">
        <f t="shared" si="370"/>
        <v>7.9652108788269543E-3</v>
      </c>
      <c r="Z595" s="1">
        <f t="shared" si="370"/>
        <v>6.9486813715667331E-3</v>
      </c>
      <c r="AA595" s="1">
        <f t="shared" si="370"/>
        <v>6.1145551739769958E-3</v>
      </c>
      <c r="AB595" s="1">
        <f t="shared" si="370"/>
        <v>5.4217545439432585E-3</v>
      </c>
      <c r="AC595" s="1">
        <f t="shared" si="370"/>
        <v>4.839606145773891E-3</v>
      </c>
      <c r="AD595" s="1">
        <f t="shared" si="370"/>
        <v>4.3435830009148782E-3</v>
      </c>
      <c r="AE595" s="1">
        <f t="shared" si="370"/>
        <v>3.9179235459197333E-3</v>
      </c>
      <c r="AF595" s="1">
        <f t="shared" si="370"/>
        <v>3.5517449538060315E-3</v>
      </c>
      <c r="AG595" s="1">
        <f t="shared" si="370"/>
        <v>3.234483898391048E-3</v>
      </c>
      <c r="AH595" s="1">
        <f t="shared" si="370"/>
        <v>2.957817524711903E-3</v>
      </c>
      <c r="AI595" s="1">
        <f t="shared" si="370"/>
        <v>2.7151174453980647E-3</v>
      </c>
      <c r="AJ595" s="1">
        <f t="shared" si="370"/>
        <v>2.5010526652779514E-3</v>
      </c>
      <c r="AK595" s="1">
        <f t="shared" si="370"/>
        <v>2.3099332017978819E-3</v>
      </c>
      <c r="AL595" s="1">
        <f t="shared" si="370"/>
        <v>2.138437850809386E-3</v>
      </c>
      <c r="AM595" s="1">
        <f t="shared" si="370"/>
        <v>1.9851553611322454E-3</v>
      </c>
      <c r="AN595" s="1">
        <f t="shared" si="370"/>
        <v>1.8477352982294961E-3</v>
      </c>
      <c r="AO595" s="1">
        <f t="shared" si="370"/>
        <v>1.7240676567379237E-3</v>
      </c>
    </row>
    <row r="596" spans="2:41">
      <c r="B596" s="1">
        <f t="shared" ref="B596:AO596" si="371">(B449+B498+B547)*0.0795774715459477</f>
        <v>2.2531757972936481E-2</v>
      </c>
      <c r="C596" s="1">
        <f t="shared" si="371"/>
        <v>2.9203835257653073E-2</v>
      </c>
      <c r="D596" s="1">
        <f t="shared" si="371"/>
        <v>3.9290635750751542E-2</v>
      </c>
      <c r="E596" s="1">
        <f t="shared" si="371"/>
        <v>5.5537982892238699E-2</v>
      </c>
      <c r="F596" s="1">
        <f t="shared" si="371"/>
        <v>8.401895732704634E-2</v>
      </c>
      <c r="G596" s="1">
        <f t="shared" si="371"/>
        <v>0.13999934711410267</v>
      </c>
      <c r="H596" s="1">
        <f t="shared" si="371"/>
        <v>0.27254689277196414</v>
      </c>
      <c r="I596" s="1">
        <f t="shared" si="371"/>
        <v>0.70894883257545394</v>
      </c>
      <c r="J596" s="1">
        <f t="shared" si="371"/>
        <v>4.0357839837860059</v>
      </c>
      <c r="K596" s="1">
        <f t="shared" si="371"/>
        <v>-12.976857364598786</v>
      </c>
      <c r="L596" s="1">
        <f t="shared" si="371"/>
        <v>4.048288693031493</v>
      </c>
      <c r="M596" s="1">
        <f t="shared" si="371"/>
        <v>0.72065157592387452</v>
      </c>
      <c r="N596" s="1">
        <f t="shared" si="371"/>
        <v>0.28022237932925192</v>
      </c>
      <c r="O596" s="1">
        <f t="shared" si="371"/>
        <v>0.14477718776454565</v>
      </c>
      <c r="P596" s="1">
        <f t="shared" si="371"/>
        <v>8.7344930073561117E-2</v>
      </c>
      <c r="Q596" s="1">
        <f t="shared" si="371"/>
        <v>5.8098516082216251E-2</v>
      </c>
      <c r="R596" s="1">
        <f t="shared" si="371"/>
        <v>4.1310844933140363E-2</v>
      </c>
      <c r="S596" s="1">
        <f t="shared" si="371"/>
        <v>3.0828164887282412E-2</v>
      </c>
      <c r="T596" s="1">
        <f t="shared" si="371"/>
        <v>2.3861392198298702E-2</v>
      </c>
      <c r="U596" s="1">
        <f t="shared" si="371"/>
        <v>1.9003762637404054E-2</v>
      </c>
      <c r="V596" s="1">
        <f t="shared" si="371"/>
        <v>1.5476609965362688E-2</v>
      </c>
      <c r="W596" s="1">
        <f t="shared" si="371"/>
        <v>1.283613970207558E-2</v>
      </c>
      <c r="X596" s="1">
        <f t="shared" si="371"/>
        <v>1.081542134147228E-2</v>
      </c>
      <c r="Y596" s="1">
        <f t="shared" si="371"/>
        <v>9.2352481520146818E-3</v>
      </c>
      <c r="Z596" s="1">
        <f t="shared" si="371"/>
        <v>7.9766347747529786E-3</v>
      </c>
      <c r="AA596" s="1">
        <f t="shared" si="371"/>
        <v>6.9581206657131208E-3</v>
      </c>
      <c r="AB596" s="1">
        <f t="shared" si="371"/>
        <v>6.122442926125805E-3</v>
      </c>
      <c r="AC596" s="1">
        <f t="shared" si="371"/>
        <v>5.427802515911173E-3</v>
      </c>
      <c r="AD596" s="1">
        <f t="shared" si="371"/>
        <v>4.8416617375543914E-3</v>
      </c>
      <c r="AE596" s="1">
        <f t="shared" si="371"/>
        <v>4.3430440259506625E-3</v>
      </c>
      <c r="AF596" s="1">
        <f t="shared" si="371"/>
        <v>3.9174572715617037E-3</v>
      </c>
      <c r="AG596" s="1">
        <f t="shared" si="371"/>
        <v>3.5513389076595684E-3</v>
      </c>
      <c r="AH596" s="1">
        <f t="shared" si="371"/>
        <v>3.2341281651071382E-3</v>
      </c>
      <c r="AI596" s="1">
        <f t="shared" si="371"/>
        <v>2.9575041433605709E-3</v>
      </c>
      <c r="AJ596" s="1">
        <f t="shared" si="371"/>
        <v>2.7148399658588826E-3</v>
      </c>
      <c r="AK596" s="1">
        <f t="shared" si="371"/>
        <v>2.4992806899911484E-3</v>
      </c>
      <c r="AL596" s="1">
        <f t="shared" si="371"/>
        <v>2.3067613483054861E-3</v>
      </c>
      <c r="AM596" s="1">
        <f t="shared" si="371"/>
        <v>2.1354313246823974E-3</v>
      </c>
      <c r="AN596" s="1">
        <f t="shared" si="371"/>
        <v>1.9824475880942673E-3</v>
      </c>
      <c r="AO596" s="1">
        <f t="shared" si="371"/>
        <v>1.8452880950419639E-3</v>
      </c>
    </row>
    <row r="597" spans="2:41">
      <c r="B597" s="1">
        <f t="shared" ref="B597:AO597" si="372">(B450+B499+B548)*0.0795774715459477</f>
        <v>1.8065320179656442E-2</v>
      </c>
      <c r="C597" s="1">
        <f t="shared" si="372"/>
        <v>2.2759761691888005E-2</v>
      </c>
      <c r="D597" s="1">
        <f t="shared" si="372"/>
        <v>2.9524565576497661E-2</v>
      </c>
      <c r="E597" s="1">
        <f t="shared" si="372"/>
        <v>3.9760562881920876E-2</v>
      </c>
      <c r="F597" s="1">
        <f t="shared" si="372"/>
        <v>5.6246430741702616E-2</v>
      </c>
      <c r="G597" s="1">
        <f t="shared" si="372"/>
        <v>8.4953829769040978E-2</v>
      </c>
      <c r="H597" s="1">
        <f t="shared" si="372"/>
        <v>0.14136264613636074</v>
      </c>
      <c r="I597" s="1">
        <f t="shared" si="372"/>
        <v>0.27526227991375418</v>
      </c>
      <c r="J597" s="1">
        <f t="shared" si="372"/>
        <v>0.71492522091328181</v>
      </c>
      <c r="K597" s="1">
        <f t="shared" si="372"/>
        <v>4.0485035219915009</v>
      </c>
      <c r="L597" s="1">
        <f t="shared" si="372"/>
        <v>-12.959447804547182</v>
      </c>
      <c r="M597" s="1">
        <f t="shared" si="372"/>
        <v>4.0599848974856663</v>
      </c>
      <c r="N597" s="1">
        <f t="shared" si="372"/>
        <v>0.72526838669782401</v>
      </c>
      <c r="O597" s="1">
        <f t="shared" si="372"/>
        <v>0.28180964566085126</v>
      </c>
      <c r="P597" s="1">
        <f t="shared" si="372"/>
        <v>0.14554051863651743</v>
      </c>
      <c r="Q597" s="1">
        <f t="shared" si="372"/>
        <v>8.7775782374894432E-2</v>
      </c>
      <c r="R597" s="1">
        <f t="shared" si="372"/>
        <v>5.8362065026104644E-2</v>
      </c>
      <c r="S597" s="1">
        <f t="shared" si="372"/>
        <v>4.1482616718052957E-2</v>
      </c>
      <c r="T597" s="1">
        <f t="shared" si="372"/>
        <v>3.0945886294748252E-2</v>
      </c>
      <c r="U597" s="1">
        <f t="shared" si="372"/>
        <v>2.3945390290596363E-2</v>
      </c>
      <c r="V597" s="1">
        <f t="shared" si="372"/>
        <v>1.90540344882459E-2</v>
      </c>
      <c r="W597" s="1">
        <f t="shared" si="372"/>
        <v>1.5504972343239472E-2</v>
      </c>
      <c r="X597" s="1">
        <f t="shared" si="372"/>
        <v>1.2858141490739824E-2</v>
      </c>
      <c r="Y597" s="1">
        <f t="shared" si="372"/>
        <v>1.0832822019093706E-2</v>
      </c>
      <c r="Z597" s="1">
        <f t="shared" si="372"/>
        <v>9.2492410637765345E-3</v>
      </c>
      <c r="AA597" s="1">
        <f t="shared" si="372"/>
        <v>7.9880515643558185E-3</v>
      </c>
      <c r="AB597" s="1">
        <f t="shared" si="372"/>
        <v>6.9675548122795812E-3</v>
      </c>
      <c r="AC597" s="1">
        <f t="shared" si="372"/>
        <v>6.1296061309122464E-3</v>
      </c>
      <c r="AD597" s="1">
        <f t="shared" si="372"/>
        <v>5.4302194869355553E-3</v>
      </c>
      <c r="AE597" s="1">
        <f t="shared" si="372"/>
        <v>4.8410341762557584E-3</v>
      </c>
      <c r="AF597" s="1">
        <f t="shared" si="372"/>
        <v>4.3425050309200625E-3</v>
      </c>
      <c r="AG597" s="1">
        <f t="shared" si="372"/>
        <v>3.9169909817521869E-3</v>
      </c>
      <c r="AH597" s="1">
        <f t="shared" si="372"/>
        <v>3.550932849488435E-3</v>
      </c>
      <c r="AI597" s="1">
        <f t="shared" si="372"/>
        <v>3.2337724223741007E-3</v>
      </c>
      <c r="AJ597" s="1">
        <f t="shared" si="372"/>
        <v>2.9571907545191474E-3</v>
      </c>
      <c r="AK597" s="1">
        <f t="shared" si="372"/>
        <v>2.7128493592419771E-3</v>
      </c>
      <c r="AL597" s="1">
        <f t="shared" si="372"/>
        <v>2.4957307057857582E-3</v>
      </c>
      <c r="AM597" s="1">
        <f t="shared" si="372"/>
        <v>2.3034097901842398E-3</v>
      </c>
      <c r="AN597" s="1">
        <f t="shared" si="372"/>
        <v>2.1324241073146467E-3</v>
      </c>
      <c r="AO597" s="1">
        <f t="shared" si="372"/>
        <v>1.9797392644108065E-3</v>
      </c>
    </row>
    <row r="598" spans="2:41">
      <c r="B598" s="1">
        <f t="shared" ref="B598:AO598" si="373">(B451+B500+B549)*0.0795774715459477</f>
        <v>1.4805221599489223E-2</v>
      </c>
      <c r="C598" s="1">
        <f t="shared" si="373"/>
        <v>1.8232188184306487E-2</v>
      </c>
      <c r="D598" s="1">
        <f t="shared" si="373"/>
        <v>2.29865130598455E-2</v>
      </c>
      <c r="E598" s="1">
        <f t="shared" si="373"/>
        <v>2.9842967377231727E-2</v>
      </c>
      <c r="F598" s="1">
        <f t="shared" si="373"/>
        <v>4.0215838936222804E-2</v>
      </c>
      <c r="G598" s="1">
        <f t="shared" si="373"/>
        <v>5.6809181838859198E-2</v>
      </c>
      <c r="H598" s="1">
        <f t="shared" si="373"/>
        <v>8.5703548614104785E-2</v>
      </c>
      <c r="I598" s="1">
        <f t="shared" si="373"/>
        <v>0.14269999404094916</v>
      </c>
      <c r="J598" s="1">
        <f t="shared" si="373"/>
        <v>0.27789441271192722</v>
      </c>
      <c r="K598" s="1">
        <f t="shared" si="373"/>
        <v>0.72058960764314373</v>
      </c>
      <c r="L598" s="1">
        <f t="shared" si="373"/>
        <v>4.0601470021358033</v>
      </c>
      <c r="M598" s="1">
        <f t="shared" si="373"/>
        <v>-12.943825139128087</v>
      </c>
      <c r="N598" s="1">
        <f t="shared" si="373"/>
        <v>4.0691657304181028</v>
      </c>
      <c r="O598" s="1">
        <f t="shared" si="373"/>
        <v>0.72856910272326525</v>
      </c>
      <c r="P598" s="1">
        <f t="shared" si="373"/>
        <v>0.28327234302217758</v>
      </c>
      <c r="Q598" s="1">
        <f t="shared" si="373"/>
        <v>0.14629443179649862</v>
      </c>
      <c r="R598" s="1">
        <f t="shared" si="373"/>
        <v>8.8202993191154377E-2</v>
      </c>
      <c r="S598" s="1">
        <f t="shared" si="373"/>
        <v>5.8624003952200521E-2</v>
      </c>
      <c r="T598" s="1">
        <f t="shared" si="373"/>
        <v>4.1653597078592501E-2</v>
      </c>
      <c r="U598" s="1">
        <f t="shared" si="373"/>
        <v>3.1063184616146988E-2</v>
      </c>
      <c r="V598" s="1">
        <f t="shared" si="373"/>
        <v>2.4013452149061462E-2</v>
      </c>
      <c r="W598" s="1">
        <f t="shared" si="373"/>
        <v>1.9091381083147625E-2</v>
      </c>
      <c r="X598" s="1">
        <f t="shared" si="373"/>
        <v>1.5533301368954474E-2</v>
      </c>
      <c r="Y598" s="1">
        <f t="shared" si="373"/>
        <v>1.2880121533804557E-2</v>
      </c>
      <c r="Z598" s="1">
        <f t="shared" si="373"/>
        <v>1.0850208053757845E-2</v>
      </c>
      <c r="AA598" s="1">
        <f t="shared" si="373"/>
        <v>9.2632238374235447E-3</v>
      </c>
      <c r="AB598" s="1">
        <f t="shared" si="373"/>
        <v>7.9994611630297505E-3</v>
      </c>
      <c r="AC598" s="1">
        <f t="shared" si="373"/>
        <v>6.9761233362839866E-3</v>
      </c>
      <c r="AD598" s="1">
        <f t="shared" si="373"/>
        <v>6.1324738673967961E-3</v>
      </c>
      <c r="AE598" s="1">
        <f t="shared" si="373"/>
        <v>5.4294829154205001E-3</v>
      </c>
      <c r="AF598" s="1">
        <f t="shared" si="373"/>
        <v>4.840406588628123E-3</v>
      </c>
      <c r="AG598" s="1">
        <f t="shared" si="373"/>
        <v>4.3419660158516152E-3</v>
      </c>
      <c r="AH598" s="1">
        <f t="shared" si="373"/>
        <v>3.9165246765136925E-3</v>
      </c>
      <c r="AI598" s="1">
        <f t="shared" si="373"/>
        <v>3.5505267793103632E-3</v>
      </c>
      <c r="AJ598" s="1">
        <f t="shared" si="373"/>
        <v>3.2334166702072554E-3</v>
      </c>
      <c r="AK598" s="1">
        <f t="shared" si="373"/>
        <v>2.954944119155888E-3</v>
      </c>
      <c r="AL598" s="1">
        <f t="shared" si="373"/>
        <v>2.7088588211300751E-3</v>
      </c>
      <c r="AM598" s="1">
        <f t="shared" si="373"/>
        <v>2.4919793532264469E-3</v>
      </c>
      <c r="AN598" s="1">
        <f t="shared" si="373"/>
        <v>2.3000573847089274E-3</v>
      </c>
      <c r="AO598" s="1">
        <f t="shared" si="373"/>
        <v>2.1294162183421086E-3</v>
      </c>
    </row>
    <row r="599" spans="2:41">
      <c r="B599" s="1">
        <f t="shared" ref="B599:AO599" si="374">(B452+B501+B550)*0.0795774715459477</f>
        <v>1.2345215666422719E-2</v>
      </c>
      <c r="C599" s="1">
        <f t="shared" si="374"/>
        <v>1.4920347309670732E-2</v>
      </c>
      <c r="D599" s="1">
        <f t="shared" si="374"/>
        <v>1.8384272298900106E-2</v>
      </c>
      <c r="E599" s="1">
        <f t="shared" si="374"/>
        <v>2.319291212186177E-2</v>
      </c>
      <c r="F599" s="1">
        <f t="shared" si="374"/>
        <v>3.0125498541907509E-2</v>
      </c>
      <c r="G599" s="1">
        <f t="shared" si="374"/>
        <v>4.0540309523772793E-2</v>
      </c>
      <c r="H599" s="1">
        <f t="shared" si="374"/>
        <v>5.7201377687610667E-2</v>
      </c>
      <c r="I599" s="1">
        <f t="shared" si="374"/>
        <v>8.6345940780888114E-2</v>
      </c>
      <c r="J599" s="1">
        <f t="shared" si="374"/>
        <v>0.14383884016281753</v>
      </c>
      <c r="K599" s="1">
        <f t="shared" si="374"/>
        <v>0.28011100525138422</v>
      </c>
      <c r="L599" s="1">
        <f t="shared" si="374"/>
        <v>0.72526277238543102</v>
      </c>
      <c r="M599" s="1">
        <f t="shared" si="374"/>
        <v>4.0694625595306322</v>
      </c>
      <c r="N599" s="1">
        <f t="shared" si="374"/>
        <v>-12.933801958321144</v>
      </c>
      <c r="O599" s="1">
        <f t="shared" si="374"/>
        <v>4.0742872479969163</v>
      </c>
      <c r="P599" s="1">
        <f t="shared" si="374"/>
        <v>0.7309130339707488</v>
      </c>
      <c r="Q599" s="1">
        <f t="shared" si="374"/>
        <v>0.28439135656223524</v>
      </c>
      <c r="R599" s="1">
        <f t="shared" si="374"/>
        <v>0.14687478799493539</v>
      </c>
      <c r="S599" s="1">
        <f t="shared" si="374"/>
        <v>8.8533014418543235E-2</v>
      </c>
      <c r="T599" s="1">
        <f t="shared" si="374"/>
        <v>5.8826781883536579E-2</v>
      </c>
      <c r="U599" s="1">
        <f t="shared" si="374"/>
        <v>4.1786140277091044E-2</v>
      </c>
      <c r="V599" s="1">
        <f t="shared" si="374"/>
        <v>3.1132421117876705E-2</v>
      </c>
      <c r="W599" s="1">
        <f t="shared" si="374"/>
        <v>2.4045421802033458E-2</v>
      </c>
      <c r="X599" s="1">
        <f t="shared" si="374"/>
        <v>1.9114996493921614E-2</v>
      </c>
      <c r="Y599" s="1">
        <f t="shared" si="374"/>
        <v>1.5551218306624461E-2</v>
      </c>
      <c r="Z599" s="1">
        <f t="shared" si="374"/>
        <v>1.289402515445357E-2</v>
      </c>
      <c r="AA599" s="1">
        <f t="shared" si="374"/>
        <v>1.0861207037035523E-2</v>
      </c>
      <c r="AB599" s="1">
        <f t="shared" si="374"/>
        <v>9.2720706589068287E-3</v>
      </c>
      <c r="AC599" s="1">
        <f t="shared" si="374"/>
        <v>8.0056419338439232E-3</v>
      </c>
      <c r="AD599" s="1">
        <f t="shared" si="374"/>
        <v>6.9761018880885317E-3</v>
      </c>
      <c r="AE599" s="1">
        <f t="shared" si="374"/>
        <v>6.1287095084286355E-3</v>
      </c>
      <c r="AF599" s="1">
        <f t="shared" si="374"/>
        <v>5.4263038475029102E-3</v>
      </c>
      <c r="AG599" s="1">
        <f t="shared" si="374"/>
        <v>4.8376979393266652E-3</v>
      </c>
      <c r="AH599" s="1">
        <f t="shared" si="374"/>
        <v>4.3396396725194795E-3</v>
      </c>
      <c r="AI599" s="1">
        <f t="shared" si="374"/>
        <v>3.9145121644466796E-3</v>
      </c>
      <c r="AJ599" s="1">
        <f t="shared" si="374"/>
        <v>3.5487742501913769E-3</v>
      </c>
      <c r="AK599" s="1">
        <f t="shared" si="374"/>
        <v>3.2296885046181078E-3</v>
      </c>
      <c r="AL599" s="1">
        <f t="shared" si="374"/>
        <v>2.9493975964818729E-3</v>
      </c>
      <c r="AM599" s="1">
        <f t="shared" si="374"/>
        <v>2.7037209017329441E-3</v>
      </c>
      <c r="AN599" s="1">
        <f t="shared" si="374"/>
        <v>2.4874077250108431E-3</v>
      </c>
      <c r="AO599" s="1">
        <f t="shared" si="374"/>
        <v>2.2959720866509632E-3</v>
      </c>
    </row>
    <row r="600" spans="2:41">
      <c r="B600" s="1">
        <f t="shared" ref="B600:AO600" si="375">(B453+B502+B551)*0.0795774715459477</f>
        <v>1.0429646118222188E-2</v>
      </c>
      <c r="C600" s="1">
        <f t="shared" si="375"/>
        <v>1.2407757951802831E-2</v>
      </c>
      <c r="D600" s="1">
        <f t="shared" si="375"/>
        <v>1.5001058059290511E-2</v>
      </c>
      <c r="E600" s="1">
        <f t="shared" si="375"/>
        <v>1.8490808696642023E-2</v>
      </c>
      <c r="F600" s="1">
        <f t="shared" si="375"/>
        <v>2.3332550195423723E-2</v>
      </c>
      <c r="G600" s="1">
        <f t="shared" si="375"/>
        <v>3.0261571342209949E-2</v>
      </c>
      <c r="H600" s="1">
        <f t="shared" si="375"/>
        <v>4.0669536460789593E-2</v>
      </c>
      <c r="I600" s="1">
        <f t="shared" si="375"/>
        <v>5.7399750109624351E-2</v>
      </c>
      <c r="J600" s="1">
        <f t="shared" si="375"/>
        <v>8.6670019023191977E-2</v>
      </c>
      <c r="K600" s="1">
        <f t="shared" si="375"/>
        <v>0.14441086442147574</v>
      </c>
      <c r="L600" s="1">
        <f t="shared" si="375"/>
        <v>0.28121568845173001</v>
      </c>
      <c r="M600" s="1">
        <f t="shared" si="375"/>
        <v>0.72755900862728085</v>
      </c>
      <c r="N600" s="1">
        <f t="shared" si="375"/>
        <v>4.0721146439384199</v>
      </c>
      <c r="O600" s="1">
        <f t="shared" si="375"/>
        <v>-12.93278476646185</v>
      </c>
      <c r="P600" s="1">
        <f t="shared" si="375"/>
        <v>4.0746849277568549</v>
      </c>
      <c r="Q600" s="1">
        <f t="shared" si="375"/>
        <v>0.73111154778908771</v>
      </c>
      <c r="R600" s="1">
        <f t="shared" si="375"/>
        <v>0.28448662999676277</v>
      </c>
      <c r="S600" s="1">
        <f t="shared" si="375"/>
        <v>0.1469243457067381</v>
      </c>
      <c r="T600" s="1">
        <f t="shared" si="375"/>
        <v>8.8561242888534897E-2</v>
      </c>
      <c r="U600" s="1">
        <f t="shared" si="375"/>
        <v>5.8844144174675227E-2</v>
      </c>
      <c r="V600" s="1">
        <f t="shared" si="375"/>
        <v>4.1766045133697152E-2</v>
      </c>
      <c r="W600" s="1">
        <f t="shared" si="375"/>
        <v>3.1093922117630471E-2</v>
      </c>
      <c r="X600" s="1">
        <f t="shared" si="375"/>
        <v>2.4017880783745994E-2</v>
      </c>
      <c r="Y600" s="1">
        <f t="shared" si="375"/>
        <v>1.9094652140904465E-2</v>
      </c>
      <c r="Z600" s="1">
        <f t="shared" si="375"/>
        <v>1.553578294229002E-2</v>
      </c>
      <c r="AA600" s="1">
        <f t="shared" si="375"/>
        <v>1.2882047145459197E-2</v>
      </c>
      <c r="AB600" s="1">
        <f t="shared" si="375"/>
        <v>1.0851731319564456E-2</v>
      </c>
      <c r="AC600" s="1">
        <f t="shared" si="375"/>
        <v>9.2631787798672684E-3</v>
      </c>
      <c r="AD600" s="1">
        <f t="shared" si="375"/>
        <v>7.9921841586818813E-3</v>
      </c>
      <c r="AE600" s="1">
        <f t="shared" si="375"/>
        <v>6.9604831974878984E-3</v>
      </c>
      <c r="AF600" s="1">
        <f t="shared" si="375"/>
        <v>6.1156496986501004E-3</v>
      </c>
      <c r="AG600" s="1">
        <f t="shared" si="375"/>
        <v>5.4152753099662686E-3</v>
      </c>
      <c r="AH600" s="1">
        <f t="shared" si="375"/>
        <v>4.8283018404318319E-3</v>
      </c>
      <c r="AI600" s="1">
        <f t="shared" si="375"/>
        <v>4.3315701318133613E-3</v>
      </c>
      <c r="AJ600" s="1">
        <f t="shared" si="375"/>
        <v>3.907531503053536E-3</v>
      </c>
      <c r="AK600" s="1">
        <f t="shared" si="375"/>
        <v>3.5401939404624458E-3</v>
      </c>
      <c r="AL600" s="1">
        <f t="shared" si="375"/>
        <v>3.2196000742446764E-3</v>
      </c>
      <c r="AM600" s="1">
        <f t="shared" si="375"/>
        <v>2.9402530051858685E-3</v>
      </c>
      <c r="AN600" s="1">
        <f t="shared" si="375"/>
        <v>2.6956224036663048E-3</v>
      </c>
      <c r="AO600" s="1">
        <f t="shared" si="375"/>
        <v>2.4802022401451047E-3</v>
      </c>
    </row>
    <row r="601" spans="2:41">
      <c r="B601" s="1">
        <f t="shared" ref="B601:AO601" si="376">(B454+B503+B552)*0.0795774715459477</f>
        <v>8.9284558215870589E-3</v>
      </c>
      <c r="C601" s="1">
        <f t="shared" si="376"/>
        <v>1.0480878971457729E-2</v>
      </c>
      <c r="D601" s="1">
        <f t="shared" si="376"/>
        <v>1.2472582793097146E-2</v>
      </c>
      <c r="E601" s="1">
        <f t="shared" si="376"/>
        <v>1.5084670763041846E-2</v>
      </c>
      <c r="F601" s="1">
        <f t="shared" si="376"/>
        <v>1.8597592784340151E-2</v>
      </c>
      <c r="G601" s="1">
        <f t="shared" si="376"/>
        <v>2.3435123493538979E-2</v>
      </c>
      <c r="H601" s="1">
        <f t="shared" si="376"/>
        <v>3.0357638545489892E-2</v>
      </c>
      <c r="I601" s="1">
        <f t="shared" si="376"/>
        <v>4.0809735938191573E-2</v>
      </c>
      <c r="J601" s="1">
        <f t="shared" si="376"/>
        <v>5.7614714085298967E-2</v>
      </c>
      <c r="K601" s="1">
        <f t="shared" si="376"/>
        <v>8.7020553221930058E-2</v>
      </c>
      <c r="L601" s="1">
        <f t="shared" si="376"/>
        <v>0.14502767033715866</v>
      </c>
      <c r="M601" s="1">
        <f t="shared" si="376"/>
        <v>0.282400326969376</v>
      </c>
      <c r="N601" s="1">
        <f t="shared" si="376"/>
        <v>0.72905558363283007</v>
      </c>
      <c r="O601" s="1">
        <f t="shared" si="376"/>
        <v>4.073222263529674</v>
      </c>
      <c r="P601" s="1">
        <f t="shared" si="376"/>
        <v>-12.931708462761142</v>
      </c>
      <c r="Q601" s="1">
        <f t="shared" si="376"/>
        <v>4.0754668457524863</v>
      </c>
      <c r="R601" s="1">
        <f t="shared" si="376"/>
        <v>0.73150257082454129</v>
      </c>
      <c r="S601" s="1">
        <f t="shared" si="376"/>
        <v>0.28467452614675137</v>
      </c>
      <c r="T601" s="1">
        <f t="shared" si="376"/>
        <v>0.14702214995121293</v>
      </c>
      <c r="U601" s="1">
        <f t="shared" si="376"/>
        <v>8.8616974985007188E-2</v>
      </c>
      <c r="V601" s="1">
        <f t="shared" si="376"/>
        <v>5.8830838675331183E-2</v>
      </c>
      <c r="W601" s="1">
        <f t="shared" si="376"/>
        <v>4.1721106517264114E-2</v>
      </c>
      <c r="X601" s="1">
        <f t="shared" si="376"/>
        <v>3.1063014251867648E-2</v>
      </c>
      <c r="Y601" s="1">
        <f t="shared" si="376"/>
        <v>2.3995775171840397E-2</v>
      </c>
      <c r="Z601" s="1">
        <f t="shared" si="376"/>
        <v>1.9078325538509442E-2</v>
      </c>
      <c r="AA601" s="1">
        <f t="shared" si="376"/>
        <v>1.5523397373977996E-2</v>
      </c>
      <c r="AB601" s="1">
        <f t="shared" si="376"/>
        <v>1.2872436708647754E-2</v>
      </c>
      <c r="AC601" s="1">
        <f t="shared" si="376"/>
        <v>1.0842553463851202E-2</v>
      </c>
      <c r="AD601" s="1">
        <f t="shared" si="376"/>
        <v>9.2482056699789445E-3</v>
      </c>
      <c r="AE601" s="1">
        <f t="shared" si="376"/>
        <v>7.9745113444830255E-3</v>
      </c>
      <c r="AF601" s="1">
        <f t="shared" si="376"/>
        <v>6.9458704647032974E-3</v>
      </c>
      <c r="AG601" s="1">
        <f t="shared" si="376"/>
        <v>6.1034324208840123E-3</v>
      </c>
      <c r="AH601" s="1">
        <f t="shared" si="376"/>
        <v>5.404959235429818E-3</v>
      </c>
      <c r="AI601" s="1">
        <f t="shared" si="376"/>
        <v>4.8195134453179484E-3</v>
      </c>
      <c r="AJ601" s="1">
        <f t="shared" si="376"/>
        <v>4.3240230077384121E-3</v>
      </c>
      <c r="AK601" s="1">
        <f t="shared" si="376"/>
        <v>3.8981320246299338E-3</v>
      </c>
      <c r="AL601" s="1">
        <f t="shared" si="376"/>
        <v>3.5290701640160191E-3</v>
      </c>
      <c r="AM601" s="1">
        <f t="shared" si="376"/>
        <v>3.2095625586830421E-3</v>
      </c>
      <c r="AN601" s="1">
        <f t="shared" si="376"/>
        <v>2.9314090632686549E-3</v>
      </c>
      <c r="AO601" s="1">
        <f t="shared" si="376"/>
        <v>2.6877907628070226E-3</v>
      </c>
    </row>
    <row r="602" spans="2:41">
      <c r="B602" s="1">
        <f t="shared" ref="B602:AO602" si="377">(B455+B504+B553)*0.0795774715459477</f>
        <v>7.7290600278517056E-3</v>
      </c>
      <c r="C602" s="1">
        <f t="shared" si="377"/>
        <v>8.9695622688897372E-3</v>
      </c>
      <c r="D602" s="1">
        <f t="shared" si="377"/>
        <v>1.0532017736689823E-2</v>
      </c>
      <c r="E602" s="1">
        <f t="shared" si="377"/>
        <v>1.2537261210325392E-2</v>
      </c>
      <c r="F602" s="1">
        <f t="shared" si="377"/>
        <v>1.51654076259487E-2</v>
      </c>
      <c r="G602" s="1">
        <f t="shared" si="377"/>
        <v>1.8673176862711093E-2</v>
      </c>
      <c r="H602" s="1">
        <f t="shared" si="377"/>
        <v>2.3503492810617883E-2</v>
      </c>
      <c r="I602" s="1">
        <f t="shared" si="377"/>
        <v>3.0453454204559187E-2</v>
      </c>
      <c r="J602" s="1">
        <f t="shared" si="377"/>
        <v>4.0949453105748795E-2</v>
      </c>
      <c r="K602" s="1">
        <f t="shared" si="377"/>
        <v>5.7828674055420977E-2</v>
      </c>
      <c r="L602" s="1">
        <f t="shared" si="377"/>
        <v>8.7368771659809843E-2</v>
      </c>
      <c r="M602" s="1">
        <f t="shared" si="377"/>
        <v>0.1456384140755751</v>
      </c>
      <c r="N602" s="1">
        <f t="shared" si="377"/>
        <v>0.28311798944312988</v>
      </c>
      <c r="O602" s="1">
        <f t="shared" si="377"/>
        <v>0.72960535602391807</v>
      </c>
      <c r="P602" s="1">
        <f t="shared" si="377"/>
        <v>4.0740133657774544</v>
      </c>
      <c r="Q602" s="1">
        <f t="shared" si="377"/>
        <v>-12.930640765782226</v>
      </c>
      <c r="R602" s="1">
        <f t="shared" si="377"/>
        <v>4.0762436057922331</v>
      </c>
      <c r="S602" s="1">
        <f t="shared" si="377"/>
        <v>0.73189194346488029</v>
      </c>
      <c r="T602" s="1">
        <f t="shared" si="377"/>
        <v>0.28486193482419647</v>
      </c>
      <c r="U602" s="1">
        <f t="shared" si="377"/>
        <v>0.14711979009580767</v>
      </c>
      <c r="V602" s="1">
        <f t="shared" si="377"/>
        <v>8.8596293584828414E-2</v>
      </c>
      <c r="W602" s="1">
        <f t="shared" si="377"/>
        <v>5.8762161016299511E-2</v>
      </c>
      <c r="X602" s="1">
        <f t="shared" si="377"/>
        <v>4.1676111694999809E-2</v>
      </c>
      <c r="Y602" s="1">
        <f t="shared" si="377"/>
        <v>3.1032076438795846E-2</v>
      </c>
      <c r="Z602" s="1">
        <f t="shared" si="377"/>
        <v>2.3973652521226536E-2</v>
      </c>
      <c r="AA602" s="1">
        <f t="shared" si="377"/>
        <v>1.9061988705234241E-2</v>
      </c>
      <c r="AB602" s="1">
        <f t="shared" si="377"/>
        <v>1.5511005380906537E-2</v>
      </c>
      <c r="AC602" s="1">
        <f t="shared" si="377"/>
        <v>1.2860835384182253E-2</v>
      </c>
      <c r="AD602" s="1">
        <f t="shared" si="377"/>
        <v>1.0823949695113732E-2</v>
      </c>
      <c r="AE602" s="1">
        <f t="shared" si="377"/>
        <v>9.2265385279040549E-3</v>
      </c>
      <c r="AF602" s="1">
        <f t="shared" si="377"/>
        <v>7.9568215355656641E-3</v>
      </c>
      <c r="AG602" s="1">
        <f t="shared" si="377"/>
        <v>6.9312455883972666E-3</v>
      </c>
      <c r="AH602" s="1">
        <f t="shared" si="377"/>
        <v>6.0912063068225258E-3</v>
      </c>
      <c r="AI602" s="1">
        <f t="shared" si="377"/>
        <v>5.3946366263899342E-3</v>
      </c>
      <c r="AJ602" s="1">
        <f t="shared" si="377"/>
        <v>4.8107201476220007E-3</v>
      </c>
      <c r="AK602" s="1">
        <f t="shared" si="377"/>
        <v>4.3131551896115642E-3</v>
      </c>
      <c r="AL602" s="1">
        <f t="shared" si="377"/>
        <v>3.8853513587025941E-3</v>
      </c>
      <c r="AM602" s="1">
        <f t="shared" si="377"/>
        <v>3.517606842792224E-3</v>
      </c>
      <c r="AN602" s="1">
        <f t="shared" si="377"/>
        <v>3.1995183470934874E-3</v>
      </c>
      <c r="AO602" s="1">
        <f t="shared" si="377"/>
        <v>2.9225599642771966E-3</v>
      </c>
    </row>
    <row r="603" spans="2:41">
      <c r="B603" s="1">
        <f t="shared" ref="B603:AO603" si="378">(B456+B505+B554)*0.0795774715459477</f>
        <v>6.7557615410162898E-3</v>
      </c>
      <c r="C603" s="1">
        <f t="shared" si="378"/>
        <v>7.762537855528241E-3</v>
      </c>
      <c r="D603" s="1">
        <f t="shared" si="378"/>
        <v>9.0106036680643164E-3</v>
      </c>
      <c r="E603" s="1">
        <f t="shared" si="378"/>
        <v>1.0583058080407081E-2</v>
      </c>
      <c r="F603" s="1">
        <f t="shared" si="378"/>
        <v>1.2599749325276839E-2</v>
      </c>
      <c r="G603" s="1">
        <f t="shared" si="378"/>
        <v>1.5222658281078981E-2</v>
      </c>
      <c r="H603" s="1">
        <f t="shared" si="378"/>
        <v>1.8723493352685815E-2</v>
      </c>
      <c r="I603" s="1">
        <f t="shared" si="378"/>
        <v>2.357171975657462E-2</v>
      </c>
      <c r="J603" s="1">
        <f t="shared" si="378"/>
        <v>3.054901475820529E-2</v>
      </c>
      <c r="K603" s="1">
        <f t="shared" si="378"/>
        <v>4.1088681996397626E-2</v>
      </c>
      <c r="L603" s="1">
        <f t="shared" si="378"/>
        <v>5.8041620085007635E-2</v>
      </c>
      <c r="M603" s="1">
        <f t="shared" si="378"/>
        <v>8.7714659945778164E-2</v>
      </c>
      <c r="N603" s="1">
        <f t="shared" si="378"/>
        <v>0.14601319822776776</v>
      </c>
      <c r="O603" s="1">
        <f t="shared" si="378"/>
        <v>0.28338214791496075</v>
      </c>
      <c r="P603" s="1">
        <f t="shared" si="378"/>
        <v>0.73000253936457038</v>
      </c>
      <c r="Q603" s="1">
        <f t="shared" si="378"/>
        <v>4.0747992379071709</v>
      </c>
      <c r="R603" s="1">
        <f t="shared" si="378"/>
        <v>-12.929581584425462</v>
      </c>
      <c r="S603" s="1">
        <f t="shared" si="378"/>
        <v>4.077015251198282</v>
      </c>
      <c r="T603" s="1">
        <f t="shared" si="378"/>
        <v>0.73227967308378117</v>
      </c>
      <c r="U603" s="1">
        <f t="shared" si="378"/>
        <v>0.28504885686155601</v>
      </c>
      <c r="V603" s="1">
        <f t="shared" si="378"/>
        <v>0.1470855439691767</v>
      </c>
      <c r="W603" s="1">
        <f t="shared" si="378"/>
        <v>8.8484728339412719E-2</v>
      </c>
      <c r="X603" s="1">
        <f t="shared" si="378"/>
        <v>5.8693369266121204E-2</v>
      </c>
      <c r="Y603" s="1">
        <f t="shared" si="378"/>
        <v>4.1631060851838174E-2</v>
      </c>
      <c r="Z603" s="1">
        <f t="shared" si="378"/>
        <v>3.1001108791721226E-2</v>
      </c>
      <c r="AA603" s="1">
        <f t="shared" si="378"/>
        <v>2.3951512902378048E-2</v>
      </c>
      <c r="AB603" s="1">
        <f t="shared" si="378"/>
        <v>1.9045641686079091E-2</v>
      </c>
      <c r="AC603" s="1">
        <f t="shared" si="378"/>
        <v>1.5496054198363699E-2</v>
      </c>
      <c r="AD603" s="1">
        <f t="shared" si="378"/>
        <v>1.2837334122068101E-2</v>
      </c>
      <c r="AE603" s="1">
        <f t="shared" si="378"/>
        <v>1.0796995054187283E-2</v>
      </c>
      <c r="AF603" s="1">
        <f t="shared" si="378"/>
        <v>9.2048475426369843E-3</v>
      </c>
      <c r="AG603" s="1">
        <f t="shared" si="378"/>
        <v>7.9391150472818972E-3</v>
      </c>
      <c r="AH603" s="1">
        <f t="shared" si="378"/>
        <v>6.9166088011490129E-3</v>
      </c>
      <c r="AI603" s="1">
        <f t="shared" si="378"/>
        <v>6.0789715307760809E-3</v>
      </c>
      <c r="AJ603" s="1">
        <f t="shared" si="378"/>
        <v>5.3843076154138679E-3</v>
      </c>
      <c r="AK603" s="1">
        <f t="shared" si="378"/>
        <v>4.7980621009998297E-3</v>
      </c>
      <c r="AL603" s="1">
        <f t="shared" si="378"/>
        <v>4.2983720593322613E-3</v>
      </c>
      <c r="AM603" s="1">
        <f t="shared" si="378"/>
        <v>3.8721792253191912E-3</v>
      </c>
      <c r="AN603" s="1">
        <f t="shared" si="378"/>
        <v>3.5061351798208878E-3</v>
      </c>
      <c r="AO603" s="1">
        <f t="shared" si="378"/>
        <v>3.1894677708906856E-3</v>
      </c>
    </row>
    <row r="604" spans="2:41">
      <c r="B604" s="1">
        <f t="shared" ref="B604:AO604" si="379">(B457+B506+B555)*0.0795774715459477</f>
        <v>5.9551663384048437E-3</v>
      </c>
      <c r="C604" s="1">
        <f t="shared" si="379"/>
        <v>6.7833846764844491E-3</v>
      </c>
      <c r="D604" s="1">
        <f t="shared" si="379"/>
        <v>7.7959695772030864E-3</v>
      </c>
      <c r="E604" s="1">
        <f t="shared" si="379"/>
        <v>9.0515769871012345E-3</v>
      </c>
      <c r="F604" s="1">
        <f t="shared" si="379"/>
        <v>1.0632391521991396E-2</v>
      </c>
      <c r="G604" s="1">
        <f t="shared" si="379"/>
        <v>1.2644125726762337E-2</v>
      </c>
      <c r="H604" s="1">
        <f t="shared" si="379"/>
        <v>1.5260728661012746E-2</v>
      </c>
      <c r="I604" s="1">
        <f t="shared" si="379"/>
        <v>1.8773724615287056E-2</v>
      </c>
      <c r="J604" s="1">
        <f t="shared" si="379"/>
        <v>2.3639802179932799E-2</v>
      </c>
      <c r="K604" s="1">
        <f t="shared" si="379"/>
        <v>3.0644316700652825E-2</v>
      </c>
      <c r="L604" s="1">
        <f t="shared" si="379"/>
        <v>4.1227416773790791E-2</v>
      </c>
      <c r="M604" s="1">
        <f t="shared" si="379"/>
        <v>5.8253542575411862E-2</v>
      </c>
      <c r="N604" s="1">
        <f t="shared" si="379"/>
        <v>8.7929077980026873E-2</v>
      </c>
      <c r="O604" s="1">
        <f t="shared" si="379"/>
        <v>0.1461509413736207</v>
      </c>
      <c r="P604" s="1">
        <f t="shared" si="379"/>
        <v>0.28357284541098104</v>
      </c>
      <c r="Q604" s="1">
        <f t="shared" si="379"/>
        <v>0.73039804621037441</v>
      </c>
      <c r="R604" s="1">
        <f t="shared" si="379"/>
        <v>4.075579923903426</v>
      </c>
      <c r="S604" s="1">
        <f t="shared" si="379"/>
        <v>-12.928530828788064</v>
      </c>
      <c r="T604" s="1">
        <f t="shared" si="379"/>
        <v>4.0777818248581461</v>
      </c>
      <c r="U604" s="1">
        <f t="shared" si="379"/>
        <v>0.73266576702981689</v>
      </c>
      <c r="V604" s="1">
        <f t="shared" si="379"/>
        <v>0.28498745282802007</v>
      </c>
      <c r="W604" s="1">
        <f t="shared" si="379"/>
        <v>0.14689001641111721</v>
      </c>
      <c r="X604" s="1">
        <f t="shared" si="379"/>
        <v>8.8372906419538294E-2</v>
      </c>
      <c r="Y604" s="1">
        <f t="shared" si="379"/>
        <v>5.8624463722437792E-2</v>
      </c>
      <c r="Z604" s="1">
        <f t="shared" si="379"/>
        <v>4.1585954174266582E-2</v>
      </c>
      <c r="AA604" s="1">
        <f t="shared" si="379"/>
        <v>3.0970111424623144E-2</v>
      </c>
      <c r="AB604" s="1">
        <f t="shared" si="379"/>
        <v>2.3929356386086797E-2</v>
      </c>
      <c r="AC604" s="1">
        <f t="shared" si="379"/>
        <v>1.90259308017195E-2</v>
      </c>
      <c r="AD604" s="1">
        <f t="shared" si="379"/>
        <v>1.5465789125432788E-2</v>
      </c>
      <c r="AE604" s="1">
        <f t="shared" si="379"/>
        <v>1.2803233893601815E-2</v>
      </c>
      <c r="AF604" s="1">
        <f t="shared" si="379"/>
        <v>1.0770006135492225E-2</v>
      </c>
      <c r="AG604" s="1">
        <f t="shared" si="379"/>
        <v>9.1831331519000355E-3</v>
      </c>
      <c r="AH604" s="1">
        <f t="shared" si="379"/>
        <v>7.9213921965420164E-3</v>
      </c>
      <c r="AI604" s="1">
        <f t="shared" si="379"/>
        <v>6.9019603365226955E-3</v>
      </c>
      <c r="AJ604" s="1">
        <f t="shared" si="379"/>
        <v>6.0667282676939854E-3</v>
      </c>
      <c r="AK604" s="1">
        <f t="shared" si="379"/>
        <v>5.3694443743864378E-3</v>
      </c>
      <c r="AL604" s="1">
        <f t="shared" si="379"/>
        <v>4.7808360873503293E-3</v>
      </c>
      <c r="AM604" s="1">
        <f t="shared" si="379"/>
        <v>4.2831343566937909E-3</v>
      </c>
      <c r="AN604" s="1">
        <f t="shared" si="379"/>
        <v>3.8589965931190543E-3</v>
      </c>
      <c r="AO604" s="1">
        <f t="shared" si="379"/>
        <v>3.4946555879206646E-3</v>
      </c>
    </row>
    <row r="605" spans="2:41">
      <c r="B605" s="1">
        <f t="shared" ref="B605:AO605" si="380">(B458+B507+B556)*0.0795774715459477</f>
        <v>5.28874535488636E-3</v>
      </c>
      <c r="C605" s="1">
        <f t="shared" si="380"/>
        <v>5.9782223336110911E-3</v>
      </c>
      <c r="D605" s="1">
        <f t="shared" si="380"/>
        <v>6.8109744126870052E-3</v>
      </c>
      <c r="E605" s="1">
        <f t="shared" si="380"/>
        <v>7.8293530223214371E-3</v>
      </c>
      <c r="F605" s="1">
        <f t="shared" si="380"/>
        <v>9.0911940952900314E-3</v>
      </c>
      <c r="G605" s="1">
        <f t="shared" si="380"/>
        <v>1.066746966042067E-2</v>
      </c>
      <c r="H605" s="1">
        <f t="shared" si="380"/>
        <v>1.2673607053886708E-2</v>
      </c>
      <c r="I605" s="1">
        <f t="shared" si="380"/>
        <v>1.5298745604431332E-2</v>
      </c>
      <c r="J605" s="1">
        <f t="shared" si="380"/>
        <v>1.8823869302973872E-2</v>
      </c>
      <c r="K605" s="1">
        <f t="shared" si="380"/>
        <v>2.3707737954885153E-2</v>
      </c>
      <c r="L605" s="1">
        <f t="shared" si="380"/>
        <v>3.073935658196756E-2</v>
      </c>
      <c r="M605" s="1">
        <f t="shared" si="380"/>
        <v>4.1365651732732808E-2</v>
      </c>
      <c r="N605" s="1">
        <f t="shared" si="380"/>
        <v>5.8385929686116542E-2</v>
      </c>
      <c r="O605" s="1">
        <f t="shared" si="380"/>
        <v>8.8007717368993557E-2</v>
      </c>
      <c r="P605" s="1">
        <f t="shared" si="380"/>
        <v>0.1462500182420173</v>
      </c>
      <c r="Q605" s="1">
        <f t="shared" si="380"/>
        <v>0.28376305098488958</v>
      </c>
      <c r="R605" s="1">
        <f t="shared" si="380"/>
        <v>0.7307918840114197</v>
      </c>
      <c r="S605" s="1">
        <f t="shared" si="380"/>
        <v>4.0763554673093338</v>
      </c>
      <c r="T605" s="1">
        <f t="shared" si="380"/>
        <v>-12.927488410145319</v>
      </c>
      <c r="U605" s="1">
        <f t="shared" si="380"/>
        <v>4.0785433692296191</v>
      </c>
      <c r="V605" s="1">
        <f t="shared" si="380"/>
        <v>0.73254369819990006</v>
      </c>
      <c r="W605" s="1">
        <f t="shared" si="380"/>
        <v>0.28461291030039249</v>
      </c>
      <c r="X605" s="1">
        <f t="shared" si="380"/>
        <v>0.14669383251529683</v>
      </c>
      <c r="Y605" s="1">
        <f t="shared" si="380"/>
        <v>8.826082822024485E-2</v>
      </c>
      <c r="Z605" s="1">
        <f t="shared" si="380"/>
        <v>5.8555444686783031E-2</v>
      </c>
      <c r="AA605" s="1">
        <f t="shared" si="380"/>
        <v>4.1540791850321418E-2</v>
      </c>
      <c r="AB605" s="1">
        <f t="shared" si="380"/>
        <v>3.0939084452153733E-2</v>
      </c>
      <c r="AC605" s="1">
        <f t="shared" si="380"/>
        <v>2.3902659722363509E-2</v>
      </c>
      <c r="AD605" s="1">
        <f t="shared" si="380"/>
        <v>1.8986064641775144E-2</v>
      </c>
      <c r="AE605" s="1">
        <f t="shared" si="380"/>
        <v>1.5421798946676777E-2</v>
      </c>
      <c r="AF605" s="1">
        <f t="shared" si="380"/>
        <v>1.2769082981971144E-2</v>
      </c>
      <c r="AG605" s="1">
        <f t="shared" si="380"/>
        <v>1.0742983559726386E-2</v>
      </c>
      <c r="AH605" s="1">
        <f t="shared" si="380"/>
        <v>9.1613957959063592E-3</v>
      </c>
      <c r="AI605" s="1">
        <f t="shared" si="380"/>
        <v>7.903653301787399E-3</v>
      </c>
      <c r="AJ605" s="1">
        <f t="shared" si="380"/>
        <v>6.8873004290500471E-3</v>
      </c>
      <c r="AK605" s="1">
        <f t="shared" si="380"/>
        <v>6.049117610823918E-3</v>
      </c>
      <c r="AL605" s="1">
        <f t="shared" si="380"/>
        <v>5.3492072446995392E-3</v>
      </c>
      <c r="AM605" s="1">
        <f t="shared" si="380"/>
        <v>4.7630780254705029E-3</v>
      </c>
      <c r="AN605" s="1">
        <f t="shared" si="380"/>
        <v>4.2678832912956231E-3</v>
      </c>
      <c r="AO605" s="1">
        <f t="shared" si="380"/>
        <v>3.8458039814659047E-3</v>
      </c>
    </row>
    <row r="606" spans="2:41">
      <c r="B606" s="1">
        <f t="shared" ref="B606:AO606" si="381">(B459+B508+B557)*0.0795774715459477</f>
        <v>4.728135248607883E-3</v>
      </c>
      <c r="C606" s="1">
        <f t="shared" si="381"/>
        <v>5.3081868327376049E-3</v>
      </c>
      <c r="D606" s="1">
        <f t="shared" si="381"/>
        <v>6.0012536656364433E-3</v>
      </c>
      <c r="E606" s="1">
        <f t="shared" si="381"/>
        <v>6.8385291639512643E-3</v>
      </c>
      <c r="F606" s="1">
        <f t="shared" si="381"/>
        <v>7.8616408905926166E-3</v>
      </c>
      <c r="G606" s="1">
        <f t="shared" si="381"/>
        <v>9.1193932618819796E-3</v>
      </c>
      <c r="H606" s="1">
        <f t="shared" si="381"/>
        <v>1.0690754373347782E-2</v>
      </c>
      <c r="I606" s="1">
        <f t="shared" si="381"/>
        <v>1.2703053551909307E-2</v>
      </c>
      <c r="J606" s="1">
        <f t="shared" si="381"/>
        <v>1.5336708238147135E-2</v>
      </c>
      <c r="K606" s="1">
        <f t="shared" si="381"/>
        <v>1.8873926080961927E-2</v>
      </c>
      <c r="L606" s="1">
        <f t="shared" si="381"/>
        <v>2.3775524981538836E-2</v>
      </c>
      <c r="M606" s="1">
        <f t="shared" si="381"/>
        <v>3.0834131008435628E-2</v>
      </c>
      <c r="N606" s="1">
        <f t="shared" si="381"/>
        <v>4.1452517192931519E-2</v>
      </c>
      <c r="O606" s="1">
        <f t="shared" si="381"/>
        <v>5.8434389205190979E-2</v>
      </c>
      <c r="P606" s="1">
        <f t="shared" si="381"/>
        <v>8.806407592546385E-2</v>
      </c>
      <c r="Q606" s="1">
        <f t="shared" si="381"/>
        <v>0.1463489309246061</v>
      </c>
      <c r="R606" s="1">
        <f t="shared" si="381"/>
        <v>0.28395276544491815</v>
      </c>
      <c r="S606" s="1">
        <f t="shared" si="381"/>
        <v>0.73118406019313964</v>
      </c>
      <c r="T606" s="1">
        <f t="shared" si="381"/>
        <v>4.0771259112316613</v>
      </c>
      <c r="U606" s="1">
        <f t="shared" si="381"/>
        <v>-12.926454240932282</v>
      </c>
      <c r="V606" s="1">
        <f t="shared" si="381"/>
        <v>4.0782721088189664</v>
      </c>
      <c r="W606" s="1">
        <f t="shared" si="381"/>
        <v>0.73176922511167708</v>
      </c>
      <c r="X606" s="1">
        <f t="shared" si="381"/>
        <v>0.2842364180748192</v>
      </c>
      <c r="Y606" s="1">
        <f t="shared" si="381"/>
        <v>0.14649699212295064</v>
      </c>
      <c r="Z606" s="1">
        <f t="shared" si="381"/>
        <v>8.8148494147240922E-2</v>
      </c>
      <c r="AA606" s="1">
        <f t="shared" si="381"/>
        <v>5.8486312464581247E-2</v>
      </c>
      <c r="AB606" s="1">
        <f t="shared" si="381"/>
        <v>4.1495574069587898E-2</v>
      </c>
      <c r="AC606" s="1">
        <f t="shared" si="381"/>
        <v>3.0901731284996962E-2</v>
      </c>
      <c r="AD606" s="1">
        <f t="shared" si="381"/>
        <v>2.3848717909808321E-2</v>
      </c>
      <c r="AE606" s="1">
        <f t="shared" si="381"/>
        <v>1.8927999757879212E-2</v>
      </c>
      <c r="AF606" s="1">
        <f t="shared" si="381"/>
        <v>1.5377731338336132E-2</v>
      </c>
      <c r="AG606" s="1">
        <f t="shared" si="381"/>
        <v>1.2734882288657861E-2</v>
      </c>
      <c r="AH606" s="1">
        <f t="shared" si="381"/>
        <v>1.0715927951709838E-2</v>
      </c>
      <c r="AI606" s="1">
        <f t="shared" si="381"/>
        <v>9.1396359173224282E-3</v>
      </c>
      <c r="AJ606" s="1">
        <f t="shared" si="381"/>
        <v>7.8858986829649699E-3</v>
      </c>
      <c r="AK606" s="1">
        <f t="shared" si="381"/>
        <v>6.8662231567177745E-3</v>
      </c>
      <c r="AL606" s="1">
        <f t="shared" si="381"/>
        <v>6.025126195543528E-3</v>
      </c>
      <c r="AM606" s="1">
        <f t="shared" si="381"/>
        <v>5.3283418717565076E-3</v>
      </c>
      <c r="AN606" s="1">
        <f t="shared" si="381"/>
        <v>4.7453027441812833E-3</v>
      </c>
      <c r="AO606" s="1">
        <f t="shared" si="381"/>
        <v>4.2526195237022821E-3</v>
      </c>
    </row>
    <row r="607" spans="2:41">
      <c r="B607" s="1">
        <f t="shared" ref="B607:AO607" si="382">(B460+B509+B558)*0.0795774715459477</f>
        <v>4.2526195237022821E-3</v>
      </c>
      <c r="C607" s="1">
        <f t="shared" si="382"/>
        <v>4.7453027441813006E-3</v>
      </c>
      <c r="D607" s="1">
        <f t="shared" si="382"/>
        <v>5.3283418717564191E-3</v>
      </c>
      <c r="E607" s="1">
        <f t="shared" si="382"/>
        <v>6.025126195543528E-3</v>
      </c>
      <c r="F607" s="1">
        <f t="shared" si="382"/>
        <v>6.8662231567177042E-3</v>
      </c>
      <c r="G607" s="1">
        <f t="shared" si="382"/>
        <v>7.8858986829648814E-3</v>
      </c>
      <c r="H607" s="1">
        <f t="shared" si="382"/>
        <v>9.139635917322534E-3</v>
      </c>
      <c r="I607" s="1">
        <f t="shared" si="382"/>
        <v>1.0715927951709609E-2</v>
      </c>
      <c r="J607" s="1">
        <f t="shared" si="382"/>
        <v>1.2734882288657878E-2</v>
      </c>
      <c r="K607" s="1">
        <f t="shared" si="382"/>
        <v>1.5377731338336273E-2</v>
      </c>
      <c r="L607" s="1">
        <f t="shared" si="382"/>
        <v>1.8927999757879354E-2</v>
      </c>
      <c r="M607" s="1">
        <f t="shared" si="382"/>
        <v>2.3848717909808251E-2</v>
      </c>
      <c r="N607" s="1">
        <f t="shared" si="382"/>
        <v>3.0901731284996962E-2</v>
      </c>
      <c r="O607" s="1">
        <f t="shared" si="382"/>
        <v>4.1495574069587794E-2</v>
      </c>
      <c r="P607" s="1">
        <f t="shared" si="382"/>
        <v>5.848631246458167E-2</v>
      </c>
      <c r="Q607" s="1">
        <f t="shared" si="382"/>
        <v>8.8148494147241213E-2</v>
      </c>
      <c r="R607" s="1">
        <f t="shared" si="382"/>
        <v>0.14649699212295078</v>
      </c>
      <c r="S607" s="1">
        <f t="shared" si="382"/>
        <v>0.28423641807481748</v>
      </c>
      <c r="T607" s="1">
        <f t="shared" si="382"/>
        <v>0.73176922511168419</v>
      </c>
      <c r="U607" s="1">
        <f t="shared" si="382"/>
        <v>4.0782721088189042</v>
      </c>
      <c r="V607" s="1">
        <f t="shared" si="382"/>
        <v>-12.926454240932172</v>
      </c>
      <c r="W607" s="1">
        <f t="shared" si="382"/>
        <v>4.0771259112316036</v>
      </c>
      <c r="X607" s="1">
        <f t="shared" si="382"/>
        <v>0.73118406019314475</v>
      </c>
      <c r="Y607" s="1">
        <f t="shared" si="382"/>
        <v>0.28395276544491715</v>
      </c>
      <c r="Z607" s="1">
        <f t="shared" si="382"/>
        <v>0.14634893092460569</v>
      </c>
      <c r="AA607" s="1">
        <f t="shared" si="382"/>
        <v>8.8064075925463781E-2</v>
      </c>
      <c r="AB607" s="1">
        <f t="shared" si="382"/>
        <v>5.8434389205190868E-2</v>
      </c>
      <c r="AC607" s="1">
        <f t="shared" si="382"/>
        <v>4.1452517192931304E-2</v>
      </c>
      <c r="AD607" s="1">
        <f t="shared" si="382"/>
        <v>3.0834131008435416E-2</v>
      </c>
      <c r="AE607" s="1">
        <f t="shared" si="382"/>
        <v>2.3775524981538905E-2</v>
      </c>
      <c r="AF607" s="1">
        <f t="shared" si="382"/>
        <v>1.8873926080961893E-2</v>
      </c>
      <c r="AG607" s="1">
        <f t="shared" si="382"/>
        <v>1.5336708238146852E-2</v>
      </c>
      <c r="AH607" s="1">
        <f t="shared" si="382"/>
        <v>1.2703053551909324E-2</v>
      </c>
      <c r="AI607" s="1">
        <f t="shared" si="382"/>
        <v>1.0690754373347659E-2</v>
      </c>
      <c r="AJ607" s="1">
        <f t="shared" si="382"/>
        <v>9.1193932618818738E-3</v>
      </c>
      <c r="AK607" s="1">
        <f t="shared" si="382"/>
        <v>7.8616408905927051E-3</v>
      </c>
      <c r="AL607" s="1">
        <f t="shared" si="382"/>
        <v>6.8385291639513528E-3</v>
      </c>
      <c r="AM607" s="1">
        <f t="shared" si="382"/>
        <v>6.001253665636249E-3</v>
      </c>
      <c r="AN607" s="1">
        <f t="shared" si="382"/>
        <v>5.3081868327377107E-3</v>
      </c>
      <c r="AO607" s="1">
        <f t="shared" si="382"/>
        <v>4.7281352486077772E-3</v>
      </c>
    </row>
    <row r="608" spans="2:41">
      <c r="B608" s="1">
        <f t="shared" ref="B608:AO608" si="383">(B461+B510+B559)*0.0795774715459477</f>
        <v>3.8458039814661168E-3</v>
      </c>
      <c r="C608" s="1">
        <f t="shared" si="383"/>
        <v>4.2678832912954818E-3</v>
      </c>
      <c r="D608" s="1">
        <f t="shared" si="383"/>
        <v>4.7630780254706625E-3</v>
      </c>
      <c r="E608" s="1">
        <f t="shared" si="383"/>
        <v>5.3492072446995748E-3</v>
      </c>
      <c r="F608" s="1">
        <f t="shared" si="383"/>
        <v>6.0491176108237767E-3</v>
      </c>
      <c r="G608" s="1">
        <f t="shared" si="383"/>
        <v>6.8873004290501355E-3</v>
      </c>
      <c r="H608" s="1">
        <f t="shared" si="383"/>
        <v>7.9036533017873278E-3</v>
      </c>
      <c r="I608" s="1">
        <f t="shared" si="383"/>
        <v>9.1613957959063765E-3</v>
      </c>
      <c r="J608" s="1">
        <f t="shared" si="383"/>
        <v>1.074298355972644E-2</v>
      </c>
      <c r="K608" s="1">
        <f t="shared" si="383"/>
        <v>1.2769082981971179E-2</v>
      </c>
      <c r="L608" s="1">
        <f t="shared" si="383"/>
        <v>1.5421798946676777E-2</v>
      </c>
      <c r="M608" s="1">
        <f t="shared" si="383"/>
        <v>1.8986064641774967E-2</v>
      </c>
      <c r="N608" s="1">
        <f t="shared" si="383"/>
        <v>2.3902659722363544E-2</v>
      </c>
      <c r="O608" s="1">
        <f t="shared" si="383"/>
        <v>3.0939084452153803E-2</v>
      </c>
      <c r="P608" s="1">
        <f t="shared" si="383"/>
        <v>4.1540791850321522E-2</v>
      </c>
      <c r="Q608" s="1">
        <f t="shared" si="383"/>
        <v>5.8555444686782962E-2</v>
      </c>
      <c r="R608" s="1">
        <f t="shared" si="383"/>
        <v>8.8260828220244711E-2</v>
      </c>
      <c r="S608" s="1">
        <f t="shared" si="383"/>
        <v>0.14669383251529569</v>
      </c>
      <c r="T608" s="1">
        <f t="shared" si="383"/>
        <v>0.28461291030039437</v>
      </c>
      <c r="U608" s="1">
        <f t="shared" si="383"/>
        <v>0.73254369819989273</v>
      </c>
      <c r="V608" s="1">
        <f t="shared" si="383"/>
        <v>4.0785433692296733</v>
      </c>
      <c r="W608" s="1">
        <f t="shared" si="383"/>
        <v>-12.92748841014541</v>
      </c>
      <c r="X608" s="1">
        <f t="shared" si="383"/>
        <v>4.0763554673093818</v>
      </c>
      <c r="Y608" s="1">
        <f t="shared" si="383"/>
        <v>0.73079188401141615</v>
      </c>
      <c r="Z608" s="1">
        <f t="shared" si="383"/>
        <v>0.28376305098488858</v>
      </c>
      <c r="AA608" s="1">
        <f t="shared" si="383"/>
        <v>0.14625001824201689</v>
      </c>
      <c r="AB608" s="1">
        <f t="shared" si="383"/>
        <v>8.8007717368993557E-2</v>
      </c>
      <c r="AC608" s="1">
        <f t="shared" si="383"/>
        <v>5.8385929686116222E-2</v>
      </c>
      <c r="AD608" s="1">
        <f t="shared" si="383"/>
        <v>4.1365651732732919E-2</v>
      </c>
      <c r="AE608" s="1">
        <f t="shared" si="383"/>
        <v>3.0739356581967456E-2</v>
      </c>
      <c r="AF608" s="1">
        <f t="shared" si="383"/>
        <v>2.3707737954885188E-2</v>
      </c>
      <c r="AG608" s="1">
        <f t="shared" si="383"/>
        <v>1.8823869302973837E-2</v>
      </c>
      <c r="AH608" s="1">
        <f t="shared" si="383"/>
        <v>1.5298745604431297E-2</v>
      </c>
      <c r="AI608" s="1">
        <f t="shared" si="383"/>
        <v>1.2673607053886708E-2</v>
      </c>
      <c r="AJ608" s="1">
        <f t="shared" si="383"/>
        <v>1.0667469660420759E-2</v>
      </c>
      <c r="AK608" s="1">
        <f t="shared" si="383"/>
        <v>9.0911940952902066E-3</v>
      </c>
      <c r="AL608" s="1">
        <f t="shared" si="383"/>
        <v>7.8293530223213833E-3</v>
      </c>
      <c r="AM608" s="1">
        <f t="shared" si="383"/>
        <v>6.8109744126870582E-3</v>
      </c>
      <c r="AN608" s="1">
        <f t="shared" si="383"/>
        <v>5.9782223336111795E-3</v>
      </c>
      <c r="AO608" s="1">
        <f t="shared" si="383"/>
        <v>5.2887453548863253E-3</v>
      </c>
    </row>
    <row r="609" spans="2:41">
      <c r="B609" s="1">
        <f t="shared" ref="B609:AO609" si="384">(B462+B511+B560)*0.0795774715459477</f>
        <v>3.4946555879207444E-3</v>
      </c>
      <c r="C609" s="1">
        <f t="shared" si="384"/>
        <v>3.8589965931188422E-3</v>
      </c>
      <c r="D609" s="1">
        <f t="shared" si="384"/>
        <v>4.2831343566939852E-3</v>
      </c>
      <c r="E609" s="1">
        <f t="shared" si="384"/>
        <v>4.7808360873503476E-3</v>
      </c>
      <c r="F609" s="1">
        <f t="shared" si="384"/>
        <v>5.3694443743863667E-3</v>
      </c>
      <c r="G609" s="1">
        <f t="shared" si="384"/>
        <v>6.066728267693897E-3</v>
      </c>
      <c r="H609" s="1">
        <f t="shared" si="384"/>
        <v>6.9019603365225897E-3</v>
      </c>
      <c r="I609" s="1">
        <f t="shared" si="384"/>
        <v>7.9213921965419279E-3</v>
      </c>
      <c r="J609" s="1">
        <f t="shared" si="384"/>
        <v>9.1831331518998759E-3</v>
      </c>
      <c r="K609" s="1">
        <f t="shared" si="384"/>
        <v>1.0770006135491891E-2</v>
      </c>
      <c r="L609" s="1">
        <f t="shared" si="384"/>
        <v>1.2803233893601869E-2</v>
      </c>
      <c r="M609" s="1">
        <f t="shared" si="384"/>
        <v>1.546578912543293E-2</v>
      </c>
      <c r="N609" s="1">
        <f t="shared" si="384"/>
        <v>1.9025930801719323E-2</v>
      </c>
      <c r="O609" s="1">
        <f t="shared" si="384"/>
        <v>2.3929356386086831E-2</v>
      </c>
      <c r="P609" s="1">
        <f t="shared" si="384"/>
        <v>3.0970111424623071E-2</v>
      </c>
      <c r="Q609" s="1">
        <f t="shared" si="384"/>
        <v>4.1585954174266797E-2</v>
      </c>
      <c r="R609" s="1">
        <f t="shared" si="384"/>
        <v>5.8624463722438076E-2</v>
      </c>
      <c r="S609" s="1">
        <f t="shared" si="384"/>
        <v>8.8372906419537656E-2</v>
      </c>
      <c r="T609" s="1">
        <f t="shared" si="384"/>
        <v>0.14689001641111818</v>
      </c>
      <c r="U609" s="1">
        <f t="shared" si="384"/>
        <v>0.28498745282801768</v>
      </c>
      <c r="V609" s="1">
        <f t="shared" si="384"/>
        <v>0.73266576702982344</v>
      </c>
      <c r="W609" s="1">
        <f t="shared" si="384"/>
        <v>4.0777818248580964</v>
      </c>
      <c r="X609" s="1">
        <f t="shared" si="384"/>
        <v>-12.928530828787977</v>
      </c>
      <c r="Y609" s="1">
        <f t="shared" si="384"/>
        <v>4.075579923903387</v>
      </c>
      <c r="Z609" s="1">
        <f t="shared" si="384"/>
        <v>0.7303980462103713</v>
      </c>
      <c r="AA609" s="1">
        <f t="shared" si="384"/>
        <v>0.28357284541098032</v>
      </c>
      <c r="AB609" s="1">
        <f t="shared" si="384"/>
        <v>0.14615094137362028</v>
      </c>
      <c r="AC609" s="1">
        <f t="shared" si="384"/>
        <v>8.7929077980026735E-2</v>
      </c>
      <c r="AD609" s="1">
        <f t="shared" si="384"/>
        <v>5.8253542575412008E-2</v>
      </c>
      <c r="AE609" s="1">
        <f t="shared" si="384"/>
        <v>4.1227416773790757E-2</v>
      </c>
      <c r="AF609" s="1">
        <f t="shared" si="384"/>
        <v>3.0644316700652791E-2</v>
      </c>
      <c r="AG609" s="1">
        <f t="shared" si="384"/>
        <v>2.3639802179932588E-2</v>
      </c>
      <c r="AH609" s="1">
        <f t="shared" si="384"/>
        <v>1.8773724615287056E-2</v>
      </c>
      <c r="AI609" s="1">
        <f t="shared" si="384"/>
        <v>1.5260728661012728E-2</v>
      </c>
      <c r="AJ609" s="1">
        <f t="shared" si="384"/>
        <v>1.2644125726762354E-2</v>
      </c>
      <c r="AK609" s="1">
        <f t="shared" si="384"/>
        <v>1.0632391521991484E-2</v>
      </c>
      <c r="AL609" s="1">
        <f t="shared" si="384"/>
        <v>9.0515769871010402E-3</v>
      </c>
      <c r="AM609" s="1">
        <f t="shared" si="384"/>
        <v>7.7959695772029094E-3</v>
      </c>
      <c r="AN609" s="1">
        <f t="shared" si="384"/>
        <v>6.7833846764843789E-3</v>
      </c>
      <c r="AO609" s="1">
        <f t="shared" si="384"/>
        <v>5.9551663384047552E-3</v>
      </c>
    </row>
    <row r="610" spans="2:41">
      <c r="B610" s="1">
        <f t="shared" ref="B610:AO610" si="385">(B463+B512+B561)*0.0795774715459477</f>
        <v>3.1894677708906856E-3</v>
      </c>
      <c r="C610" s="1">
        <f t="shared" si="385"/>
        <v>3.5061351798208523E-3</v>
      </c>
      <c r="D610" s="1">
        <f t="shared" si="385"/>
        <v>3.8721792253191556E-3</v>
      </c>
      <c r="E610" s="1">
        <f t="shared" si="385"/>
        <v>4.2983720593322613E-3</v>
      </c>
      <c r="F610" s="1">
        <f t="shared" si="385"/>
        <v>4.7980621009998297E-3</v>
      </c>
      <c r="G610" s="1">
        <f t="shared" si="385"/>
        <v>5.3843076154138679E-3</v>
      </c>
      <c r="H610" s="1">
        <f t="shared" si="385"/>
        <v>6.0789715307760809E-3</v>
      </c>
      <c r="I610" s="1">
        <f t="shared" si="385"/>
        <v>6.9166088011490129E-3</v>
      </c>
      <c r="J610" s="1">
        <f t="shared" si="385"/>
        <v>7.9391150472818972E-3</v>
      </c>
      <c r="K610" s="1">
        <f t="shared" si="385"/>
        <v>9.2048475426369843E-3</v>
      </c>
      <c r="L610" s="1">
        <f t="shared" si="385"/>
        <v>1.0796995054187283E-2</v>
      </c>
      <c r="M610" s="1">
        <f t="shared" si="385"/>
        <v>1.2837334122068101E-2</v>
      </c>
      <c r="N610" s="1">
        <f t="shared" si="385"/>
        <v>1.5496054198363699E-2</v>
      </c>
      <c r="O610" s="1">
        <f t="shared" si="385"/>
        <v>1.9045641686079091E-2</v>
      </c>
      <c r="P610" s="1">
        <f t="shared" si="385"/>
        <v>2.3951512902378048E-2</v>
      </c>
      <c r="Q610" s="1">
        <f t="shared" si="385"/>
        <v>3.1001108791721226E-2</v>
      </c>
      <c r="R610" s="1">
        <f t="shared" si="385"/>
        <v>4.1631060851838174E-2</v>
      </c>
      <c r="S610" s="1">
        <f t="shared" si="385"/>
        <v>5.8693369266120884E-2</v>
      </c>
      <c r="T610" s="1">
        <f t="shared" si="385"/>
        <v>8.8484728339413218E-2</v>
      </c>
      <c r="U610" s="1">
        <f t="shared" si="385"/>
        <v>0.14708554396917473</v>
      </c>
      <c r="V610" s="1">
        <f t="shared" si="385"/>
        <v>0.28504885686155801</v>
      </c>
      <c r="W610" s="1">
        <f t="shared" si="385"/>
        <v>0.73227967308377184</v>
      </c>
      <c r="X610" s="1">
        <f t="shared" si="385"/>
        <v>4.0770152511982918</v>
      </c>
      <c r="Y610" s="1">
        <f t="shared" si="385"/>
        <v>-12.929581584425462</v>
      </c>
      <c r="Z610" s="1">
        <f t="shared" si="385"/>
        <v>4.0747992379071709</v>
      </c>
      <c r="AA610" s="1">
        <f t="shared" si="385"/>
        <v>0.73000253936457049</v>
      </c>
      <c r="AB610" s="1">
        <f t="shared" si="385"/>
        <v>0.28338214791496075</v>
      </c>
      <c r="AC610" s="1">
        <f t="shared" si="385"/>
        <v>0.14601319822776776</v>
      </c>
      <c r="AD610" s="1">
        <f t="shared" si="385"/>
        <v>8.7714659945778164E-2</v>
      </c>
      <c r="AE610" s="1">
        <f t="shared" si="385"/>
        <v>5.8041620085007635E-2</v>
      </c>
      <c r="AF610" s="1">
        <f t="shared" si="385"/>
        <v>4.1088681996397626E-2</v>
      </c>
      <c r="AG610" s="1">
        <f t="shared" si="385"/>
        <v>3.054901475820529E-2</v>
      </c>
      <c r="AH610" s="1">
        <f t="shared" si="385"/>
        <v>2.357171975657462E-2</v>
      </c>
      <c r="AI610" s="1">
        <f t="shared" si="385"/>
        <v>1.8723493352685815E-2</v>
      </c>
      <c r="AJ610" s="1">
        <f t="shared" si="385"/>
        <v>1.5222658281078999E-2</v>
      </c>
      <c r="AK610" s="1">
        <f t="shared" si="385"/>
        <v>1.2599749325276839E-2</v>
      </c>
      <c r="AL610" s="1">
        <f t="shared" si="385"/>
        <v>1.0583058080407081E-2</v>
      </c>
      <c r="AM610" s="1">
        <f t="shared" si="385"/>
        <v>9.0106036680641932E-3</v>
      </c>
      <c r="AN610" s="1">
        <f t="shared" si="385"/>
        <v>7.7625378555282584E-3</v>
      </c>
      <c r="AO610" s="1">
        <f t="shared" si="385"/>
        <v>6.7557615410162898E-3</v>
      </c>
    </row>
    <row r="611" spans="2:41">
      <c r="B611" s="1">
        <f t="shared" ref="B611:AO611" si="386">(B464+B513+B562)*0.0795774715459477</f>
        <v>2.9225599642771966E-3</v>
      </c>
      <c r="C611" s="1">
        <f t="shared" si="386"/>
        <v>3.1995183470934436E-3</v>
      </c>
      <c r="D611" s="1">
        <f t="shared" si="386"/>
        <v>3.5176068427921975E-3</v>
      </c>
      <c r="E611" s="1">
        <f t="shared" si="386"/>
        <v>3.8853513587025941E-3</v>
      </c>
      <c r="F611" s="1">
        <f t="shared" si="386"/>
        <v>4.3131551896115642E-3</v>
      </c>
      <c r="G611" s="1">
        <f t="shared" si="386"/>
        <v>4.8107201476220007E-3</v>
      </c>
      <c r="H611" s="1">
        <f t="shared" si="386"/>
        <v>5.3946366263899342E-3</v>
      </c>
      <c r="I611" s="1">
        <f t="shared" si="386"/>
        <v>6.0912063068225258E-3</v>
      </c>
      <c r="J611" s="1">
        <f t="shared" si="386"/>
        <v>6.9312455883972666E-3</v>
      </c>
      <c r="K611" s="1">
        <f t="shared" si="386"/>
        <v>7.9568215355656641E-3</v>
      </c>
      <c r="L611" s="1">
        <f t="shared" si="386"/>
        <v>9.2265385279040549E-3</v>
      </c>
      <c r="M611" s="1">
        <f t="shared" si="386"/>
        <v>1.0823949695113732E-2</v>
      </c>
      <c r="N611" s="1">
        <f t="shared" si="386"/>
        <v>1.2860835384182253E-2</v>
      </c>
      <c r="O611" s="1">
        <f t="shared" si="386"/>
        <v>1.5511005380906537E-2</v>
      </c>
      <c r="P611" s="1">
        <f t="shared" si="386"/>
        <v>1.9061988705234241E-2</v>
      </c>
      <c r="Q611" s="1">
        <f t="shared" si="386"/>
        <v>2.3973652521226536E-2</v>
      </c>
      <c r="R611" s="1">
        <f t="shared" si="386"/>
        <v>3.1032076438795846E-2</v>
      </c>
      <c r="S611" s="1">
        <f t="shared" si="386"/>
        <v>4.1676111694999525E-2</v>
      </c>
      <c r="T611" s="1">
        <f t="shared" si="386"/>
        <v>5.876216101629983E-2</v>
      </c>
      <c r="U611" s="1">
        <f t="shared" si="386"/>
        <v>8.8596293584827276E-2</v>
      </c>
      <c r="V611" s="1">
        <f t="shared" si="386"/>
        <v>0.14711979009580858</v>
      </c>
      <c r="W611" s="1">
        <f t="shared" si="386"/>
        <v>0.28486193482419336</v>
      </c>
      <c r="X611" s="1">
        <f t="shared" si="386"/>
        <v>0.73189194346488318</v>
      </c>
      <c r="Y611" s="1">
        <f t="shared" si="386"/>
        <v>4.0762436057922331</v>
      </c>
      <c r="Z611" s="1">
        <f t="shared" si="386"/>
        <v>-12.930640765782226</v>
      </c>
      <c r="AA611" s="1">
        <f t="shared" si="386"/>
        <v>4.0740133657774553</v>
      </c>
      <c r="AB611" s="1">
        <f t="shared" si="386"/>
        <v>0.72960535602391807</v>
      </c>
      <c r="AC611" s="1">
        <f t="shared" si="386"/>
        <v>0.28311798944312988</v>
      </c>
      <c r="AD611" s="1">
        <f t="shared" si="386"/>
        <v>0.14563841407557501</v>
      </c>
      <c r="AE611" s="1">
        <f t="shared" si="386"/>
        <v>8.7368771659809843E-2</v>
      </c>
      <c r="AF611" s="1">
        <f t="shared" si="386"/>
        <v>5.7828674055421012E-2</v>
      </c>
      <c r="AG611" s="1">
        <f t="shared" si="386"/>
        <v>4.0949453105748795E-2</v>
      </c>
      <c r="AH611" s="1">
        <f t="shared" si="386"/>
        <v>3.0453454204559187E-2</v>
      </c>
      <c r="AI611" s="1">
        <f t="shared" si="386"/>
        <v>2.3503492810617883E-2</v>
      </c>
      <c r="AJ611" s="1">
        <f t="shared" si="386"/>
        <v>1.8673176862711093E-2</v>
      </c>
      <c r="AK611" s="1">
        <f t="shared" si="386"/>
        <v>1.5165407625948682E-2</v>
      </c>
      <c r="AL611" s="1">
        <f t="shared" si="386"/>
        <v>1.2537261210325392E-2</v>
      </c>
      <c r="AM611" s="1">
        <f t="shared" si="386"/>
        <v>1.0532017736689806E-2</v>
      </c>
      <c r="AN611" s="1">
        <f t="shared" si="386"/>
        <v>8.9695622688898604E-3</v>
      </c>
      <c r="AO611" s="1">
        <f t="shared" si="386"/>
        <v>7.7290600278517056E-3</v>
      </c>
    </row>
    <row r="612" spans="2:41">
      <c r="B612" s="1">
        <f t="shared" ref="B612:AO612" si="387">(B465+B514+B563)*0.0795774715459477</f>
        <v>2.6877907628070226E-3</v>
      </c>
      <c r="C612" s="1">
        <f t="shared" si="387"/>
        <v>2.9314090632685491E-3</v>
      </c>
      <c r="D612" s="1">
        <f t="shared" si="387"/>
        <v>3.2095625586831479E-3</v>
      </c>
      <c r="E612" s="1">
        <f t="shared" si="387"/>
        <v>3.5290701640160191E-3</v>
      </c>
      <c r="F612" s="1">
        <f t="shared" si="387"/>
        <v>3.8981320246299338E-3</v>
      </c>
      <c r="G612" s="1">
        <f t="shared" si="387"/>
        <v>4.3240230077384121E-3</v>
      </c>
      <c r="H612" s="1">
        <f t="shared" si="387"/>
        <v>4.8195134453179484E-3</v>
      </c>
      <c r="I612" s="1">
        <f t="shared" si="387"/>
        <v>5.404959235429818E-3</v>
      </c>
      <c r="J612" s="1">
        <f t="shared" si="387"/>
        <v>6.1034324208840123E-3</v>
      </c>
      <c r="K612" s="1">
        <f t="shared" si="387"/>
        <v>6.9458704647032974E-3</v>
      </c>
      <c r="L612" s="1">
        <f t="shared" si="387"/>
        <v>7.9745113444830255E-3</v>
      </c>
      <c r="M612" s="1">
        <f t="shared" si="387"/>
        <v>9.2482056699789445E-3</v>
      </c>
      <c r="N612" s="1">
        <f t="shared" si="387"/>
        <v>1.0842553463851202E-2</v>
      </c>
      <c r="O612" s="1">
        <f t="shared" si="387"/>
        <v>1.2872436708647737E-2</v>
      </c>
      <c r="P612" s="1">
        <f t="shared" si="387"/>
        <v>1.5523397373977996E-2</v>
      </c>
      <c r="Q612" s="1">
        <f t="shared" si="387"/>
        <v>1.9078325538509404E-2</v>
      </c>
      <c r="R612" s="1">
        <f t="shared" si="387"/>
        <v>2.3995775171840397E-2</v>
      </c>
      <c r="S612" s="1">
        <f t="shared" si="387"/>
        <v>3.1063014251867294E-2</v>
      </c>
      <c r="T612" s="1">
        <f t="shared" si="387"/>
        <v>4.1721106517264364E-2</v>
      </c>
      <c r="U612" s="1">
        <f t="shared" si="387"/>
        <v>5.8830838675330545E-2</v>
      </c>
      <c r="V612" s="1">
        <f t="shared" si="387"/>
        <v>8.8616974985007674E-2</v>
      </c>
      <c r="W612" s="1">
        <f t="shared" si="387"/>
        <v>0.14702214995121168</v>
      </c>
      <c r="X612" s="1">
        <f t="shared" si="387"/>
        <v>0.28467452614675265</v>
      </c>
      <c r="Y612" s="1">
        <f t="shared" si="387"/>
        <v>0.73150257082454129</v>
      </c>
      <c r="Z612" s="1">
        <f t="shared" si="387"/>
        <v>4.0754668457524863</v>
      </c>
      <c r="AA612" s="1">
        <f t="shared" si="387"/>
        <v>-12.931708462761142</v>
      </c>
      <c r="AB612" s="1">
        <f t="shared" si="387"/>
        <v>4.073222263529674</v>
      </c>
      <c r="AC612" s="1">
        <f t="shared" si="387"/>
        <v>0.72905558363283007</v>
      </c>
      <c r="AD612" s="1">
        <f t="shared" si="387"/>
        <v>0.282400326969376</v>
      </c>
      <c r="AE612" s="1">
        <f t="shared" si="387"/>
        <v>0.14502767033715866</v>
      </c>
      <c r="AF612" s="1">
        <f t="shared" si="387"/>
        <v>8.7020553221930058E-2</v>
      </c>
      <c r="AG612" s="1">
        <f t="shared" si="387"/>
        <v>5.7614714085298967E-2</v>
      </c>
      <c r="AH612" s="1">
        <f t="shared" si="387"/>
        <v>4.0809735938191573E-2</v>
      </c>
      <c r="AI612" s="1">
        <f t="shared" si="387"/>
        <v>3.0357638545489892E-2</v>
      </c>
      <c r="AJ612" s="1">
        <f t="shared" si="387"/>
        <v>2.3435123493538979E-2</v>
      </c>
      <c r="AK612" s="1">
        <f t="shared" si="387"/>
        <v>1.8597592784340151E-2</v>
      </c>
      <c r="AL612" s="1">
        <f t="shared" si="387"/>
        <v>1.5084670763041829E-2</v>
      </c>
      <c r="AM612" s="1">
        <f t="shared" si="387"/>
        <v>1.2472582793096969E-2</v>
      </c>
      <c r="AN612" s="1">
        <f t="shared" si="387"/>
        <v>1.0480878971457995E-2</v>
      </c>
      <c r="AO612" s="1">
        <f t="shared" si="387"/>
        <v>8.9284558215870589E-3</v>
      </c>
    </row>
    <row r="613" spans="2:41">
      <c r="B613" s="1">
        <f t="shared" ref="B613:AO613" si="388">(B466+B515+B564)*0.0795774715459477</f>
        <v>2.4802022401451047E-3</v>
      </c>
      <c r="C613" s="1">
        <f t="shared" si="388"/>
        <v>2.6956224036663225E-3</v>
      </c>
      <c r="D613" s="1">
        <f t="shared" si="388"/>
        <v>2.9402530051859306E-3</v>
      </c>
      <c r="E613" s="1">
        <f t="shared" si="388"/>
        <v>3.2196000742446764E-3</v>
      </c>
      <c r="F613" s="1">
        <f t="shared" si="388"/>
        <v>3.5401939404624458E-3</v>
      </c>
      <c r="G613" s="1">
        <f t="shared" si="388"/>
        <v>3.907531503053536E-3</v>
      </c>
      <c r="H613" s="1">
        <f t="shared" si="388"/>
        <v>4.3315701318133613E-3</v>
      </c>
      <c r="I613" s="1">
        <f t="shared" si="388"/>
        <v>4.8283018404318319E-3</v>
      </c>
      <c r="J613" s="1">
        <f t="shared" si="388"/>
        <v>5.4152753099662686E-3</v>
      </c>
      <c r="K613" s="1">
        <f t="shared" si="388"/>
        <v>6.1156496986501004E-3</v>
      </c>
      <c r="L613" s="1">
        <f t="shared" si="388"/>
        <v>6.9604831974878984E-3</v>
      </c>
      <c r="M613" s="1">
        <f t="shared" si="388"/>
        <v>7.9921841586818813E-3</v>
      </c>
      <c r="N613" s="1">
        <f t="shared" si="388"/>
        <v>9.2631787798672684E-3</v>
      </c>
      <c r="O613" s="1">
        <f t="shared" si="388"/>
        <v>1.0851731319564456E-2</v>
      </c>
      <c r="P613" s="1">
        <f t="shared" si="388"/>
        <v>1.2882047145459197E-2</v>
      </c>
      <c r="Q613" s="1">
        <f t="shared" si="388"/>
        <v>1.553578294229002E-2</v>
      </c>
      <c r="R613" s="1">
        <f t="shared" si="388"/>
        <v>1.9094652140904465E-2</v>
      </c>
      <c r="S613" s="1">
        <f t="shared" si="388"/>
        <v>2.4017880783745709E-2</v>
      </c>
      <c r="T613" s="1">
        <f t="shared" si="388"/>
        <v>3.1093922117630613E-2</v>
      </c>
      <c r="U613" s="1">
        <f t="shared" si="388"/>
        <v>4.1766045133696798E-2</v>
      </c>
      <c r="V613" s="1">
        <f t="shared" si="388"/>
        <v>5.8844144174675685E-2</v>
      </c>
      <c r="W613" s="1">
        <f t="shared" si="388"/>
        <v>8.8561242888534189E-2</v>
      </c>
      <c r="X613" s="1">
        <f t="shared" si="388"/>
        <v>0.14692434570673887</v>
      </c>
      <c r="Y613" s="1">
        <f t="shared" si="388"/>
        <v>0.28448662999676277</v>
      </c>
      <c r="Z613" s="1">
        <f t="shared" si="388"/>
        <v>0.73111154778908771</v>
      </c>
      <c r="AA613" s="1">
        <f t="shared" si="388"/>
        <v>4.0746849277568549</v>
      </c>
      <c r="AB613" s="1">
        <f t="shared" si="388"/>
        <v>-12.93278476646185</v>
      </c>
      <c r="AC613" s="1">
        <f t="shared" si="388"/>
        <v>4.0721146439384199</v>
      </c>
      <c r="AD613" s="1">
        <f t="shared" si="388"/>
        <v>0.72755900862728073</v>
      </c>
      <c r="AE613" s="1">
        <f t="shared" si="388"/>
        <v>0.28121568845173001</v>
      </c>
      <c r="AF613" s="1">
        <f t="shared" si="388"/>
        <v>0.14441086442147574</v>
      </c>
      <c r="AG613" s="1">
        <f t="shared" si="388"/>
        <v>8.6670019023191977E-2</v>
      </c>
      <c r="AH613" s="1">
        <f t="shared" si="388"/>
        <v>5.7399750109624351E-2</v>
      </c>
      <c r="AI613" s="1">
        <f t="shared" si="388"/>
        <v>4.0669536460789593E-2</v>
      </c>
      <c r="AJ613" s="1">
        <f t="shared" si="388"/>
        <v>3.0261571342209949E-2</v>
      </c>
      <c r="AK613" s="1">
        <f t="shared" si="388"/>
        <v>2.3332550195423723E-2</v>
      </c>
      <c r="AL613" s="1">
        <f t="shared" si="388"/>
        <v>1.8490808696642023E-2</v>
      </c>
      <c r="AM613" s="1">
        <f t="shared" si="388"/>
        <v>1.5001058059290211E-2</v>
      </c>
      <c r="AN613" s="1">
        <f t="shared" si="388"/>
        <v>1.2407757951803043E-2</v>
      </c>
      <c r="AO613" s="1">
        <f t="shared" si="388"/>
        <v>1.0429646118222188E-2</v>
      </c>
    </row>
    <row r="614" spans="2:41">
      <c r="B614" s="1">
        <f t="shared" ref="B614:AO614" si="389">(B467+B516+B565)*0.0795774715459477</f>
        <v>2.2959720866509632E-3</v>
      </c>
      <c r="C614" s="1">
        <f t="shared" si="389"/>
        <v>2.4874077250106926E-3</v>
      </c>
      <c r="D614" s="1">
        <f t="shared" si="389"/>
        <v>2.7037209017329619E-3</v>
      </c>
      <c r="E614" s="1">
        <f t="shared" si="389"/>
        <v>2.9493975964818729E-3</v>
      </c>
      <c r="F614" s="1">
        <f t="shared" si="389"/>
        <v>3.2296885046181078E-3</v>
      </c>
      <c r="G614" s="1">
        <f t="shared" si="389"/>
        <v>3.5487742501913769E-3</v>
      </c>
      <c r="H614" s="1">
        <f t="shared" si="389"/>
        <v>3.9145121644466796E-3</v>
      </c>
      <c r="I614" s="1">
        <f t="shared" si="389"/>
        <v>4.3396396725194795E-3</v>
      </c>
      <c r="J614" s="1">
        <f t="shared" si="389"/>
        <v>4.8376979393266652E-3</v>
      </c>
      <c r="K614" s="1">
        <f t="shared" si="389"/>
        <v>5.4263038475029102E-3</v>
      </c>
      <c r="L614" s="1">
        <f t="shared" si="389"/>
        <v>6.1287095084286355E-3</v>
      </c>
      <c r="M614" s="1">
        <f t="shared" si="389"/>
        <v>6.9761018880885317E-3</v>
      </c>
      <c r="N614" s="1">
        <f t="shared" si="389"/>
        <v>8.0056419338439232E-3</v>
      </c>
      <c r="O614" s="1">
        <f t="shared" si="389"/>
        <v>9.2720706589068287E-3</v>
      </c>
      <c r="P614" s="1">
        <f t="shared" si="389"/>
        <v>1.0861207037035523E-2</v>
      </c>
      <c r="Q614" s="1">
        <f t="shared" si="389"/>
        <v>1.289402515445357E-2</v>
      </c>
      <c r="R614" s="1">
        <f t="shared" si="389"/>
        <v>1.5551218306624461E-2</v>
      </c>
      <c r="S614" s="1">
        <f t="shared" si="389"/>
        <v>1.9114996493921402E-2</v>
      </c>
      <c r="T614" s="1">
        <f t="shared" si="389"/>
        <v>2.4045421802033812E-2</v>
      </c>
      <c r="U614" s="1">
        <f t="shared" si="389"/>
        <v>3.1132421117876317E-2</v>
      </c>
      <c r="V614" s="1">
        <f t="shared" si="389"/>
        <v>4.1786140277091224E-2</v>
      </c>
      <c r="W614" s="1">
        <f t="shared" si="389"/>
        <v>5.882678188353594E-2</v>
      </c>
      <c r="X614" s="1">
        <f t="shared" si="389"/>
        <v>8.8533014418543651E-2</v>
      </c>
      <c r="Y614" s="1">
        <f t="shared" si="389"/>
        <v>0.14687478799493539</v>
      </c>
      <c r="Z614" s="1">
        <f t="shared" si="389"/>
        <v>0.28439135656223524</v>
      </c>
      <c r="AA614" s="1">
        <f t="shared" si="389"/>
        <v>0.7309130339707488</v>
      </c>
      <c r="AB614" s="1">
        <f t="shared" si="389"/>
        <v>4.0742872479969163</v>
      </c>
      <c r="AC614" s="1">
        <f t="shared" si="389"/>
        <v>-12.933801958321144</v>
      </c>
      <c r="AD614" s="1">
        <f t="shared" si="389"/>
        <v>4.0694625595306322</v>
      </c>
      <c r="AE614" s="1">
        <f t="shared" si="389"/>
        <v>0.72526277238543091</v>
      </c>
      <c r="AF614" s="1">
        <f t="shared" si="389"/>
        <v>0.28011100525138422</v>
      </c>
      <c r="AG614" s="1">
        <f t="shared" si="389"/>
        <v>0.14383884016281753</v>
      </c>
      <c r="AH614" s="1">
        <f t="shared" si="389"/>
        <v>8.6345940780888114E-2</v>
      </c>
      <c r="AI614" s="1">
        <f t="shared" si="389"/>
        <v>5.7201377687610702E-2</v>
      </c>
      <c r="AJ614" s="1">
        <f t="shared" si="389"/>
        <v>4.0540309523772793E-2</v>
      </c>
      <c r="AK614" s="1">
        <f t="shared" si="389"/>
        <v>3.0125498541907509E-2</v>
      </c>
      <c r="AL614" s="1">
        <f t="shared" si="389"/>
        <v>2.319291212186177E-2</v>
      </c>
      <c r="AM614" s="1">
        <f t="shared" si="389"/>
        <v>1.8384272298899891E-2</v>
      </c>
      <c r="AN614" s="1">
        <f t="shared" si="389"/>
        <v>1.4920347309670927E-2</v>
      </c>
      <c r="AO614" s="1">
        <f t="shared" si="389"/>
        <v>1.2345215666422719E-2</v>
      </c>
    </row>
    <row r="615" spans="2:41">
      <c r="B615" s="1">
        <f t="shared" ref="B615:AO615" si="390">(B468+B517+B566)*0.0795774715459477</f>
        <v>2.1294162183421086E-3</v>
      </c>
      <c r="C615" s="1">
        <f t="shared" si="390"/>
        <v>2.3000573847089005E-3</v>
      </c>
      <c r="D615" s="1">
        <f t="shared" si="390"/>
        <v>2.4919793532264113E-3</v>
      </c>
      <c r="E615" s="1">
        <f t="shared" si="390"/>
        <v>2.7088588211300751E-3</v>
      </c>
      <c r="F615" s="1">
        <f t="shared" si="390"/>
        <v>2.954944119155888E-3</v>
      </c>
      <c r="G615" s="1">
        <f t="shared" si="390"/>
        <v>3.2334166702072554E-3</v>
      </c>
      <c r="H615" s="1">
        <f t="shared" si="390"/>
        <v>3.5505267793103632E-3</v>
      </c>
      <c r="I615" s="1">
        <f t="shared" si="390"/>
        <v>3.9165246765136925E-3</v>
      </c>
      <c r="J615" s="1">
        <f t="shared" si="390"/>
        <v>4.3419660158516152E-3</v>
      </c>
      <c r="K615" s="1">
        <f t="shared" si="390"/>
        <v>4.840406588628123E-3</v>
      </c>
      <c r="L615" s="1">
        <f t="shared" si="390"/>
        <v>5.4294829154205001E-3</v>
      </c>
      <c r="M615" s="1">
        <f t="shared" si="390"/>
        <v>6.1324738673967961E-3</v>
      </c>
      <c r="N615" s="1">
        <f t="shared" si="390"/>
        <v>6.9761233362839866E-3</v>
      </c>
      <c r="O615" s="1">
        <f t="shared" si="390"/>
        <v>7.9994611630297505E-3</v>
      </c>
      <c r="P615" s="1">
        <f t="shared" si="390"/>
        <v>9.2632238374235447E-3</v>
      </c>
      <c r="Q615" s="1">
        <f t="shared" si="390"/>
        <v>1.0850208053757845E-2</v>
      </c>
      <c r="R615" s="1">
        <f t="shared" si="390"/>
        <v>1.2880121533804557E-2</v>
      </c>
      <c r="S615" s="1">
        <f t="shared" si="390"/>
        <v>1.5533301368954228E-2</v>
      </c>
      <c r="T615" s="1">
        <f t="shared" si="390"/>
        <v>1.9091381083147767E-2</v>
      </c>
      <c r="U615" s="1">
        <f t="shared" si="390"/>
        <v>2.4013452149061285E-2</v>
      </c>
      <c r="V615" s="1">
        <f t="shared" si="390"/>
        <v>3.1063184616147165E-2</v>
      </c>
      <c r="W615" s="1">
        <f t="shared" si="390"/>
        <v>4.1653597078592147E-2</v>
      </c>
      <c r="X615" s="1">
        <f t="shared" si="390"/>
        <v>5.862400395220084E-2</v>
      </c>
      <c r="Y615" s="1">
        <f t="shared" si="390"/>
        <v>8.8202993191154377E-2</v>
      </c>
      <c r="Z615" s="1">
        <f t="shared" si="390"/>
        <v>0.1462944317964987</v>
      </c>
      <c r="AA615" s="1">
        <f t="shared" si="390"/>
        <v>0.28327234302217758</v>
      </c>
      <c r="AB615" s="1">
        <f t="shared" si="390"/>
        <v>0.72856910272326514</v>
      </c>
      <c r="AC615" s="1">
        <f t="shared" si="390"/>
        <v>4.0691657304181028</v>
      </c>
      <c r="AD615" s="1">
        <f t="shared" si="390"/>
        <v>-12.943825139128087</v>
      </c>
      <c r="AE615" s="1">
        <f t="shared" si="390"/>
        <v>4.0601470021358024</v>
      </c>
      <c r="AF615" s="1">
        <f t="shared" si="390"/>
        <v>0.72058960764314373</v>
      </c>
      <c r="AG615" s="1">
        <f t="shared" si="390"/>
        <v>0.27789441271192722</v>
      </c>
      <c r="AH615" s="1">
        <f t="shared" si="390"/>
        <v>0.14269999404094916</v>
      </c>
      <c r="AI615" s="1">
        <f t="shared" si="390"/>
        <v>8.5703548614104785E-2</v>
      </c>
      <c r="AJ615" s="1">
        <f t="shared" si="390"/>
        <v>5.6809181838859198E-2</v>
      </c>
      <c r="AK615" s="1">
        <f t="shared" si="390"/>
        <v>4.0215838936222804E-2</v>
      </c>
      <c r="AL615" s="1">
        <f t="shared" si="390"/>
        <v>2.9842967377231727E-2</v>
      </c>
      <c r="AM615" s="1">
        <f t="shared" si="390"/>
        <v>2.2986513059845289E-2</v>
      </c>
      <c r="AN615" s="1">
        <f t="shared" si="390"/>
        <v>1.8232188184306802E-2</v>
      </c>
      <c r="AO615" s="1">
        <f t="shared" si="390"/>
        <v>1.4805221599489205E-2</v>
      </c>
    </row>
    <row r="616" spans="2:41">
      <c r="B616" s="1">
        <f t="shared" ref="B616:AO616" si="391">(B469+B518+B567)*0.0795774715459477</f>
        <v>1.9797392644108065E-3</v>
      </c>
      <c r="C616" s="1">
        <f t="shared" si="391"/>
        <v>2.1324241073146202E-3</v>
      </c>
      <c r="D616" s="1">
        <f t="shared" si="391"/>
        <v>2.3034097901842663E-3</v>
      </c>
      <c r="E616" s="1">
        <f t="shared" si="391"/>
        <v>2.4957307057857582E-3</v>
      </c>
      <c r="F616" s="1">
        <f t="shared" si="391"/>
        <v>2.7128493592419771E-3</v>
      </c>
      <c r="G616" s="1">
        <f t="shared" si="391"/>
        <v>2.9571907545191474E-3</v>
      </c>
      <c r="H616" s="1">
        <f t="shared" si="391"/>
        <v>3.2337724223741007E-3</v>
      </c>
      <c r="I616" s="1">
        <f t="shared" si="391"/>
        <v>3.550932849488435E-3</v>
      </c>
      <c r="J616" s="1">
        <f t="shared" si="391"/>
        <v>3.9169909817521869E-3</v>
      </c>
      <c r="K616" s="1">
        <f t="shared" si="391"/>
        <v>4.3425050309200625E-3</v>
      </c>
      <c r="L616" s="1">
        <f t="shared" si="391"/>
        <v>4.8410341762557584E-3</v>
      </c>
      <c r="M616" s="1">
        <f t="shared" si="391"/>
        <v>5.4302194869355553E-3</v>
      </c>
      <c r="N616" s="1">
        <f t="shared" si="391"/>
        <v>6.1296061309122464E-3</v>
      </c>
      <c r="O616" s="1">
        <f t="shared" si="391"/>
        <v>6.9675548122795812E-3</v>
      </c>
      <c r="P616" s="1">
        <f t="shared" si="391"/>
        <v>7.9880515643558185E-3</v>
      </c>
      <c r="Q616" s="1">
        <f t="shared" si="391"/>
        <v>9.2492410637765345E-3</v>
      </c>
      <c r="R616" s="1">
        <f t="shared" si="391"/>
        <v>1.0832822019093706E-2</v>
      </c>
      <c r="S616" s="1">
        <f t="shared" si="391"/>
        <v>1.285814149073986E-2</v>
      </c>
      <c r="T616" s="1">
        <f t="shared" si="391"/>
        <v>1.5504972343239685E-2</v>
      </c>
      <c r="U616" s="1">
        <f t="shared" si="391"/>
        <v>1.9054034488245726E-2</v>
      </c>
      <c r="V616" s="1">
        <f t="shared" si="391"/>
        <v>2.394539029059654E-2</v>
      </c>
      <c r="W616" s="1">
        <f t="shared" si="391"/>
        <v>3.0945886294747933E-2</v>
      </c>
      <c r="X616" s="1">
        <f t="shared" si="391"/>
        <v>4.1482616718053276E-2</v>
      </c>
      <c r="Y616" s="1">
        <f t="shared" si="391"/>
        <v>5.8362065026104644E-2</v>
      </c>
      <c r="Z616" s="1">
        <f t="shared" si="391"/>
        <v>8.7775782374894432E-2</v>
      </c>
      <c r="AA616" s="1">
        <f t="shared" si="391"/>
        <v>0.14554051863651751</v>
      </c>
      <c r="AB616" s="1">
        <f t="shared" si="391"/>
        <v>0.28180964566085126</v>
      </c>
      <c r="AC616" s="1">
        <f t="shared" si="391"/>
        <v>0.72526838669782401</v>
      </c>
      <c r="AD616" s="1">
        <f t="shared" si="391"/>
        <v>4.0599848974856663</v>
      </c>
      <c r="AE616" s="1">
        <f t="shared" si="391"/>
        <v>-12.959447804547182</v>
      </c>
      <c r="AF616" s="1">
        <f t="shared" si="391"/>
        <v>4.0485035219915009</v>
      </c>
      <c r="AG616" s="1">
        <f t="shared" si="391"/>
        <v>0.71492522091328203</v>
      </c>
      <c r="AH616" s="1">
        <f t="shared" si="391"/>
        <v>0.27526227991375418</v>
      </c>
      <c r="AI616" s="1">
        <f t="shared" si="391"/>
        <v>0.14136264613636074</v>
      </c>
      <c r="AJ616" s="1">
        <f t="shared" si="391"/>
        <v>8.4953829769040978E-2</v>
      </c>
      <c r="AK616" s="1">
        <f t="shared" si="391"/>
        <v>5.6246430741702616E-2</v>
      </c>
      <c r="AL616" s="1">
        <f t="shared" si="391"/>
        <v>3.9760562881920876E-2</v>
      </c>
      <c r="AM616" s="1">
        <f t="shared" si="391"/>
        <v>2.9524565576497273E-2</v>
      </c>
      <c r="AN616" s="1">
        <f t="shared" si="391"/>
        <v>2.2759761691888394E-2</v>
      </c>
      <c r="AO616" s="1">
        <f t="shared" si="391"/>
        <v>1.8065320179656442E-2</v>
      </c>
    </row>
    <row r="617" spans="2:41">
      <c r="B617" s="1">
        <f t="shared" ref="B617:AO617" si="392">(B470+B519+B568)*0.0795774715459477</f>
        <v>1.8452880950419639E-3</v>
      </c>
      <c r="C617" s="1">
        <f t="shared" si="392"/>
        <v>1.9824475880943029E-3</v>
      </c>
      <c r="D617" s="1">
        <f t="shared" si="392"/>
        <v>2.1354313246823623E-3</v>
      </c>
      <c r="E617" s="1">
        <f t="shared" si="392"/>
        <v>2.3067613483054861E-3</v>
      </c>
      <c r="F617" s="1">
        <f t="shared" si="392"/>
        <v>2.4992806899911484E-3</v>
      </c>
      <c r="G617" s="1">
        <f t="shared" si="392"/>
        <v>2.7148399658588826E-3</v>
      </c>
      <c r="H617" s="1">
        <f t="shared" si="392"/>
        <v>2.9575041433605709E-3</v>
      </c>
      <c r="I617" s="1">
        <f t="shared" si="392"/>
        <v>3.2341281651071382E-3</v>
      </c>
      <c r="J617" s="1">
        <f t="shared" si="392"/>
        <v>3.5513389076595684E-3</v>
      </c>
      <c r="K617" s="1">
        <f t="shared" si="392"/>
        <v>3.9174572715617037E-3</v>
      </c>
      <c r="L617" s="1">
        <f t="shared" si="392"/>
        <v>4.3430440259506625E-3</v>
      </c>
      <c r="M617" s="1">
        <f t="shared" si="392"/>
        <v>4.8416617375543914E-3</v>
      </c>
      <c r="N617" s="1">
        <f t="shared" si="392"/>
        <v>5.427802515911173E-3</v>
      </c>
      <c r="O617" s="1">
        <f t="shared" si="392"/>
        <v>6.122442926125805E-3</v>
      </c>
      <c r="P617" s="1">
        <f t="shared" si="392"/>
        <v>6.9581206657131208E-3</v>
      </c>
      <c r="Q617" s="1">
        <f t="shared" si="392"/>
        <v>7.9766347747529786E-3</v>
      </c>
      <c r="R617" s="1">
        <f t="shared" si="392"/>
        <v>9.2352481520146818E-3</v>
      </c>
      <c r="S617" s="1">
        <f t="shared" si="392"/>
        <v>1.0815421341472191E-2</v>
      </c>
      <c r="T617" s="1">
        <f t="shared" si="392"/>
        <v>1.2836139702075774E-2</v>
      </c>
      <c r="U617" s="1">
        <f t="shared" si="392"/>
        <v>1.5476609965362934E-2</v>
      </c>
      <c r="V617" s="1">
        <f t="shared" si="392"/>
        <v>1.9003762637404015E-2</v>
      </c>
      <c r="W617" s="1">
        <f t="shared" si="392"/>
        <v>2.3861392198298491E-2</v>
      </c>
      <c r="X617" s="1">
        <f t="shared" si="392"/>
        <v>3.0828164887282555E-2</v>
      </c>
      <c r="Y617" s="1">
        <f t="shared" si="392"/>
        <v>4.1310844933140363E-2</v>
      </c>
      <c r="Z617" s="1">
        <f t="shared" si="392"/>
        <v>5.8098516082216251E-2</v>
      </c>
      <c r="AA617" s="1">
        <f t="shared" si="392"/>
        <v>8.7344930073561186E-2</v>
      </c>
      <c r="AB617" s="1">
        <f t="shared" si="392"/>
        <v>0.14477718776454565</v>
      </c>
      <c r="AC617" s="1">
        <f t="shared" si="392"/>
        <v>0.28022237932925192</v>
      </c>
      <c r="AD617" s="1">
        <f t="shared" si="392"/>
        <v>0.72065157592387452</v>
      </c>
      <c r="AE617" s="1">
        <f t="shared" si="392"/>
        <v>4.048288693031493</v>
      </c>
      <c r="AF617" s="1">
        <f t="shared" si="392"/>
        <v>-12.976857364598786</v>
      </c>
      <c r="AG617" s="1">
        <f t="shared" si="392"/>
        <v>4.0357839837860059</v>
      </c>
      <c r="AH617" s="1">
        <f t="shared" si="392"/>
        <v>0.70894883257545394</v>
      </c>
      <c r="AI617" s="1">
        <f t="shared" si="392"/>
        <v>0.27254689277196414</v>
      </c>
      <c r="AJ617" s="1">
        <f t="shared" si="392"/>
        <v>0.13999934711410267</v>
      </c>
      <c r="AK617" s="1">
        <f t="shared" si="392"/>
        <v>8.401895732704634E-2</v>
      </c>
      <c r="AL617" s="1">
        <f t="shared" si="392"/>
        <v>5.5537982892238699E-2</v>
      </c>
      <c r="AM617" s="1">
        <f t="shared" si="392"/>
        <v>3.9290635750751153E-2</v>
      </c>
      <c r="AN617" s="1">
        <f t="shared" si="392"/>
        <v>2.9203835257653427E-2</v>
      </c>
      <c r="AO617" s="1">
        <f t="shared" si="392"/>
        <v>2.2531757972936481E-2</v>
      </c>
    </row>
    <row r="618" spans="2:41">
      <c r="B618" s="1">
        <f t="shared" ref="B618:AO618" si="393">(B471+B520+B569)*0.0795774715459477</f>
        <v>1.7240676567379237E-3</v>
      </c>
      <c r="C618" s="1">
        <f t="shared" si="393"/>
        <v>1.8477352982295846E-3</v>
      </c>
      <c r="D618" s="1">
        <f t="shared" si="393"/>
        <v>1.9851553611322718E-3</v>
      </c>
      <c r="E618" s="1">
        <f t="shared" si="393"/>
        <v>2.138437850809386E-3</v>
      </c>
      <c r="F618" s="1">
        <f t="shared" si="393"/>
        <v>2.3099332017978819E-3</v>
      </c>
      <c r="G618" s="1">
        <f t="shared" si="393"/>
        <v>2.5010526652779514E-3</v>
      </c>
      <c r="H618" s="1">
        <f t="shared" si="393"/>
        <v>2.7151174453980647E-3</v>
      </c>
      <c r="I618" s="1">
        <f t="shared" si="393"/>
        <v>2.957817524711903E-3</v>
      </c>
      <c r="J618" s="1">
        <f t="shared" si="393"/>
        <v>3.234483898391048E-3</v>
      </c>
      <c r="K618" s="1">
        <f t="shared" si="393"/>
        <v>3.5517449538060315E-3</v>
      </c>
      <c r="L618" s="1">
        <f t="shared" si="393"/>
        <v>3.9179235459197333E-3</v>
      </c>
      <c r="M618" s="1">
        <f t="shared" si="393"/>
        <v>4.3435830009148782E-3</v>
      </c>
      <c r="N618" s="1">
        <f t="shared" si="393"/>
        <v>4.839606145773891E-3</v>
      </c>
      <c r="O618" s="1">
        <f t="shared" si="393"/>
        <v>5.4217545439432585E-3</v>
      </c>
      <c r="P618" s="1">
        <f t="shared" si="393"/>
        <v>6.1145551739769958E-3</v>
      </c>
      <c r="Q618" s="1">
        <f t="shared" si="393"/>
        <v>6.9486813715667331E-3</v>
      </c>
      <c r="R618" s="1">
        <f t="shared" si="393"/>
        <v>7.9652108788269543E-3</v>
      </c>
      <c r="S618" s="1">
        <f t="shared" si="393"/>
        <v>9.2212452192993021E-3</v>
      </c>
      <c r="T618" s="1">
        <f t="shared" si="393"/>
        <v>1.0798006186515738E-2</v>
      </c>
      <c r="U618" s="1">
        <f t="shared" si="393"/>
        <v>1.2814116407361662E-2</v>
      </c>
      <c r="V618" s="1">
        <f t="shared" si="393"/>
        <v>1.5438481055722365E-2</v>
      </c>
      <c r="W618" s="1">
        <f t="shared" si="393"/>
        <v>1.8941679291290144E-2</v>
      </c>
      <c r="X618" s="1">
        <f t="shared" si="393"/>
        <v>2.3777156062076657E-2</v>
      </c>
      <c r="Y618" s="1">
        <f t="shared" si="393"/>
        <v>3.0710026734373876E-2</v>
      </c>
      <c r="Z618" s="1">
        <f t="shared" si="393"/>
        <v>4.1138292328249504E-2</v>
      </c>
      <c r="AA618" s="1">
        <f t="shared" si="393"/>
        <v>5.7833374813416841E-2</v>
      </c>
      <c r="AB618" s="1">
        <f t="shared" si="393"/>
        <v>8.6910462294461199E-2</v>
      </c>
      <c r="AC618" s="1">
        <f t="shared" si="393"/>
        <v>0.14395565336430438</v>
      </c>
      <c r="AD618" s="1">
        <f t="shared" si="393"/>
        <v>0.2780421228382956</v>
      </c>
      <c r="AE618" s="1">
        <f t="shared" si="393"/>
        <v>0.71497668284697591</v>
      </c>
      <c r="AF618" s="1">
        <f t="shared" si="393"/>
        <v>4.0355042913314856</v>
      </c>
      <c r="AG618" s="1">
        <f t="shared" si="393"/>
        <v>-12.996335320891269</v>
      </c>
      <c r="AH618" s="1">
        <f t="shared" si="393"/>
        <v>4.0218595423845231</v>
      </c>
      <c r="AI618" s="1">
        <f t="shared" si="393"/>
        <v>0.70264364225243447</v>
      </c>
      <c r="AJ618" s="1">
        <f t="shared" si="393"/>
        <v>0.26974719326352803</v>
      </c>
      <c r="AK618" s="1">
        <f t="shared" si="393"/>
        <v>0.13829395890572929</v>
      </c>
      <c r="AL618" s="1">
        <f t="shared" si="393"/>
        <v>8.2833899513196835E-2</v>
      </c>
      <c r="AM618" s="1">
        <f t="shared" si="393"/>
        <v>5.4804304205467072E-2</v>
      </c>
      <c r="AN618" s="1">
        <f t="shared" si="393"/>
        <v>3.881633679586783E-2</v>
      </c>
      <c r="AO618" s="1">
        <f t="shared" si="393"/>
        <v>2.8880919489413029E-2</v>
      </c>
    </row>
    <row r="619" spans="2:41">
      <c r="B619" s="1">
        <f t="shared" ref="B619:AO619" si="394">(B472+B521+B570)*0.0795774715459477</f>
        <v>1.6143989637999929E-3</v>
      </c>
      <c r="C619" s="1">
        <f t="shared" si="394"/>
        <v>1.7262862169428819E-3</v>
      </c>
      <c r="D619" s="1">
        <f t="shared" si="394"/>
        <v>1.8501820475449577E-3</v>
      </c>
      <c r="E619" s="1">
        <f t="shared" si="394"/>
        <v>1.9878625670147108E-3</v>
      </c>
      <c r="F619" s="1">
        <f t="shared" si="394"/>
        <v>2.141283338818824E-3</v>
      </c>
      <c r="G619" s="1">
        <f t="shared" si="394"/>
        <v>2.3115173690316823E-3</v>
      </c>
      <c r="H619" s="1">
        <f t="shared" si="394"/>
        <v>2.5012995081837379E-3</v>
      </c>
      <c r="I619" s="1">
        <f t="shared" si="394"/>
        <v>2.7153949189419107E-3</v>
      </c>
      <c r="J619" s="1">
        <f t="shared" si="394"/>
        <v>2.9581308985612786E-3</v>
      </c>
      <c r="K619" s="1">
        <f t="shared" si="394"/>
        <v>3.2348396222120035E-3</v>
      </c>
      <c r="L619" s="1">
        <f t="shared" si="394"/>
        <v>3.5521509879088381E-3</v>
      </c>
      <c r="M619" s="1">
        <f t="shared" si="394"/>
        <v>3.9183898048031629E-3</v>
      </c>
      <c r="N619" s="1">
        <f t="shared" si="394"/>
        <v>4.3418204296886993E-3</v>
      </c>
      <c r="O619" s="1">
        <f t="shared" si="394"/>
        <v>4.8344542064037025E-3</v>
      </c>
      <c r="P619" s="1">
        <f t="shared" si="394"/>
        <v>5.415094125131901E-3</v>
      </c>
      <c r="Q619" s="1">
        <f t="shared" si="394"/>
        <v>6.1066636691415113E-3</v>
      </c>
      <c r="R619" s="1">
        <f t="shared" si="394"/>
        <v>6.939236992261278E-3</v>
      </c>
      <c r="S619" s="1">
        <f t="shared" si="394"/>
        <v>7.9537799614611306E-3</v>
      </c>
      <c r="T619" s="1">
        <f t="shared" si="394"/>
        <v>9.2072323832340392E-3</v>
      </c>
      <c r="U619" s="1">
        <f t="shared" si="394"/>
        <v>1.0780576720582002E-2</v>
      </c>
      <c r="V619" s="1">
        <f t="shared" si="394"/>
        <v>1.2784541261820274E-2</v>
      </c>
      <c r="W619" s="1">
        <f t="shared" si="394"/>
        <v>1.5391365236407991E-2</v>
      </c>
      <c r="X619" s="1">
        <f t="shared" si="394"/>
        <v>1.8879454745559153E-2</v>
      </c>
      <c r="Y619" s="1">
        <f t="shared" si="394"/>
        <v>2.3692685834981637E-2</v>
      </c>
      <c r="Z619" s="1">
        <f t="shared" si="394"/>
        <v>3.0591478313650802E-2</v>
      </c>
      <c r="AA619" s="1">
        <f t="shared" si="394"/>
        <v>4.0964969825082444E-2</v>
      </c>
      <c r="AB619" s="1">
        <f t="shared" si="394"/>
        <v>5.756665972058652E-2</v>
      </c>
      <c r="AC619" s="1">
        <f t="shared" si="394"/>
        <v>8.6445174067817251E-2</v>
      </c>
      <c r="AD619" s="1">
        <f t="shared" si="394"/>
        <v>0.14284018765767043</v>
      </c>
      <c r="AE619" s="1">
        <f t="shared" si="394"/>
        <v>0.2754112613829181</v>
      </c>
      <c r="AF619" s="1">
        <f t="shared" si="394"/>
        <v>0.70898797232424049</v>
      </c>
      <c r="AG619" s="1">
        <f t="shared" si="394"/>
        <v>4.0215000200289861</v>
      </c>
      <c r="AH619" s="1">
        <f t="shared" si="394"/>
        <v>-13.018220502340386</v>
      </c>
      <c r="AI619" s="1">
        <f t="shared" si="394"/>
        <v>4.0065826893384919</v>
      </c>
      <c r="AJ619" s="1">
        <f t="shared" si="394"/>
        <v>0.69599250004788749</v>
      </c>
      <c r="AK619" s="1">
        <f t="shared" si="394"/>
        <v>0.26621716123699229</v>
      </c>
      <c r="AL619" s="1">
        <f t="shared" si="394"/>
        <v>0.1361083953343151</v>
      </c>
      <c r="AM619" s="1">
        <f t="shared" si="394"/>
        <v>8.1600181744437575E-2</v>
      </c>
      <c r="AN619" s="1">
        <f t="shared" si="394"/>
        <v>5.4061600167571826E-2</v>
      </c>
      <c r="AO619" s="1">
        <f t="shared" si="394"/>
        <v>3.8337928582085561E-2</v>
      </c>
    </row>
    <row r="620" spans="2:41">
      <c r="B620" s="1">
        <f t="shared" ref="B620:AO620" si="395">(B473+B522+B571)*0.0795774715459477</f>
        <v>1.5148609121948616E-3</v>
      </c>
      <c r="C620" s="1">
        <f t="shared" si="395"/>
        <v>1.616416467846087E-3</v>
      </c>
      <c r="D620" s="1">
        <f t="shared" si="395"/>
        <v>1.7285044012072042E-3</v>
      </c>
      <c r="E620" s="1">
        <f t="shared" si="395"/>
        <v>1.8526283290280457E-3</v>
      </c>
      <c r="F620" s="1">
        <f t="shared" si="395"/>
        <v>1.9904249046471009E-3</v>
      </c>
      <c r="G620" s="1">
        <f t="shared" si="395"/>
        <v>2.1427052842708698E-3</v>
      </c>
      <c r="H620" s="1">
        <f t="shared" si="395"/>
        <v>2.3117379164171834E-3</v>
      </c>
      <c r="I620" s="1">
        <f t="shared" si="395"/>
        <v>2.5015463462553732E-3</v>
      </c>
      <c r="J620" s="1">
        <f t="shared" si="395"/>
        <v>2.715672386481364E-3</v>
      </c>
      <c r="K620" s="1">
        <f t="shared" si="395"/>
        <v>2.9584442648970086E-3</v>
      </c>
      <c r="L620" s="1">
        <f t="shared" si="395"/>
        <v>3.2351953365543583E-3</v>
      </c>
      <c r="M620" s="1">
        <f t="shared" si="395"/>
        <v>3.5525570099508757E-3</v>
      </c>
      <c r="N620" s="1">
        <f t="shared" si="395"/>
        <v>3.9168672742668992E-3</v>
      </c>
      <c r="O620" s="1">
        <f t="shared" si="395"/>
        <v>4.3373964658281368E-3</v>
      </c>
      <c r="P620" s="1">
        <f t="shared" si="395"/>
        <v>4.8287799989965166E-3</v>
      </c>
      <c r="Q620" s="1">
        <f t="shared" si="395"/>
        <v>5.4084309258013641E-3</v>
      </c>
      <c r="R620" s="1">
        <f t="shared" si="395"/>
        <v>6.0987684584165314E-3</v>
      </c>
      <c r="S620" s="1">
        <f t="shared" si="395"/>
        <v>6.929787590391874E-3</v>
      </c>
      <c r="T620" s="1">
        <f t="shared" si="395"/>
        <v>7.9423421078114332E-3</v>
      </c>
      <c r="U620" s="1">
        <f t="shared" si="395"/>
        <v>9.193209761862298E-3</v>
      </c>
      <c r="V620" s="1">
        <f t="shared" si="395"/>
        <v>1.0757191851807969E-2</v>
      </c>
      <c r="W620" s="1">
        <f t="shared" si="395"/>
        <v>1.2747975245333167E-2</v>
      </c>
      <c r="X620" s="1">
        <f t="shared" si="395"/>
        <v>1.5344161887079965E-2</v>
      </c>
      <c r="Y620" s="1">
        <f t="shared" si="395"/>
        <v>1.8817091525811663E-2</v>
      </c>
      <c r="Z620" s="1">
        <f t="shared" si="395"/>
        <v>2.3607985533604617E-2</v>
      </c>
      <c r="AA620" s="1">
        <f t="shared" si="395"/>
        <v>3.0472526238741429E-2</v>
      </c>
      <c r="AB620" s="1">
        <f t="shared" si="395"/>
        <v>4.0790888661643016E-2</v>
      </c>
      <c r="AC620" s="1">
        <f t="shared" si="395"/>
        <v>5.7281914211421751E-2</v>
      </c>
      <c r="AD620" s="1">
        <f t="shared" si="395"/>
        <v>8.5817969766104493E-2</v>
      </c>
      <c r="AE620" s="1">
        <f t="shared" si="395"/>
        <v>0.14150466803797698</v>
      </c>
      <c r="AF620" s="1">
        <f t="shared" si="395"/>
        <v>0.27269698912465634</v>
      </c>
      <c r="AG620" s="1">
        <f t="shared" si="395"/>
        <v>0.70266846117609394</v>
      </c>
      <c r="AH620" s="1">
        <f t="shared" si="395"/>
        <v>4.0061248465962898</v>
      </c>
      <c r="AI620" s="1">
        <f t="shared" si="395"/>
        <v>-13.042923571929599</v>
      </c>
      <c r="AJ620" s="1">
        <f t="shared" si="395"/>
        <v>3.9897841395759905</v>
      </c>
      <c r="AK620" s="1">
        <f t="shared" si="395"/>
        <v>0.68742985571247905</v>
      </c>
      <c r="AL620" s="1">
        <f t="shared" si="395"/>
        <v>0.26160651705235177</v>
      </c>
      <c r="AM620" s="1">
        <f t="shared" si="395"/>
        <v>0.13381250503406358</v>
      </c>
      <c r="AN620" s="1">
        <f t="shared" si="395"/>
        <v>8.0345327113330547E-2</v>
      </c>
      <c r="AO620" s="1">
        <f t="shared" si="395"/>
        <v>5.3310386998049041E-2</v>
      </c>
    </row>
    <row r="621" spans="2:41">
      <c r="B621" s="1">
        <f t="shared" ref="B621:AO621" si="396">(B474+B523+B572)*0.0795774715459477</f>
        <v>1.4242442076399871E-3</v>
      </c>
      <c r="C621" s="1">
        <f t="shared" si="396"/>
        <v>1.5167009130885203E-3</v>
      </c>
      <c r="D621" s="1">
        <f t="shared" si="396"/>
        <v>1.6184336590921557E-3</v>
      </c>
      <c r="E621" s="1">
        <f t="shared" si="396"/>
        <v>1.7307221976621918E-3</v>
      </c>
      <c r="F621" s="1">
        <f t="shared" si="396"/>
        <v>1.8549438190585074E-3</v>
      </c>
      <c r="G621" s="1">
        <f t="shared" si="396"/>
        <v>1.9917060083862671E-3</v>
      </c>
      <c r="H621" s="1">
        <f t="shared" si="396"/>
        <v>2.1429031360822681E-3</v>
      </c>
      <c r="I621" s="1">
        <f t="shared" si="396"/>
        <v>2.3119584598775976E-3</v>
      </c>
      <c r="J621" s="1">
        <f t="shared" si="396"/>
        <v>2.5017931794847907E-3</v>
      </c>
      <c r="K621" s="1">
        <f t="shared" si="396"/>
        <v>2.7159498480062911E-3</v>
      </c>
      <c r="L621" s="1">
        <f t="shared" si="396"/>
        <v>2.958757623706937E-3</v>
      </c>
      <c r="M621" s="1">
        <f t="shared" si="396"/>
        <v>3.2355510414042682E-3</v>
      </c>
      <c r="N621" s="1">
        <f t="shared" si="396"/>
        <v>3.551232959132821E-3</v>
      </c>
      <c r="O621" s="1">
        <f t="shared" si="396"/>
        <v>3.9130407380642733E-3</v>
      </c>
      <c r="P621" s="1">
        <f t="shared" si="396"/>
        <v>4.3325235851518415E-3</v>
      </c>
      <c r="Q621" s="1">
        <f t="shared" si="396"/>
        <v>4.8231037012887905E-3</v>
      </c>
      <c r="R621" s="1">
        <f t="shared" si="396"/>
        <v>5.4017649815517729E-3</v>
      </c>
      <c r="S621" s="1">
        <f t="shared" si="396"/>
        <v>6.090869588711933E-3</v>
      </c>
      <c r="T621" s="1">
        <f t="shared" si="396"/>
        <v>6.9203332287278456E-3</v>
      </c>
      <c r="U621" s="1">
        <f t="shared" si="396"/>
        <v>7.9308974033048887E-3</v>
      </c>
      <c r="V621" s="1">
        <f t="shared" si="396"/>
        <v>9.174410357872996E-3</v>
      </c>
      <c r="W621" s="1">
        <f t="shared" si="396"/>
        <v>1.0728264981231495E-2</v>
      </c>
      <c r="X621" s="1">
        <f t="shared" si="396"/>
        <v>1.271135291184166E-2</v>
      </c>
      <c r="Y621" s="1">
        <f t="shared" si="396"/>
        <v>1.5296872666011367E-2</v>
      </c>
      <c r="Z621" s="1">
        <f t="shared" si="396"/>
        <v>1.8754592189085421E-2</v>
      </c>
      <c r="AA621" s="1">
        <f t="shared" si="396"/>
        <v>2.3523059237388927E-2</v>
      </c>
      <c r="AB621" s="1">
        <f t="shared" si="396"/>
        <v>3.0353177258177638E-2</v>
      </c>
      <c r="AC621" s="1">
        <f t="shared" si="396"/>
        <v>4.0605425369020703E-2</v>
      </c>
      <c r="AD621" s="1">
        <f t="shared" si="396"/>
        <v>5.6899893720237085E-2</v>
      </c>
      <c r="AE621" s="1">
        <f t="shared" si="396"/>
        <v>8.5069443535209066E-2</v>
      </c>
      <c r="AF621" s="1">
        <f t="shared" si="396"/>
        <v>0.14014315510453693</v>
      </c>
      <c r="AG621" s="1">
        <f t="shared" si="396"/>
        <v>0.26989824113866023</v>
      </c>
      <c r="AH621" s="1">
        <f t="shared" si="396"/>
        <v>0.69600081367487143</v>
      </c>
      <c r="AI621" s="1">
        <f t="shared" si="396"/>
        <v>3.9892050838796504</v>
      </c>
      <c r="AJ621" s="1">
        <f t="shared" si="396"/>
        <v>-13.070945974887982</v>
      </c>
      <c r="AK621" s="1">
        <f t="shared" si="396"/>
        <v>3.9670044462152303</v>
      </c>
      <c r="AL621" s="1">
        <f t="shared" si="396"/>
        <v>0.67583653142255229</v>
      </c>
      <c r="AM621" s="1">
        <f t="shared" si="396"/>
        <v>0.25667881587344127</v>
      </c>
      <c r="AN621" s="1">
        <f t="shared" si="396"/>
        <v>0.13145770991435229</v>
      </c>
      <c r="AO621" s="1">
        <f t="shared" si="396"/>
        <v>7.9070425421321269E-2</v>
      </c>
    </row>
    <row r="622" spans="2:41">
      <c r="B622" s="1">
        <f t="shared" ref="B622:AO622" si="397">(B475+B524+B573)*0.0795774715459477</f>
        <v>1.3414899805328491E-3</v>
      </c>
      <c r="C622" s="1">
        <f t="shared" si="397"/>
        <v>1.4259000511212976E-3</v>
      </c>
      <c r="D622" s="1">
        <f t="shared" si="397"/>
        <v>1.5185112858283982E-3</v>
      </c>
      <c r="E622" s="1">
        <f t="shared" si="397"/>
        <v>1.6204183334709481E-3</v>
      </c>
      <c r="F622" s="1">
        <f t="shared" si="397"/>
        <v>1.732786119363067E-3</v>
      </c>
      <c r="G622" s="1">
        <f t="shared" si="397"/>
        <v>1.8560630202772948E-3</v>
      </c>
      <c r="H622" s="1">
        <f t="shared" si="397"/>
        <v>1.9918409717643148E-3</v>
      </c>
      <c r="I622" s="1">
        <f t="shared" si="397"/>
        <v>2.1430530130634499E-3</v>
      </c>
      <c r="J622" s="1">
        <f t="shared" si="397"/>
        <v>2.3121255260312936E-3</v>
      </c>
      <c r="K622" s="1">
        <f t="shared" si="397"/>
        <v>2.5019801603730313E-3</v>
      </c>
      <c r="L622" s="1">
        <f t="shared" si="397"/>
        <v>2.7161600300330858E-3</v>
      </c>
      <c r="M622" s="1">
        <f t="shared" si="397"/>
        <v>2.9589949980752769E-3</v>
      </c>
      <c r="N622" s="1">
        <f t="shared" si="397"/>
        <v>3.2343062516788697E-3</v>
      </c>
      <c r="O622" s="1">
        <f t="shared" si="397"/>
        <v>3.5478027453673725E-3</v>
      </c>
      <c r="P622" s="1">
        <f t="shared" si="397"/>
        <v>3.9087124214211167E-3</v>
      </c>
      <c r="Q622" s="1">
        <f t="shared" si="397"/>
        <v>4.3275182888901035E-3</v>
      </c>
      <c r="R622" s="1">
        <f t="shared" si="397"/>
        <v>4.8172729391824176E-3</v>
      </c>
      <c r="S622" s="1">
        <f t="shared" si="397"/>
        <v>5.3949173441218455E-3</v>
      </c>
      <c r="T622" s="1">
        <f t="shared" si="397"/>
        <v>6.0827550021837172E-3</v>
      </c>
      <c r="U622" s="1">
        <f t="shared" si="397"/>
        <v>6.9106200731692598E-3</v>
      </c>
      <c r="V622" s="1">
        <f t="shared" si="397"/>
        <v>7.9152568710998076E-3</v>
      </c>
      <c r="W622" s="1">
        <f t="shared" si="397"/>
        <v>9.1507680371562452E-3</v>
      </c>
      <c r="X622" s="1">
        <f t="shared" si="397"/>
        <v>1.0698831089428446E-2</v>
      </c>
      <c r="Y622" s="1">
        <f t="shared" si="397"/>
        <v>1.2674080637086773E-2</v>
      </c>
      <c r="Z622" s="1">
        <f t="shared" si="397"/>
        <v>1.524873096203473E-2</v>
      </c>
      <c r="AA622" s="1">
        <f t="shared" si="397"/>
        <v>1.8690943384286045E-2</v>
      </c>
      <c r="AB622" s="1">
        <f t="shared" si="397"/>
        <v>2.3436529610161669E-2</v>
      </c>
      <c r="AC622" s="1">
        <f t="shared" si="397"/>
        <v>3.0224265788729672E-2</v>
      </c>
      <c r="AD622" s="1">
        <f t="shared" si="397"/>
        <v>4.0354558194704557E-2</v>
      </c>
      <c r="AE622" s="1">
        <f t="shared" si="397"/>
        <v>5.6440118412327038E-2</v>
      </c>
      <c r="AF622" s="1">
        <f t="shared" si="397"/>
        <v>8.4303904174972674E-2</v>
      </c>
      <c r="AG622" s="1">
        <f t="shared" si="397"/>
        <v>0.13874228842999531</v>
      </c>
      <c r="AH622" s="1">
        <f t="shared" si="397"/>
        <v>0.26698577111968042</v>
      </c>
      <c r="AI622" s="1">
        <f t="shared" si="397"/>
        <v>0.68889741965563145</v>
      </c>
      <c r="AJ622" s="1">
        <f t="shared" si="397"/>
        <v>3.9703501792871299</v>
      </c>
      <c r="AK622" s="1">
        <f t="shared" si="397"/>
        <v>-13.112154654067393</v>
      </c>
      <c r="AL622" s="1">
        <f t="shared" si="397"/>
        <v>3.933953467687386</v>
      </c>
      <c r="AM622" s="1">
        <f t="shared" si="397"/>
        <v>0.6628897490318969</v>
      </c>
      <c r="AN622" s="1">
        <f t="shared" si="397"/>
        <v>0.25150822473832857</v>
      </c>
      <c r="AO622" s="1">
        <f t="shared" si="397"/>
        <v>0.12903128508348982</v>
      </c>
    </row>
    <row r="623" spans="2:41">
      <c r="B623" s="1">
        <f t="shared" ref="B623:AO623" si="398">(B476+B525+B574)*0.0795774715459477</f>
        <v>1.2655526960301173E-3</v>
      </c>
      <c r="C623" s="1">
        <f t="shared" si="398"/>
        <v>1.3428064384277941E-3</v>
      </c>
      <c r="D623" s="1">
        <f t="shared" si="398"/>
        <v>1.4273356837794188E-3</v>
      </c>
      <c r="E623" s="1">
        <f t="shared" si="398"/>
        <v>1.5200808730804493E-3</v>
      </c>
      <c r="F623" s="1">
        <f t="shared" si="398"/>
        <v>1.6220316751902615E-3</v>
      </c>
      <c r="G623" s="1">
        <f t="shared" si="398"/>
        <v>1.7335113890083059E-3</v>
      </c>
      <c r="H623" s="1">
        <f t="shared" si="398"/>
        <v>1.8558652119432222E-3</v>
      </c>
      <c r="I623" s="1">
        <f t="shared" si="398"/>
        <v>1.9916220757227954E-3</v>
      </c>
      <c r="J623" s="1">
        <f t="shared" si="398"/>
        <v>2.142809928683554E-3</v>
      </c>
      <c r="K623" s="1">
        <f t="shared" si="398"/>
        <v>2.3118545625548381E-3</v>
      </c>
      <c r="L623" s="1">
        <f t="shared" si="398"/>
        <v>2.5016768971916539E-3</v>
      </c>
      <c r="M623" s="1">
        <f t="shared" si="398"/>
        <v>2.7158191368984691E-3</v>
      </c>
      <c r="N623" s="1">
        <f t="shared" si="398"/>
        <v>2.9572771445747596E-3</v>
      </c>
      <c r="O623" s="1">
        <f t="shared" si="398"/>
        <v>3.230594749865737E-3</v>
      </c>
      <c r="P623" s="1">
        <f t="shared" si="398"/>
        <v>3.5432268557386232E-3</v>
      </c>
      <c r="Q623" s="1">
        <f t="shared" si="398"/>
        <v>3.9034558250923691E-3</v>
      </c>
      <c r="R623" s="1">
        <f t="shared" si="398"/>
        <v>4.3214393084844878E-3</v>
      </c>
      <c r="S623" s="1">
        <f t="shared" si="398"/>
        <v>4.8101911314133742E-3</v>
      </c>
      <c r="T623" s="1">
        <f t="shared" si="398"/>
        <v>5.3866000799285925E-3</v>
      </c>
      <c r="U623" s="1">
        <f t="shared" si="398"/>
        <v>6.0728983172575919E-3</v>
      </c>
      <c r="V623" s="1">
        <f t="shared" si="398"/>
        <v>6.8956187515861926E-3</v>
      </c>
      <c r="W623" s="1">
        <f t="shared" si="398"/>
        <v>7.8934446952304005E-3</v>
      </c>
      <c r="X623" s="1">
        <f t="shared" si="398"/>
        <v>9.1240060425460713E-3</v>
      </c>
      <c r="Y623" s="1">
        <f t="shared" si="398"/>
        <v>1.0665507288273274E-2</v>
      </c>
      <c r="Z623" s="1">
        <f t="shared" si="398"/>
        <v>1.2631873002482447E-2</v>
      </c>
      <c r="AA623" s="1">
        <f t="shared" si="398"/>
        <v>1.5194198900862996E-2</v>
      </c>
      <c r="AB623" s="1">
        <f t="shared" si="398"/>
        <v>1.8618818680846944E-2</v>
      </c>
      <c r="AC623" s="1">
        <f t="shared" si="398"/>
        <v>2.3333303579311123E-2</v>
      </c>
      <c r="AD623" s="1">
        <f t="shared" si="398"/>
        <v>3.0036918225000354E-2</v>
      </c>
      <c r="AE623" s="1">
        <f t="shared" si="398"/>
        <v>4.0032611125916336E-2</v>
      </c>
      <c r="AF623" s="1">
        <f t="shared" si="398"/>
        <v>5.5939495902894557E-2</v>
      </c>
      <c r="AG623" s="1">
        <f t="shared" si="398"/>
        <v>8.3467370545777908E-2</v>
      </c>
      <c r="AH623" s="1">
        <f t="shared" si="398"/>
        <v>0.13720207757592975</v>
      </c>
      <c r="AI623" s="1">
        <f t="shared" si="398"/>
        <v>0.26374588499875862</v>
      </c>
      <c r="AJ623" s="1">
        <f t="shared" si="398"/>
        <v>0.68079632109520649</v>
      </c>
      <c r="AK623" s="1">
        <f t="shared" si="398"/>
        <v>3.9411514315225</v>
      </c>
      <c r="AL623" s="1">
        <f t="shared" si="398"/>
        <v>-13.176999065749893</v>
      </c>
      <c r="AM623" s="1">
        <f t="shared" si="398"/>
        <v>3.8920108860449787</v>
      </c>
      <c r="AN623" s="1">
        <f t="shared" si="398"/>
        <v>0.64812729751245535</v>
      </c>
      <c r="AO623" s="1">
        <f t="shared" si="398"/>
        <v>0.24585128697427375</v>
      </c>
    </row>
    <row r="624" spans="2:41">
      <c r="B624" s="1">
        <f t="shared" ref="B624:AO624" si="399">(B477+B526+B575)*0.0795774715459477</f>
        <v>1.1959178501034925E-3</v>
      </c>
      <c r="C624" s="1">
        <f t="shared" si="399"/>
        <v>1.2668044975880162E-3</v>
      </c>
      <c r="D624" s="1">
        <f t="shared" si="399"/>
        <v>1.3441682643061705E-3</v>
      </c>
      <c r="E624" s="1">
        <f t="shared" si="399"/>
        <v>1.4288207719518405E-3</v>
      </c>
      <c r="F624" s="1">
        <f t="shared" si="399"/>
        <v>1.5216066535782623E-3</v>
      </c>
      <c r="G624" s="1">
        <f t="shared" si="399"/>
        <v>1.6227511586507024E-3</v>
      </c>
      <c r="H624" s="1">
        <f t="shared" si="399"/>
        <v>1.7333974433027129E-3</v>
      </c>
      <c r="I624" s="1">
        <f t="shared" si="399"/>
        <v>1.8557395324928026E-3</v>
      </c>
      <c r="J624" s="1">
        <f t="shared" si="399"/>
        <v>1.9914829978124977E-3</v>
      </c>
      <c r="K624" s="1">
        <f t="shared" si="399"/>
        <v>2.1426554822331751E-3</v>
      </c>
      <c r="L624" s="1">
        <f t="shared" si="399"/>
        <v>2.3116824025212236E-3</v>
      </c>
      <c r="M624" s="1">
        <f t="shared" si="399"/>
        <v>2.501484214783435E-3</v>
      </c>
      <c r="N624" s="1">
        <f t="shared" si="399"/>
        <v>2.7144233031018111E-3</v>
      </c>
      <c r="O624" s="1">
        <f t="shared" si="399"/>
        <v>2.9541481431022121E-3</v>
      </c>
      <c r="P624" s="1">
        <f t="shared" si="399"/>
        <v>3.2267453743445892E-3</v>
      </c>
      <c r="Q624" s="1">
        <f t="shared" si="399"/>
        <v>3.5388315693355905E-3</v>
      </c>
      <c r="R624" s="1">
        <f t="shared" si="399"/>
        <v>3.89840653486124E-3</v>
      </c>
      <c r="S624" s="1">
        <f t="shared" si="399"/>
        <v>4.3155998483132797E-3</v>
      </c>
      <c r="T624" s="1">
        <f t="shared" si="399"/>
        <v>4.8033880605810146E-3</v>
      </c>
      <c r="U624" s="1">
        <f t="shared" si="399"/>
        <v>5.3786097720879122E-3</v>
      </c>
      <c r="V624" s="1">
        <f t="shared" si="399"/>
        <v>6.0607569352804317E-3</v>
      </c>
      <c r="W624" s="1">
        <f t="shared" si="399"/>
        <v>6.8780623867267408E-3</v>
      </c>
      <c r="X624" s="1">
        <f t="shared" si="399"/>
        <v>7.8721783470562124E-3</v>
      </c>
      <c r="Y624" s="1">
        <f t="shared" si="399"/>
        <v>9.0979098327409851E-3</v>
      </c>
      <c r="Z624" s="1">
        <f t="shared" si="399"/>
        <v>1.0633006517554999E-2</v>
      </c>
      <c r="AA624" s="1">
        <f t="shared" si="399"/>
        <v>1.2590698291713645E-2</v>
      </c>
      <c r="AB624" s="1">
        <f t="shared" si="399"/>
        <v>1.5140985677078701E-2</v>
      </c>
      <c r="AC624" s="1">
        <f t="shared" si="399"/>
        <v>1.854465441294012E-2</v>
      </c>
      <c r="AD624" s="1">
        <f t="shared" si="399"/>
        <v>2.3202532780284155E-2</v>
      </c>
      <c r="AE624" s="1">
        <f t="shared" si="399"/>
        <v>2.9820583587102097E-2</v>
      </c>
      <c r="AF624" s="1">
        <f t="shared" si="399"/>
        <v>3.9713720906793308E-2</v>
      </c>
      <c r="AG624" s="1">
        <f t="shared" si="399"/>
        <v>5.5442518469622268E-2</v>
      </c>
      <c r="AH624" s="1">
        <f t="shared" si="399"/>
        <v>8.2633969978904889E-2</v>
      </c>
      <c r="AI624" s="1">
        <f t="shared" si="399"/>
        <v>0.13565816623624552</v>
      </c>
      <c r="AJ624" s="1">
        <f t="shared" si="399"/>
        <v>0.26045943161162971</v>
      </c>
      <c r="AK624" s="1">
        <f t="shared" si="399"/>
        <v>0.66994653297678086</v>
      </c>
      <c r="AL624" s="1">
        <f t="shared" si="399"/>
        <v>3.9012390929578387</v>
      </c>
      <c r="AM624" s="1">
        <f t="shared" si="399"/>
        <v>-13.260527532037104</v>
      </c>
      <c r="AN624" s="1">
        <f t="shared" si="399"/>
        <v>3.8424605808495782</v>
      </c>
      <c r="AO624" s="1">
        <f t="shared" si="399"/>
        <v>0.63229076671452156</v>
      </c>
    </row>
    <row r="625" spans="1:47">
      <c r="B625" s="1">
        <f t="shared" ref="B625:AO625" si="400">(B478+B527+B576)*0.0795774715459477</f>
        <v>1.1318711348072016E-3</v>
      </c>
      <c r="C625" s="1">
        <f t="shared" si="400"/>
        <v>1.1970710411708142E-3</v>
      </c>
      <c r="D625" s="1">
        <f t="shared" si="400"/>
        <v>1.2680561789519677E-3</v>
      </c>
      <c r="E625" s="1">
        <f t="shared" si="400"/>
        <v>1.3455299427482118E-3</v>
      </c>
      <c r="F625" s="1">
        <f t="shared" si="400"/>
        <v>1.4302162249746565E-3</v>
      </c>
      <c r="G625" s="1">
        <f t="shared" si="400"/>
        <v>1.5222632337331499E-3</v>
      </c>
      <c r="H625" s="1">
        <f t="shared" si="400"/>
        <v>1.6226475314252496E-3</v>
      </c>
      <c r="I625" s="1">
        <f t="shared" si="400"/>
        <v>1.7332834965037248E-3</v>
      </c>
      <c r="J625" s="1">
        <f t="shared" si="400"/>
        <v>1.8556138517232923E-3</v>
      </c>
      <c r="K625" s="1">
        <f t="shared" si="400"/>
        <v>1.9913439183022927E-3</v>
      </c>
      <c r="L625" s="1">
        <f t="shared" si="400"/>
        <v>2.1425010338329662E-3</v>
      </c>
      <c r="M625" s="1">
        <f t="shared" si="400"/>
        <v>2.311510240096671E-3</v>
      </c>
      <c r="N625" s="1">
        <f t="shared" si="400"/>
        <v>2.500243225871549E-3</v>
      </c>
      <c r="O625" s="1">
        <f t="shared" si="400"/>
        <v>2.7116529558939787E-3</v>
      </c>
      <c r="P625" s="1">
        <f t="shared" si="400"/>
        <v>2.9507571373072242E-3</v>
      </c>
      <c r="Q625" s="1">
        <f t="shared" si="400"/>
        <v>3.2228949291222926E-3</v>
      </c>
      <c r="R625" s="1">
        <f t="shared" si="400"/>
        <v>3.5344349419608929E-3</v>
      </c>
      <c r="S625" s="1">
        <f t="shared" si="400"/>
        <v>3.8933555464519408E-3</v>
      </c>
      <c r="T625" s="1">
        <f t="shared" si="400"/>
        <v>4.309758213559659E-3</v>
      </c>
      <c r="U625" s="1">
        <f t="shared" si="400"/>
        <v>4.7965821708230412E-3</v>
      </c>
      <c r="V625" s="1">
        <f t="shared" si="400"/>
        <v>5.368364057756733E-3</v>
      </c>
      <c r="W625" s="1">
        <f t="shared" si="400"/>
        <v>6.046085011251816E-3</v>
      </c>
      <c r="X625" s="1">
        <f t="shared" si="400"/>
        <v>6.8604901787369145E-3</v>
      </c>
      <c r="Y625" s="1">
        <f t="shared" si="400"/>
        <v>7.8508902895028463E-3</v>
      </c>
      <c r="Z625" s="1">
        <f t="shared" si="400"/>
        <v>9.0717832246289837E-3</v>
      </c>
      <c r="AA625" s="1">
        <f t="shared" si="400"/>
        <v>1.0600462115526281E-2</v>
      </c>
      <c r="AB625" s="1">
        <f t="shared" si="400"/>
        <v>1.2549459141077914E-2</v>
      </c>
      <c r="AC625" s="1">
        <f t="shared" si="400"/>
        <v>1.5084841458792729E-2</v>
      </c>
      <c r="AD625" s="1">
        <f t="shared" si="400"/>
        <v>1.8448449713700601E-2</v>
      </c>
      <c r="AE625" s="1">
        <f t="shared" si="400"/>
        <v>2.3048579427349492E-2</v>
      </c>
      <c r="AF625" s="1">
        <f t="shared" si="400"/>
        <v>2.9603102639957492E-2</v>
      </c>
      <c r="AG625" s="1">
        <f t="shared" si="400"/>
        <v>3.9392685573796861E-2</v>
      </c>
      <c r="AH625" s="1">
        <f t="shared" si="400"/>
        <v>5.4941132870079623E-2</v>
      </c>
      <c r="AI625" s="1">
        <f t="shared" si="400"/>
        <v>8.1790315417987328E-2</v>
      </c>
      <c r="AJ625" s="1">
        <f t="shared" si="400"/>
        <v>0.13408598609884712</v>
      </c>
      <c r="AK625" s="1">
        <f t="shared" si="400"/>
        <v>0.25614718974525058</v>
      </c>
      <c r="AL625" s="1">
        <f t="shared" si="400"/>
        <v>0.65610494629531724</v>
      </c>
      <c r="AM625" s="1">
        <f t="shared" si="400"/>
        <v>3.8527867954233193</v>
      </c>
      <c r="AN625" s="1">
        <f t="shared" si="400"/>
        <v>-13.369633038222377</v>
      </c>
      <c r="AO625" s="1">
        <f t="shared" si="400"/>
        <v>3.7829223315591918</v>
      </c>
    </row>
    <row r="626" spans="1:47">
      <c r="B626" s="1">
        <f t="shared" ref="B626:AO626" si="401">(B479+B528+B577)*0.0795774715459477</f>
        <v>1.0728307126982009E-3</v>
      </c>
      <c r="C626" s="1">
        <f t="shared" si="401"/>
        <v>1.1329357970572922E-3</v>
      </c>
      <c r="D626" s="1">
        <f t="shared" si="401"/>
        <v>1.1982241309132973E-3</v>
      </c>
      <c r="E626" s="1">
        <f t="shared" si="401"/>
        <v>1.269307736233425E-3</v>
      </c>
      <c r="F626" s="1">
        <f t="shared" si="401"/>
        <v>1.3468094808129797E-3</v>
      </c>
      <c r="G626" s="1">
        <f t="shared" si="401"/>
        <v>1.4308170164743707E-3</v>
      </c>
      <c r="H626" s="1">
        <f t="shared" si="401"/>
        <v>1.5221687174962863E-3</v>
      </c>
      <c r="I626" s="1">
        <f t="shared" si="401"/>
        <v>1.6225439032909884E-3</v>
      </c>
      <c r="J626" s="1">
        <f t="shared" si="401"/>
        <v>1.7331695486130642E-3</v>
      </c>
      <c r="K626" s="1">
        <f t="shared" si="401"/>
        <v>1.8554881696366964E-3</v>
      </c>
      <c r="L626" s="1">
        <f t="shared" si="401"/>
        <v>1.9912048371951317E-3</v>
      </c>
      <c r="M626" s="1">
        <f t="shared" si="401"/>
        <v>2.1423465834855241E-3</v>
      </c>
      <c r="N626" s="1">
        <f t="shared" si="401"/>
        <v>2.3104020602017147E-3</v>
      </c>
      <c r="O626" s="1">
        <f t="shared" si="401"/>
        <v>2.4977788630265729E-3</v>
      </c>
      <c r="P626" s="1">
        <f t="shared" si="401"/>
        <v>2.708650499729156E-3</v>
      </c>
      <c r="Q626" s="1">
        <f t="shared" si="401"/>
        <v>2.9473652853384299E-3</v>
      </c>
      <c r="R626" s="1">
        <f t="shared" si="401"/>
        <v>3.2190434328174347E-3</v>
      </c>
      <c r="S626" s="1">
        <f t="shared" si="401"/>
        <v>3.5300369967770613E-3</v>
      </c>
      <c r="T626" s="1">
        <f t="shared" si="401"/>
        <v>3.888302888965362E-3</v>
      </c>
      <c r="U626" s="1">
        <f t="shared" si="401"/>
        <v>4.3039144411758041E-3</v>
      </c>
      <c r="V626" s="1">
        <f t="shared" si="401"/>
        <v>4.7878584043100619E-3</v>
      </c>
      <c r="W626" s="1">
        <f t="shared" si="401"/>
        <v>5.3559798844267153E-3</v>
      </c>
      <c r="X626" s="1">
        <f t="shared" si="401"/>
        <v>6.0314016054446896E-3</v>
      </c>
      <c r="Y626" s="1">
        <f t="shared" si="401"/>
        <v>6.8429025343428136E-3</v>
      </c>
      <c r="Z626" s="1">
        <f t="shared" si="401"/>
        <v>7.8295810786180552E-3</v>
      </c>
      <c r="AA626" s="1">
        <f t="shared" si="401"/>
        <v>9.0456269938125854E-3</v>
      </c>
      <c r="AB626" s="1">
        <f t="shared" si="401"/>
        <v>1.0567875188824403E-2</v>
      </c>
      <c r="AC626" s="1">
        <f t="shared" si="401"/>
        <v>1.2505970510314934E-2</v>
      </c>
      <c r="AD626" s="1">
        <f t="shared" si="401"/>
        <v>1.5012090579847955E-2</v>
      </c>
      <c r="AE626" s="1">
        <f t="shared" si="401"/>
        <v>1.8335177894625219E-2</v>
      </c>
      <c r="AF626" s="1">
        <f t="shared" si="401"/>
        <v>2.2893992683473242E-2</v>
      </c>
      <c r="AG626" s="1">
        <f t="shared" si="401"/>
        <v>2.9384519142071398E-2</v>
      </c>
      <c r="AH626" s="1">
        <f t="shared" si="401"/>
        <v>3.9069584527876629E-2</v>
      </c>
      <c r="AI626" s="1">
        <f t="shared" si="401"/>
        <v>5.4435492397310756E-2</v>
      </c>
      <c r="AJ626" s="1">
        <f t="shared" si="401"/>
        <v>8.0936719857422082E-2</v>
      </c>
      <c r="AK626" s="1">
        <f t="shared" si="401"/>
        <v>0.1320620484114923</v>
      </c>
      <c r="AL626" s="1">
        <f t="shared" si="401"/>
        <v>0.25082551388432966</v>
      </c>
      <c r="AM626" s="1">
        <f t="shared" si="401"/>
        <v>0.64083630673921665</v>
      </c>
      <c r="AN626" s="1">
        <f t="shared" si="401"/>
        <v>3.7943805049203103</v>
      </c>
      <c r="AO626" s="1">
        <f t="shared" si="401"/>
        <v>-13.515747806272213</v>
      </c>
    </row>
    <row r="632" spans="1:47">
      <c r="AR632" s="2"/>
      <c r="AS632" s="2"/>
      <c r="AT632" s="2"/>
      <c r="AU632" s="2"/>
    </row>
    <row r="633" spans="1:47">
      <c r="W633" s="2"/>
      <c r="X633" s="2"/>
      <c r="Y633" s="2"/>
      <c r="AR633" s="1" t="s">
        <v>130</v>
      </c>
      <c r="AT633" s="1" t="s">
        <v>131</v>
      </c>
    </row>
    <row r="634" spans="1:47">
      <c r="W634" s="2"/>
      <c r="X634" s="2"/>
      <c r="Y634" s="2"/>
    </row>
    <row r="635" spans="1:47">
      <c r="A635" s="1" t="s">
        <v>132</v>
      </c>
      <c r="W635" s="2"/>
      <c r="X635" s="2"/>
      <c r="Y635" s="2"/>
    </row>
    <row r="636" spans="1:47">
      <c r="B636" s="1">
        <f t="array" ref="B636:AO675">MINVERSE(B587:AO626)</f>
        <v>-8.3200758878859277E-2</v>
      </c>
      <c r="C636" s="1">
        <v>-2.9007037090175696E-2</v>
      </c>
      <c r="D636" s="1">
        <v>-1.6097704294768245E-2</v>
      </c>
      <c r="E636" s="1">
        <v>-1.0463597578052266E-2</v>
      </c>
      <c r="F636" s="1">
        <v>-7.4205467642021392E-3</v>
      </c>
      <c r="G636" s="1">
        <v>-5.5542322264715257E-3</v>
      </c>
      <c r="H636" s="1">
        <v>-4.3162439422153578E-3</v>
      </c>
      <c r="I636" s="1">
        <v>-3.4557938179927655E-3</v>
      </c>
      <c r="J636" s="1">
        <v>-2.8333388702433725E-3</v>
      </c>
      <c r="K636" s="1">
        <v>-2.3677062845445045E-3</v>
      </c>
      <c r="L636" s="1">
        <v>-2.00907399999026E-3</v>
      </c>
      <c r="M636" s="1">
        <v>-1.7253233417927631E-3</v>
      </c>
      <c r="N636" s="1">
        <v>-1.4943636137145684E-3</v>
      </c>
      <c r="O636" s="1">
        <v>-1.3027380045621769E-3</v>
      </c>
      <c r="P636" s="1">
        <v>-1.1427619966263489E-3</v>
      </c>
      <c r="Q636" s="1">
        <v>-1.0083889090281826E-3</v>
      </c>
      <c r="R636" s="1">
        <v>-8.9473323517221318E-4</v>
      </c>
      <c r="S636" s="1">
        <v>-7.9790948118391007E-4</v>
      </c>
      <c r="T636" s="1">
        <v>-7.1481561960066845E-4</v>
      </c>
      <c r="U636" s="1">
        <v>-6.4293207632617989E-4</v>
      </c>
      <c r="V636" s="1">
        <v>-5.8002043343052031E-4</v>
      </c>
      <c r="W636" s="2">
        <v>-5.2460097939371105E-4</v>
      </c>
      <c r="X636" s="2">
        <v>-4.7574748422594195E-4</v>
      </c>
      <c r="Y636" s="2">
        <v>-4.3248132647270951E-4</v>
      </c>
      <c r="Z636" s="1">
        <v>-3.9393246422093388E-4</v>
      </c>
      <c r="AA636" s="1">
        <v>-3.5933255721540519E-4</v>
      </c>
      <c r="AB636" s="1">
        <v>-3.2798260527364202E-4</v>
      </c>
      <c r="AC636" s="1">
        <v>-2.9919360852505463E-4</v>
      </c>
      <c r="AD636" s="1">
        <v>-2.7229349409487629E-4</v>
      </c>
      <c r="AE636" s="1">
        <v>-2.4707349826005729E-4</v>
      </c>
      <c r="AF636" s="1">
        <v>-2.23609715051936E-4</v>
      </c>
      <c r="AG636" s="1">
        <v>-2.0181712045296663E-4</v>
      </c>
      <c r="AH636" s="1">
        <v>-1.8154353834449419E-4</v>
      </c>
      <c r="AI636" s="1">
        <v>-1.6257725546013675E-4</v>
      </c>
      <c r="AJ636" s="1">
        <v>-1.4462180031618279E-4</v>
      </c>
      <c r="AK636" s="1">
        <v>-1.2713550408223161E-4</v>
      </c>
      <c r="AL636" s="1">
        <v>-1.0975612344312285E-4</v>
      </c>
      <c r="AM636" s="1">
        <v>-9.2227154085473977E-5</v>
      </c>
      <c r="AN636" s="1">
        <v>-7.3482115291503123E-5</v>
      </c>
      <c r="AO636" s="1">
        <v>-5.0017457964884709E-5</v>
      </c>
      <c r="AR636" s="1">
        <f>-$B$114</f>
        <v>-0.17975567190226879</v>
      </c>
      <c r="AT636" s="1">
        <f t="array" ref="AT636:AT675">MMULT(B636:AO675,AR636:AR675)</f>
        <v>3.2666898717096347E-2</v>
      </c>
    </row>
    <row r="637" spans="1:47">
      <c r="B637" s="1">
        <v>-2.8903669457893702E-2</v>
      </c>
      <c r="C637" s="1">
        <v>-9.4886561919123327E-2</v>
      </c>
      <c r="D637" s="1">
        <v>-3.6178205744477339E-2</v>
      </c>
      <c r="E637" s="1">
        <v>-2.0957787427764045E-2</v>
      </c>
      <c r="F637" s="1">
        <v>-1.3960320937787804E-2</v>
      </c>
      <c r="G637" s="1">
        <v>-1.0026980497799286E-2</v>
      </c>
      <c r="H637" s="1">
        <v>-7.561708094953273E-3</v>
      </c>
      <c r="I637" s="1">
        <v>-5.9156902819826537E-3</v>
      </c>
      <c r="J637" s="1">
        <v>-4.7609720586031011E-3</v>
      </c>
      <c r="K637" s="1">
        <v>-3.9182290758574372E-3</v>
      </c>
      <c r="L637" s="1">
        <v>-3.2823610020787514E-3</v>
      </c>
      <c r="M637" s="1">
        <v>-2.7880915722635329E-3</v>
      </c>
      <c r="N637" s="1">
        <v>-2.3920876816318761E-3</v>
      </c>
      <c r="O637" s="1">
        <v>-2.0680724326325676E-3</v>
      </c>
      <c r="P637" s="1">
        <v>-1.8007786142599765E-3</v>
      </c>
      <c r="Q637" s="1">
        <v>-1.5785797332251383E-3</v>
      </c>
      <c r="R637" s="1">
        <v>-1.3923585282654941E-3</v>
      </c>
      <c r="S637" s="1">
        <v>-1.2350201482766248E-3</v>
      </c>
      <c r="T637" s="1">
        <v>-1.1010022575424635E-3</v>
      </c>
      <c r="U637" s="1">
        <v>-9.8586349560023079E-4</v>
      </c>
      <c r="V637" s="1">
        <v>-8.8575329852734876E-4</v>
      </c>
      <c r="W637" s="2">
        <v>-7.9809978572428493E-4</v>
      </c>
      <c r="X637" s="2">
        <v>-7.2125582526581539E-4</v>
      </c>
      <c r="Y637" s="2">
        <v>-6.5354928939268377E-4</v>
      </c>
      <c r="Z637" s="1">
        <v>-5.9351724044720479E-4</v>
      </c>
      <c r="AA637" s="1">
        <v>-5.3988528975444812E-4</v>
      </c>
      <c r="AB637" s="1">
        <v>-4.9151089833762381E-4</v>
      </c>
      <c r="AC637" s="1">
        <v>-4.4728834054408827E-4</v>
      </c>
      <c r="AD637" s="1">
        <v>-4.0615488823488456E-4</v>
      </c>
      <c r="AE637" s="1">
        <v>-3.6775436266278921E-4</v>
      </c>
      <c r="AF637" s="1">
        <v>-3.3216382856033196E-4</v>
      </c>
      <c r="AG637" s="1">
        <v>-2.9922519359417842E-4</v>
      </c>
      <c r="AH637" s="1">
        <v>-2.6868574510824594E-4</v>
      </c>
      <c r="AI637" s="1">
        <v>-2.4020934821783666E-4</v>
      </c>
      <c r="AJ637" s="1">
        <v>-2.1333913481812826E-4</v>
      </c>
      <c r="AK637" s="1">
        <v>-1.8726099220545153E-4</v>
      </c>
      <c r="AL637" s="1">
        <v>-1.6143108355822736E-4</v>
      </c>
      <c r="AM637" s="1">
        <v>-1.3546603289329295E-4</v>
      </c>
      <c r="AN637" s="1">
        <v>-1.0779667949717997E-4</v>
      </c>
      <c r="AO637" s="1">
        <v>-7.3289906162508198E-5</v>
      </c>
      <c r="AR637" s="1">
        <f>-$C$114</f>
        <v>-0.17975567190226879</v>
      </c>
      <c r="AT637" s="1">
        <v>4.5589270064448705E-2</v>
      </c>
    </row>
    <row r="638" spans="1:47">
      <c r="B638" s="1">
        <v>-1.5949296983658996E-2</v>
      </c>
      <c r="C638" s="1">
        <v>-3.6048036875064846E-2</v>
      </c>
      <c r="D638" s="1">
        <v>-0.1002050775460564</v>
      </c>
      <c r="E638" s="1">
        <v>-4.0165082991009675E-2</v>
      </c>
      <c r="F638" s="1">
        <v>-2.3901859473810457E-2</v>
      </c>
      <c r="G638" s="1">
        <v>-1.6142030383326855E-2</v>
      </c>
      <c r="H638" s="1">
        <v>-1.1685539122651785E-2</v>
      </c>
      <c r="I638" s="1">
        <v>-8.8723004059725018E-3</v>
      </c>
      <c r="J638" s="1">
        <v>-6.9768087861899059E-3</v>
      </c>
      <c r="K638" s="1">
        <v>-5.6357926771743718E-3</v>
      </c>
      <c r="L638" s="1">
        <v>-4.6491026275436494E-3</v>
      </c>
      <c r="M638" s="1">
        <v>-3.8981850028333848E-3</v>
      </c>
      <c r="N638" s="1">
        <v>-3.3075839782326592E-3</v>
      </c>
      <c r="O638" s="1">
        <v>-2.8320647056656874E-3</v>
      </c>
      <c r="P638" s="1">
        <v>-2.4451230102409079E-3</v>
      </c>
      <c r="Q638" s="1">
        <v>-2.1272503934518989E-3</v>
      </c>
      <c r="R638" s="1">
        <v>-1.8636148245677264E-3</v>
      </c>
      <c r="S638" s="1">
        <v>-1.6429393986636556E-3</v>
      </c>
      <c r="T638" s="1">
        <v>-1.4565540525603639E-3</v>
      </c>
      <c r="U638" s="1">
        <v>-1.2976611684646828E-3</v>
      </c>
      <c r="V638" s="1">
        <v>-1.1605135802704154E-3</v>
      </c>
      <c r="W638" s="2">
        <v>-1.0412402461538789E-3</v>
      </c>
      <c r="X638" s="2">
        <v>-9.373138950869045E-4</v>
      </c>
      <c r="Y638" s="2">
        <v>-8.4626527571249734E-4</v>
      </c>
      <c r="Z638" s="1">
        <v>-7.6596936862281936E-4</v>
      </c>
      <c r="AA638" s="1">
        <v>-6.9460115454874716E-4</v>
      </c>
      <c r="AB638" s="1">
        <v>-6.3054912243253459E-4</v>
      </c>
      <c r="AC638" s="1">
        <v>-5.7228323380569815E-4</v>
      </c>
      <c r="AD638" s="1">
        <v>-5.1835590412999707E-4</v>
      </c>
      <c r="AE638" s="1">
        <v>-4.6824487831060701E-4</v>
      </c>
      <c r="AF638" s="1">
        <v>-4.2199382869885385E-4</v>
      </c>
      <c r="AG638" s="1">
        <v>-3.7935450993127373E-4</v>
      </c>
      <c r="AH638" s="1">
        <v>-3.3996640609851102E-4</v>
      </c>
      <c r="AI638" s="1">
        <v>-3.0337060295248001E-4</v>
      </c>
      <c r="AJ638" s="1">
        <v>-2.6896244337561181E-4</v>
      </c>
      <c r="AK638" s="1">
        <v>-2.3569344721772613E-4</v>
      </c>
      <c r="AL638" s="1">
        <v>-2.0286389285373516E-4</v>
      </c>
      <c r="AM638" s="1">
        <v>-1.6998271831171355E-4</v>
      </c>
      <c r="AN638" s="1">
        <v>-1.3507649012310736E-4</v>
      </c>
      <c r="AO638" s="1">
        <v>-9.1721308837469634E-5</v>
      </c>
      <c r="AR638" s="1">
        <f>-$D$114</f>
        <v>-0.17975567190226879</v>
      </c>
      <c r="AT638" s="1">
        <v>5.4157908117984897E-2</v>
      </c>
    </row>
    <row r="639" spans="1:47">
      <c r="B639" s="1">
        <v>-1.0310785894949628E-2</v>
      </c>
      <c r="C639" s="1">
        <v>-2.0772919586775147E-2</v>
      </c>
      <c r="D639" s="1">
        <v>-4.003059929756695E-2</v>
      </c>
      <c r="E639" s="1">
        <v>-0.10381124223482285</v>
      </c>
      <c r="F639" s="1">
        <v>-4.3076450477441679E-2</v>
      </c>
      <c r="G639" s="1">
        <v>-2.60810588922376E-2</v>
      </c>
      <c r="H639" s="1">
        <v>-1.7783600405530692E-2</v>
      </c>
      <c r="I639" s="1">
        <v>-1.2973789739529708E-2</v>
      </c>
      <c r="J639" s="1">
        <v>-9.9073307549430965E-3</v>
      </c>
      <c r="K639" s="1">
        <v>-7.8228836446812885E-3</v>
      </c>
      <c r="L639" s="1">
        <v>-6.3359527147678271E-3</v>
      </c>
      <c r="M639" s="1">
        <v>-5.2325096946699524E-3</v>
      </c>
      <c r="N639" s="1">
        <v>-4.3831069723693052E-3</v>
      </c>
      <c r="O639" s="1">
        <v>-3.7116856655366776E-3</v>
      </c>
      <c r="P639" s="1">
        <v>-3.1737426656878753E-3</v>
      </c>
      <c r="Q639" s="1">
        <v>-2.7376717729176788E-3</v>
      </c>
      <c r="R639" s="1">
        <v>-2.3802020717930842E-3</v>
      </c>
      <c r="S639" s="1">
        <v>-2.0840712491450443E-3</v>
      </c>
      <c r="T639" s="1">
        <v>-1.8362806602597048E-3</v>
      </c>
      <c r="U639" s="1">
        <v>-1.6268330858229742E-3</v>
      </c>
      <c r="V639" s="1">
        <v>-1.4474880480539033E-3</v>
      </c>
      <c r="W639" s="2">
        <v>-1.2926615942004528E-3</v>
      </c>
      <c r="X639" s="2">
        <v>-1.1586524003173262E-3</v>
      </c>
      <c r="Y639" s="2">
        <v>-1.0419720871026608E-3</v>
      </c>
      <c r="Z639" s="1">
        <v>-9.3966803161731592E-4</v>
      </c>
      <c r="AA639" s="1">
        <v>-8.4924086859906585E-4</v>
      </c>
      <c r="AB639" s="1">
        <v>-7.6851744894894576E-4</v>
      </c>
      <c r="AC639" s="1">
        <v>-6.9547422528802247E-4</v>
      </c>
      <c r="AD639" s="1">
        <v>-6.2822767989949421E-4</v>
      </c>
      <c r="AE639" s="1">
        <v>-5.6604941566943128E-4</v>
      </c>
      <c r="AF639" s="1">
        <v>-5.0891582770582139E-4</v>
      </c>
      <c r="AG639" s="1">
        <v>-4.5646164277251004E-4</v>
      </c>
      <c r="AH639" s="1">
        <v>-4.0819764793450407E-4</v>
      </c>
      <c r="AI639" s="1">
        <v>-3.6352666230603079E-4</v>
      </c>
      <c r="AJ639" s="1">
        <v>-3.2168627765423002E-4</v>
      </c>
      <c r="AK639" s="1">
        <v>-2.8139228121894824E-4</v>
      </c>
      <c r="AL639" s="1">
        <v>-2.4178828867851143E-4</v>
      </c>
      <c r="AM639" s="1">
        <v>-2.022759028795051E-4</v>
      </c>
      <c r="AN639" s="1">
        <v>-1.6050003762844417E-4</v>
      </c>
      <c r="AO639" s="1">
        <v>-1.0883727220299405E-4</v>
      </c>
      <c r="AR639" s="1">
        <f>-$E$114</f>
        <v>-0.17975567190226879</v>
      </c>
      <c r="AT639" s="1">
        <v>6.0849856658951255E-2</v>
      </c>
    </row>
    <row r="640" spans="1:47">
      <c r="B640" s="1">
        <v>-7.2811134822755195E-3</v>
      </c>
      <c r="C640" s="1">
        <v>-1.3774409322981816E-2</v>
      </c>
      <c r="D640" s="1">
        <v>-2.3718560244405613E-2</v>
      </c>
      <c r="E640" s="1">
        <v>-4.296053704692674E-2</v>
      </c>
      <c r="F640" s="1">
        <v>-0.10661179182403646</v>
      </c>
      <c r="G640" s="1">
        <v>-4.5331287369244813E-2</v>
      </c>
      <c r="H640" s="1">
        <v>-2.7799057187827995E-2</v>
      </c>
      <c r="I640" s="1">
        <v>-1.9134525513389754E-2</v>
      </c>
      <c r="J640" s="1">
        <v>-1.4055340072493702E-2</v>
      </c>
      <c r="K640" s="1">
        <v>-1.0785804046371869E-2</v>
      </c>
      <c r="L640" s="1">
        <v>-8.5438222488878109E-3</v>
      </c>
      <c r="M640" s="1">
        <v>-6.930439201852925E-3</v>
      </c>
      <c r="N640" s="1">
        <v>-5.7195689320881813E-3</v>
      </c>
      <c r="O640" s="1">
        <v>-4.7824983852592729E-3</v>
      </c>
      <c r="P640" s="1">
        <v>-4.0448395534502185E-3</v>
      </c>
      <c r="Q640" s="1">
        <v>-3.4557712642058541E-3</v>
      </c>
      <c r="R640" s="1">
        <v>-2.9791269624078495E-3</v>
      </c>
      <c r="S640" s="1">
        <v>-2.5887802892821882E-3</v>
      </c>
      <c r="T640" s="1">
        <v>-2.2654926058934882E-3</v>
      </c>
      <c r="U640" s="1">
        <v>-1.9947660480600544E-3</v>
      </c>
      <c r="V640" s="1">
        <v>-1.7649528729211759E-3</v>
      </c>
      <c r="W640" s="2">
        <v>-1.5681332470019328E-3</v>
      </c>
      <c r="X640" s="2">
        <v>-1.3989984824691972E-3</v>
      </c>
      <c r="Y640" s="2">
        <v>-1.2527119301062773E-3</v>
      </c>
      <c r="Z640" s="1">
        <v>-1.1252474902951318E-3</v>
      </c>
      <c r="AA640" s="1">
        <v>-1.0132466677313661E-3</v>
      </c>
      <c r="AB640" s="1">
        <v>-9.1383439036672232E-4</v>
      </c>
      <c r="AC640" s="1">
        <v>-8.2438532148141979E-4</v>
      </c>
      <c r="AD640" s="1">
        <v>-7.4249628301846548E-4</v>
      </c>
      <c r="AE640" s="1">
        <v>-6.6717596793987029E-4</v>
      </c>
      <c r="AF640" s="1">
        <v>-5.9829273431433844E-4</v>
      </c>
      <c r="AG640" s="1">
        <v>-5.3532846179792321E-4</v>
      </c>
      <c r="AH640" s="1">
        <v>-4.776353344685315E-4</v>
      </c>
      <c r="AI640" s="1">
        <v>-4.2445322904521285E-4</v>
      </c>
      <c r="AJ640" s="1">
        <v>-3.748418531679735E-4</v>
      </c>
      <c r="AK640" s="1">
        <v>-3.2726489282593874E-4</v>
      </c>
      <c r="AL640" s="1">
        <v>-2.8069840151393952E-4</v>
      </c>
      <c r="AM640" s="1">
        <v>-2.3442985079115655E-4</v>
      </c>
      <c r="AN640" s="1">
        <v>-1.8572007783756927E-4</v>
      </c>
      <c r="AO640" s="1">
        <v>-1.2575827455765863E-4</v>
      </c>
      <c r="AR640" s="1">
        <f>-$F$114</f>
        <v>-0.17975567190226879</v>
      </c>
      <c r="AT640" s="1">
        <v>6.6436462737512025E-2</v>
      </c>
    </row>
    <row r="641" spans="2:46">
      <c r="B641" s="1">
        <v>-5.4384483621418662E-3</v>
      </c>
      <c r="C641" s="1">
        <v>-9.8690563860554664E-3</v>
      </c>
      <c r="D641" s="1">
        <v>-1.597485802847326E-2</v>
      </c>
      <c r="E641" s="1">
        <v>-2.5945017510903681E-2</v>
      </c>
      <c r="F641" s="1">
        <v>-4.5269669784842766E-2</v>
      </c>
      <c r="G641" s="1">
        <v>-0.10875392640975716</v>
      </c>
      <c r="H641" s="1">
        <v>-4.708786027651906E-2</v>
      </c>
      <c r="I641" s="1">
        <v>-2.9219423740204881E-2</v>
      </c>
      <c r="J641" s="1">
        <v>-2.0280437040961379E-2</v>
      </c>
      <c r="K641" s="1">
        <v>-1.4985239850172067E-2</v>
      </c>
      <c r="L641" s="1">
        <v>-1.1544791158583482E-2</v>
      </c>
      <c r="M641" s="1">
        <v>-9.1640858928873949E-3</v>
      </c>
      <c r="N641" s="1">
        <v>-7.4314708983046441E-3</v>
      </c>
      <c r="O641" s="1">
        <v>-6.1236627353561304E-3</v>
      </c>
      <c r="P641" s="1">
        <v>-5.1148965002486453E-3</v>
      </c>
      <c r="Q641" s="1">
        <v>-4.3229475167671696E-3</v>
      </c>
      <c r="R641" s="1">
        <v>-3.6914478214413659E-3</v>
      </c>
      <c r="S641" s="1">
        <v>-3.1808513678081847E-3</v>
      </c>
      <c r="T641" s="1">
        <v>-2.7627414780096444E-3</v>
      </c>
      <c r="U641" s="1">
        <v>-2.4161684464576879E-3</v>
      </c>
      <c r="V641" s="1">
        <v>-2.1247358869556214E-3</v>
      </c>
      <c r="W641" s="2">
        <v>-1.8772880271473963E-3</v>
      </c>
      <c r="X641" s="2">
        <v>-1.6662921194823517E-3</v>
      </c>
      <c r="Y641" s="2">
        <v>-1.4851020397788405E-3</v>
      </c>
      <c r="Z641" s="1">
        <v>-1.3282778648956561E-3</v>
      </c>
      <c r="AA641" s="1">
        <v>-1.1913487269277719E-3</v>
      </c>
      <c r="AB641" s="1">
        <v>-1.0705468241087028E-3</v>
      </c>
      <c r="AC641" s="1">
        <v>-9.6249831083933702E-4</v>
      </c>
      <c r="AD641" s="1">
        <v>-8.6416695394840527E-4</v>
      </c>
      <c r="AE641" s="1">
        <v>-7.7422357030928145E-4</v>
      </c>
      <c r="AF641" s="1">
        <v>-6.9237659787084948E-4</v>
      </c>
      <c r="AG641" s="1">
        <v>-6.1790902010097192E-4</v>
      </c>
      <c r="AH641" s="1">
        <v>-5.4997574081232573E-4</v>
      </c>
      <c r="AI641" s="1">
        <v>-4.8762136442609741E-4</v>
      </c>
      <c r="AJ641" s="1">
        <v>-4.2970050410612212E-4</v>
      </c>
      <c r="AK641" s="1">
        <v>-3.7440024783459485E-4</v>
      </c>
      <c r="AL641" s="1">
        <v>-3.20512653574347E-4</v>
      </c>
      <c r="AM641" s="1">
        <v>-2.6720039485875251E-4</v>
      </c>
      <c r="AN641" s="1">
        <v>-2.1132785522540168E-4</v>
      </c>
      <c r="AO641" s="1">
        <v>-1.428804268118573E-4</v>
      </c>
      <c r="AR641" s="1">
        <f>-$G$114</f>
        <v>-0.17975567190226879</v>
      </c>
      <c r="AT641" s="1">
        <v>7.1186011854448186E-2</v>
      </c>
    </row>
    <row r="642" spans="2:46">
      <c r="B642" s="1">
        <v>-4.2268510427452529E-3</v>
      </c>
      <c r="C642" s="1">
        <v>-7.4412983579946771E-3</v>
      </c>
      <c r="D642" s="1">
        <v>-1.1559223161126182E-2</v>
      </c>
      <c r="E642" s="1">
        <v>-1.7679982357970088E-2</v>
      </c>
      <c r="F642" s="1">
        <v>-2.7748275599527614E-2</v>
      </c>
      <c r="G642" s="1">
        <v>-4.7086196045561739E-2</v>
      </c>
      <c r="H642" s="1">
        <v>-0.11045659016362255</v>
      </c>
      <c r="I642" s="1">
        <v>-4.8581145448642525E-2</v>
      </c>
      <c r="J642" s="1">
        <v>-3.0459328372079913E-2</v>
      </c>
      <c r="K642" s="1">
        <v>-2.1293885738476473E-2</v>
      </c>
      <c r="L642" s="1">
        <v>-1.5810712205163543E-2</v>
      </c>
      <c r="M642" s="1">
        <v>-1.221431816195233E-2</v>
      </c>
      <c r="N642" s="1">
        <v>-9.6974724076502386E-3</v>
      </c>
      <c r="O642" s="1">
        <v>-7.8544647051049521E-3</v>
      </c>
      <c r="P642" s="1">
        <v>-6.466652330210881E-3</v>
      </c>
      <c r="Q642" s="1">
        <v>-5.3984143973830516E-3</v>
      </c>
      <c r="R642" s="1">
        <v>-4.5606775872788826E-3</v>
      </c>
      <c r="S642" s="1">
        <v>-3.8929973201635186E-3</v>
      </c>
      <c r="T642" s="1">
        <v>-3.3531164493105121E-3</v>
      </c>
      <c r="U642" s="1">
        <v>-2.9106234297156522E-3</v>
      </c>
      <c r="V642" s="1">
        <v>-2.5423547329345274E-3</v>
      </c>
      <c r="W642" s="2">
        <v>-2.2325874685528804E-3</v>
      </c>
      <c r="X642" s="2">
        <v>-1.9706669447481038E-3</v>
      </c>
      <c r="Y642" s="2">
        <v>-1.7474780775222529E-3</v>
      </c>
      <c r="Z642" s="1">
        <v>-1.5556871988342575E-3</v>
      </c>
      <c r="AA642" s="1">
        <v>-1.3893581336175429E-3</v>
      </c>
      <c r="AB642" s="1">
        <v>-1.2435669942410994E-3</v>
      </c>
      <c r="AC642" s="1">
        <v>-1.1139903706626011E-3</v>
      </c>
      <c r="AD642" s="1">
        <v>-9.9680429623791853E-4</v>
      </c>
      <c r="AE642" s="1">
        <v>-8.9024093267512185E-4</v>
      </c>
      <c r="AF642" s="1">
        <v>-7.9378062547882315E-4</v>
      </c>
      <c r="AG642" s="1">
        <v>-7.0644693211020055E-4</v>
      </c>
      <c r="AH642" s="1">
        <v>-6.2714663839233756E-4</v>
      </c>
      <c r="AI642" s="1">
        <v>-5.5468637505995194E-4</v>
      </c>
      <c r="AJ642" s="1">
        <v>-4.8767915484359035E-4</v>
      </c>
      <c r="AK642" s="1">
        <v>-4.2400086816480069E-4</v>
      </c>
      <c r="AL642" s="1">
        <v>-3.6223627596966139E-4</v>
      </c>
      <c r="AM642" s="1">
        <v>-3.0140782585680472E-4</v>
      </c>
      <c r="AN642" s="1">
        <v>-2.3795992864804807E-4</v>
      </c>
      <c r="AO642" s="1">
        <v>-1.6062707127278175E-4</v>
      </c>
      <c r="AR642" s="1">
        <f>-$H$114</f>
        <v>-0.17975567190226879</v>
      </c>
      <c r="AT642" s="1">
        <v>7.5323186752413479E-2</v>
      </c>
    </row>
    <row r="643" spans="2:46">
      <c r="B643" s="1">
        <v>-3.3858522018903273E-3</v>
      </c>
      <c r="C643" s="1">
        <v>-5.8227848641008622E-3</v>
      </c>
      <c r="D643" s="1">
        <v>-8.7761681914174487E-3</v>
      </c>
      <c r="E643" s="1">
        <v>-1.2895452188148341E-2</v>
      </c>
      <c r="F643" s="1">
        <v>-1.9094705609301633E-2</v>
      </c>
      <c r="G643" s="1">
        <v>-2.9215319713457654E-2</v>
      </c>
      <c r="H643" s="1">
        <v>-4.8582625860910819E-2</v>
      </c>
      <c r="I643" s="1">
        <v>-0.11194580504292849</v>
      </c>
      <c r="J643" s="1">
        <v>-4.9917345320424814E-2</v>
      </c>
      <c r="K643" s="1">
        <v>-3.1581624141104978E-2</v>
      </c>
      <c r="L643" s="1">
        <v>-2.2213257853006849E-2</v>
      </c>
      <c r="M643" s="1">
        <v>-1.6553187917834077E-2</v>
      </c>
      <c r="N643" s="1">
        <v>-1.2798321670649294E-2</v>
      </c>
      <c r="O643" s="1">
        <v>-1.0152926924729145E-2</v>
      </c>
      <c r="P643" s="1">
        <v>-8.2185101595377338E-3</v>
      </c>
      <c r="Q643" s="1">
        <v>-6.763935634515876E-3</v>
      </c>
      <c r="R643" s="1">
        <v>-5.64503784942119E-3</v>
      </c>
      <c r="S643" s="1">
        <v>-4.7677592266425397E-3</v>
      </c>
      <c r="T643" s="1">
        <v>-4.0683964438040223E-3</v>
      </c>
      <c r="U643" s="1">
        <v>-3.5023299089575943E-3</v>
      </c>
      <c r="V643" s="1">
        <v>-3.036539124391305E-3</v>
      </c>
      <c r="W643" s="2">
        <v>-2.6487372117642775E-3</v>
      </c>
      <c r="X643" s="2">
        <v>-2.3238241261671613E-3</v>
      </c>
      <c r="Y643" s="2">
        <v>-2.0492645525162067E-3</v>
      </c>
      <c r="Z643" s="1">
        <v>-1.8151502669569454E-3</v>
      </c>
      <c r="AA643" s="1">
        <v>-1.6135862437057058E-3</v>
      </c>
      <c r="AB643" s="1">
        <v>-1.4381288422587357E-3</v>
      </c>
      <c r="AC643" s="1">
        <v>-1.2832305591220098E-3</v>
      </c>
      <c r="AD643" s="1">
        <v>-1.1440704232885748E-3</v>
      </c>
      <c r="AE643" s="1">
        <v>-1.018306258698421E-3</v>
      </c>
      <c r="AF643" s="1">
        <v>-9.0509936111719076E-4</v>
      </c>
      <c r="AG643" s="1">
        <v>-8.031339542115992E-4</v>
      </c>
      <c r="AH643" s="1">
        <v>-7.1100206150103709E-4</v>
      </c>
      <c r="AI643" s="1">
        <v>-6.2721657553540383E-4</v>
      </c>
      <c r="AJ643" s="1">
        <v>-5.5010117398137965E-4</v>
      </c>
      <c r="AK643" s="1">
        <v>-4.7717463454600317E-4</v>
      </c>
      <c r="AL643" s="1">
        <v>-4.0678341496417356E-4</v>
      </c>
      <c r="AM643" s="1">
        <v>-3.3778899387796685E-4</v>
      </c>
      <c r="AN643" s="1">
        <v>-2.6618159050038496E-4</v>
      </c>
      <c r="AO643" s="1">
        <v>-1.7937025370931469E-4</v>
      </c>
      <c r="AR643" s="1">
        <f>-$I$114</f>
        <v>-0.17975567190226879</v>
      </c>
      <c r="AT643" s="1">
        <v>7.9009095538562932E-2</v>
      </c>
    </row>
    <row r="644" spans="2:46">
      <c r="B644" s="1">
        <v>-2.7774689898012591E-3</v>
      </c>
      <c r="C644" s="1">
        <v>-4.6876563457532508E-3</v>
      </c>
      <c r="D644" s="1">
        <v>-6.9018533177517922E-3</v>
      </c>
      <c r="E644" s="1">
        <v>-9.8466126350155603E-3</v>
      </c>
      <c r="F644" s="1">
        <v>-1.4023433205979539E-2</v>
      </c>
      <c r="G644" s="1">
        <v>-2.0274221866484973E-2</v>
      </c>
      <c r="H644" s="1">
        <v>-3.0457708400072312E-2</v>
      </c>
      <c r="I644" s="1">
        <v>-4.9918222428326227E-2</v>
      </c>
      <c r="J644" s="1">
        <v>-0.11329513847695145</v>
      </c>
      <c r="K644" s="1">
        <v>-5.1137923409882505E-2</v>
      </c>
      <c r="L644" s="1">
        <v>-3.2607917927916188E-2</v>
      </c>
      <c r="M644" s="1">
        <v>-2.3045184541213484E-2</v>
      </c>
      <c r="N644" s="1">
        <v>-1.7200982319752905E-2</v>
      </c>
      <c r="O644" s="1">
        <v>-1.329539481338647E-2</v>
      </c>
      <c r="P644" s="1">
        <v>-1.0544653927707754E-2</v>
      </c>
      <c r="Q644" s="1">
        <v>-8.5345737837515673E-3</v>
      </c>
      <c r="R644" s="1">
        <v>-7.0233778843206973E-3</v>
      </c>
      <c r="S644" s="1">
        <v>-5.8608046214762176E-3</v>
      </c>
      <c r="T644" s="1">
        <v>-4.9488714077730233E-3</v>
      </c>
      <c r="U644" s="1">
        <v>-4.2210685039849819E-3</v>
      </c>
      <c r="V644" s="1">
        <v>-3.6296923237418045E-3</v>
      </c>
      <c r="W644" s="2">
        <v>-3.1428486874440207E-3</v>
      </c>
      <c r="X644" s="2">
        <v>-2.7390167291570476E-3</v>
      </c>
      <c r="Y644" s="2">
        <v>-2.4008563253756139E-3</v>
      </c>
      <c r="Z644" s="1">
        <v>-2.1149130646552845E-3</v>
      </c>
      <c r="AA644" s="1">
        <v>-1.8706406293839243E-3</v>
      </c>
      <c r="AB644" s="1">
        <v>-1.6595732015662905E-3</v>
      </c>
      <c r="AC644" s="1">
        <v>-1.4745654499743871E-3</v>
      </c>
      <c r="AD644" s="1">
        <v>-1.3095181697552567E-3</v>
      </c>
      <c r="AE644" s="1">
        <v>-1.1613323738328878E-3</v>
      </c>
      <c r="AF644" s="1">
        <v>-1.0287280471168914E-3</v>
      </c>
      <c r="AG644" s="1">
        <v>-9.0994463656234796E-4</v>
      </c>
      <c r="AH644" s="1">
        <v>-8.0317253317242516E-4</v>
      </c>
      <c r="AI644" s="1">
        <v>-7.065589398837195E-4</v>
      </c>
      <c r="AJ644" s="1">
        <v>-6.1807713797112083E-4</v>
      </c>
      <c r="AK644" s="1">
        <v>-5.3483051834326981E-4</v>
      </c>
      <c r="AL644" s="1">
        <v>-4.5488779135019524E-4</v>
      </c>
      <c r="AM644" s="1">
        <v>-3.769229196914845E-4</v>
      </c>
      <c r="AN644" s="1">
        <v>-2.9642819987996626E-4</v>
      </c>
      <c r="AO644" s="1">
        <v>-1.9939121489817181E-4</v>
      </c>
      <c r="AR644" s="1">
        <f>-$J$114</f>
        <v>-0.17975567190226879</v>
      </c>
      <c r="AT644" s="1">
        <v>8.233438337383775E-2</v>
      </c>
    </row>
    <row r="645" spans="2:46">
      <c r="B645" s="1">
        <v>-2.3222126956283784E-3</v>
      </c>
      <c r="C645" s="1">
        <v>-3.8591404581698233E-3</v>
      </c>
      <c r="D645" s="1">
        <v>-5.5759767847774313E-3</v>
      </c>
      <c r="E645" s="1">
        <v>-7.7746279904519046E-3</v>
      </c>
      <c r="F645" s="1">
        <v>-1.0759654095457798E-2</v>
      </c>
      <c r="G645" s="1">
        <v>-1.4977906219459425E-2</v>
      </c>
      <c r="H645" s="1">
        <v>-2.1289315440827749E-2</v>
      </c>
      <c r="I645" s="1">
        <v>-3.1579321965989296E-2</v>
      </c>
      <c r="J645" s="1">
        <v>-5.1137979482306063E-2</v>
      </c>
      <c r="K645" s="1">
        <v>-0.1145286350560441</v>
      </c>
      <c r="L645" s="1">
        <v>-5.2250959713722019E-2</v>
      </c>
      <c r="M645" s="1">
        <v>-3.3531665255734068E-2</v>
      </c>
      <c r="N645" s="1">
        <v>-2.3761926250228171E-2</v>
      </c>
      <c r="O645" s="1">
        <v>-1.7742855161056937E-2</v>
      </c>
      <c r="P645" s="1">
        <v>-1.3716656849138437E-2</v>
      </c>
      <c r="Q645" s="1">
        <v>-1.0880605311324527E-2</v>
      </c>
      <c r="R645" s="1">
        <v>-8.8075061923478058E-3</v>
      </c>
      <c r="S645" s="1">
        <v>-7.2482361078644265E-3</v>
      </c>
      <c r="T645" s="1">
        <v>-6.0478620736249995E-3</v>
      </c>
      <c r="U645" s="1">
        <v>-5.1050992514463014E-3</v>
      </c>
      <c r="V645" s="1">
        <v>-4.3498076021331617E-3</v>
      </c>
      <c r="W645" s="2">
        <v>-3.735742514101071E-3</v>
      </c>
      <c r="X645" s="2">
        <v>-3.2319600281941201E-3</v>
      </c>
      <c r="Y645" s="2">
        <v>-2.8142708253081658E-3</v>
      </c>
      <c r="Z645" s="1">
        <v>-2.4642718330437179E-3</v>
      </c>
      <c r="AA645" s="1">
        <v>-2.1677854650548312E-3</v>
      </c>
      <c r="AB645" s="1">
        <v>-1.9136252337675125E-3</v>
      </c>
      <c r="AC645" s="1">
        <v>-1.6925372814399957E-3</v>
      </c>
      <c r="AD645" s="1">
        <v>-1.4967657895848139E-3</v>
      </c>
      <c r="AE645" s="1">
        <v>-1.3222089139554786E-3</v>
      </c>
      <c r="AF645" s="1">
        <v>-1.1669801183422394E-3</v>
      </c>
      <c r="AG645" s="1">
        <v>-1.028734717517366E-3</v>
      </c>
      <c r="AH645" s="1">
        <v>-9.0514838269074068E-4</v>
      </c>
      <c r="AI645" s="1">
        <v>-7.9391023063938454E-4</v>
      </c>
      <c r="AJ645" s="1">
        <v>-6.9256580951271719E-4</v>
      </c>
      <c r="AK645" s="1">
        <v>-5.9773071724214045E-4</v>
      </c>
      <c r="AL645" s="1">
        <v>-5.0714680747266597E-4</v>
      </c>
      <c r="AM645" s="1">
        <v>-4.1926734243657516E-4</v>
      </c>
      <c r="AN645" s="1">
        <v>-3.2903404359165391E-4</v>
      </c>
      <c r="AO645" s="1">
        <v>-2.2089993992704463E-4</v>
      </c>
      <c r="AR645" s="1">
        <f>-$K$114</f>
        <v>-0.17975567190226879</v>
      </c>
      <c r="AT645" s="1">
        <v>8.533874206459019E-2</v>
      </c>
    </row>
    <row r="646" spans="2:46">
      <c r="B646" s="1">
        <v>-1.9714254491358016E-3</v>
      </c>
      <c r="C646" s="1">
        <v>-3.2338859371503943E-3</v>
      </c>
      <c r="D646" s="1">
        <v>-4.6004295372004868E-3</v>
      </c>
      <c r="E646" s="1">
        <v>-6.2967954560056343E-3</v>
      </c>
      <c r="F646" s="1">
        <v>-8.5220187916781511E-3</v>
      </c>
      <c r="G646" s="1">
        <v>-1.1537093223703724E-2</v>
      </c>
      <c r="H646" s="1">
        <v>-1.5804363777724862E-2</v>
      </c>
      <c r="I646" s="1">
        <v>-2.2207974271841395E-2</v>
      </c>
      <c r="J646" s="1">
        <v>-3.2604739878780445E-2</v>
      </c>
      <c r="K646" s="1">
        <v>-5.2250261962492897E-2</v>
      </c>
      <c r="L646" s="1">
        <v>-0.11564228957067162</v>
      </c>
      <c r="M646" s="1">
        <v>-5.3237271660688396E-2</v>
      </c>
      <c r="N646" s="1">
        <v>-3.4307155097875637E-2</v>
      </c>
      <c r="O646" s="1">
        <v>-2.4342064314512066E-2</v>
      </c>
      <c r="P646" s="1">
        <v>-1.8188507997456426E-2</v>
      </c>
      <c r="Q646" s="1">
        <v>-1.406827464918649E-2</v>
      </c>
      <c r="R646" s="1">
        <v>-1.1163504741407362E-2</v>
      </c>
      <c r="S646" s="1">
        <v>-9.0384815617002481E-3</v>
      </c>
      <c r="T646" s="1">
        <v>-7.4386930027968493E-3</v>
      </c>
      <c r="U646" s="1">
        <v>-6.2054185070357848E-3</v>
      </c>
      <c r="V646" s="1">
        <v>-5.2331536085355335E-3</v>
      </c>
      <c r="W646" s="2">
        <v>-4.4536902301577129E-3</v>
      </c>
      <c r="X646" s="2">
        <v>-3.8219898506175768E-3</v>
      </c>
      <c r="Y646" s="2">
        <v>-3.3039364167465508E-3</v>
      </c>
      <c r="Z646" s="1">
        <v>-2.8741215008715321E-3</v>
      </c>
      <c r="AA646" s="1">
        <v>-2.5133312405178623E-3</v>
      </c>
      <c r="AB646" s="1">
        <v>-2.2066771530054024E-3</v>
      </c>
      <c r="AC646" s="1">
        <v>-1.9420931955270418E-3</v>
      </c>
      <c r="AD646" s="1">
        <v>-1.7096546840178414E-3</v>
      </c>
      <c r="AE646" s="1">
        <v>-1.5039233578418695E-3</v>
      </c>
      <c r="AF646" s="1">
        <v>-1.3221817952188714E-3</v>
      </c>
      <c r="AG646" s="1">
        <v>-1.161316400664328E-3</v>
      </c>
      <c r="AH646" s="1">
        <v>-1.0183406771469763E-3</v>
      </c>
      <c r="AI646" s="1">
        <v>-8.9036705508205142E-4</v>
      </c>
      <c r="AJ646" s="1">
        <v>-7.7441571810492695E-4</v>
      </c>
      <c r="AK646" s="1">
        <v>-6.6652533187754157E-4</v>
      </c>
      <c r="AL646" s="1">
        <v>-5.6405033624833264E-4</v>
      </c>
      <c r="AM646" s="1">
        <v>-4.6518225522107118E-4</v>
      </c>
      <c r="AN646" s="1">
        <v>-3.6425075680580795E-4</v>
      </c>
      <c r="AO646" s="1">
        <v>-2.4404757093575286E-4</v>
      </c>
      <c r="AR646" s="1">
        <f>-$L$114</f>
        <v>-0.17975567190226879</v>
      </c>
      <c r="AT646" s="1">
        <v>8.8025255755657089E-2</v>
      </c>
    </row>
    <row r="647" spans="2:46">
      <c r="B647" s="1">
        <v>-1.693746243168521E-3</v>
      </c>
      <c r="C647" s="1">
        <v>-2.747731832477192E-3</v>
      </c>
      <c r="D647" s="1">
        <v>-3.8579284753934074E-3</v>
      </c>
      <c r="E647" s="1">
        <v>-5.2001717752507845E-3</v>
      </c>
      <c r="F647" s="1">
        <v>-6.9119783622752159E-3</v>
      </c>
      <c r="G647" s="1">
        <v>-9.1564140815980181E-3</v>
      </c>
      <c r="H647" s="1">
        <v>-1.2207031256373515E-2</v>
      </c>
      <c r="I647" s="1">
        <v>-1.6545944241580596E-2</v>
      </c>
      <c r="J647" s="1">
        <v>-2.3038861695253533E-2</v>
      </c>
      <c r="K647" s="1">
        <v>-3.3527392151734975E-2</v>
      </c>
      <c r="L647" s="1">
        <v>-5.3235565044704648E-2</v>
      </c>
      <c r="M647" s="1">
        <v>-0.11660062284109632</v>
      </c>
      <c r="N647" s="1">
        <v>-5.4028432144637623E-2</v>
      </c>
      <c r="O647" s="1">
        <v>-3.4900292676898384E-2</v>
      </c>
      <c r="P647" s="1">
        <v>-2.4794476082689362E-2</v>
      </c>
      <c r="Q647" s="1">
        <v>-1.8542584651472686E-2</v>
      </c>
      <c r="R647" s="1">
        <v>-1.4350859295831065E-2</v>
      </c>
      <c r="S647" s="1">
        <v>-1.1392381006555383E-2</v>
      </c>
      <c r="T647" s="1">
        <v>-9.2256259557177197E-3</v>
      </c>
      <c r="U647" s="1">
        <v>-7.5919669963942383E-3</v>
      </c>
      <c r="V647" s="1">
        <v>-6.3279053765795323E-3</v>
      </c>
      <c r="W647" s="2">
        <v>-5.3305797575600418E-3</v>
      </c>
      <c r="X647" s="2">
        <v>-4.5333682335990579E-3</v>
      </c>
      <c r="Y647" s="2">
        <v>-3.8874810504404595E-3</v>
      </c>
      <c r="Z647" s="1">
        <v>-3.3574275919216437E-3</v>
      </c>
      <c r="AA647" s="1">
        <v>-2.9169100322590847E-3</v>
      </c>
      <c r="AB647" s="1">
        <v>-2.5459404752201402E-3</v>
      </c>
      <c r="AC647" s="1">
        <v>-2.2286603873434264E-3</v>
      </c>
      <c r="AD647" s="1">
        <v>-1.952276538323251E-3</v>
      </c>
      <c r="AE647" s="1">
        <v>-1.7095588961534287E-3</v>
      </c>
      <c r="AF647" s="1">
        <v>-1.4966528665326169E-3</v>
      </c>
      <c r="AG647" s="1">
        <v>-1.3094299456262142E-3</v>
      </c>
      <c r="AH647" s="1">
        <v>-1.1440487093280789E-3</v>
      </c>
      <c r="AI647" s="1">
        <v>-9.9689250346592941E-4</v>
      </c>
      <c r="AJ647" s="1">
        <v>-8.6433301456120175E-4</v>
      </c>
      <c r="AK647" s="1">
        <v>-7.4172278912628374E-4</v>
      </c>
      <c r="AL647" s="1">
        <v>-6.2595459431648032E-4</v>
      </c>
      <c r="AM647" s="1">
        <v>-5.1490779171926892E-4</v>
      </c>
      <c r="AN647" s="1">
        <v>-4.0222977324726769E-4</v>
      </c>
      <c r="AO647" s="1">
        <v>-2.689145989699956E-4</v>
      </c>
      <c r="AR647" s="1">
        <f>-$M$114</f>
        <v>-0.17975567190226879</v>
      </c>
      <c r="AT647" s="1">
        <v>9.0364111307071351E-2</v>
      </c>
    </row>
    <row r="648" spans="2:46">
      <c r="B648" s="1">
        <v>-1.4675869845926356E-3</v>
      </c>
      <c r="C648" s="1">
        <v>-2.3580673282704162E-3</v>
      </c>
      <c r="D648" s="1">
        <v>-3.2738162067843398E-3</v>
      </c>
      <c r="E648" s="1">
        <v>-4.3559620118324696E-3</v>
      </c>
      <c r="F648" s="1">
        <v>-5.7036515054536829E-3</v>
      </c>
      <c r="G648" s="1">
        <v>-7.4239012009203369E-3</v>
      </c>
      <c r="H648" s="1">
        <v>-9.6896058135797717E-3</v>
      </c>
      <c r="I648" s="1">
        <v>-1.2789727311032992E-2</v>
      </c>
      <c r="J648" s="1">
        <v>-1.7192193334045994E-2</v>
      </c>
      <c r="K648" s="1">
        <v>-2.3753820129635141E-2</v>
      </c>
      <c r="L648" s="1">
        <v>-3.4300871007071687E-2</v>
      </c>
      <c r="M648" s="1">
        <v>-5.4025211545215196E-2</v>
      </c>
      <c r="N648" s="1">
        <v>-0.11729715467967121</v>
      </c>
      <c r="O648" s="1">
        <v>-5.4564647068768027E-2</v>
      </c>
      <c r="P648" s="1">
        <v>-3.5311561049814477E-2</v>
      </c>
      <c r="Q648" s="1">
        <v>-2.511627621933523E-2</v>
      </c>
      <c r="R648" s="1">
        <v>-1.879867608014478E-2</v>
      </c>
      <c r="S648" s="1">
        <v>-1.4557323789463212E-2</v>
      </c>
      <c r="T648" s="1">
        <v>-1.1560063084172253E-2</v>
      </c>
      <c r="U648" s="1">
        <v>-9.3614794836754233E-3</v>
      </c>
      <c r="V648" s="1">
        <v>-7.697859125433631E-3</v>
      </c>
      <c r="W648" s="2">
        <v>-6.4095024723051603E-3</v>
      </c>
      <c r="X648" s="2">
        <v>-5.3957545869897086E-3</v>
      </c>
      <c r="Y648" s="2">
        <v>-4.5856185665191828E-3</v>
      </c>
      <c r="Z648" s="1">
        <v>-3.9288147661591562E-3</v>
      </c>
      <c r="AA648" s="1">
        <v>-3.3889246163486047E-3</v>
      </c>
      <c r="AB648" s="1">
        <v>-2.9388440021135219E-3</v>
      </c>
      <c r="AC648" s="1">
        <v>-2.5575424311426232E-3</v>
      </c>
      <c r="AD648" s="1">
        <v>-2.2283957252051188E-3</v>
      </c>
      <c r="AE648" s="1">
        <v>-1.9417575810010362E-3</v>
      </c>
      <c r="AF648" s="1">
        <v>-1.6922170398549058E-3</v>
      </c>
      <c r="AG648" s="1">
        <v>-1.4743030064531904E-3</v>
      </c>
      <c r="AH648" s="1">
        <v>-1.2830675349109466E-3</v>
      </c>
      <c r="AI648" s="1">
        <v>-1.1139698301757307E-3</v>
      </c>
      <c r="AJ648" s="1">
        <v>-9.625788699875661E-4</v>
      </c>
      <c r="AK648" s="1">
        <v>-8.2342909242007385E-4</v>
      </c>
      <c r="AL648" s="1">
        <v>-6.9286177760466774E-4</v>
      </c>
      <c r="AM648" s="1">
        <v>-5.6838307036965704E-4</v>
      </c>
      <c r="AN648" s="1">
        <v>-4.4288111595736031E-4</v>
      </c>
      <c r="AO648" s="1">
        <v>-2.9541675620423178E-4</v>
      </c>
      <c r="AR648" s="1">
        <f>-$N$114</f>
        <v>-0.17975567190226879</v>
      </c>
      <c r="AT648" s="1">
        <v>9.227284979662384E-2</v>
      </c>
    </row>
    <row r="649" spans="2:46">
      <c r="B649" s="1">
        <v>-1.2786453969431005E-3</v>
      </c>
      <c r="C649" s="1">
        <v>-2.0372065349226298E-3</v>
      </c>
      <c r="D649" s="1">
        <v>-2.8007805703588033E-3</v>
      </c>
      <c r="E649" s="1">
        <v>-3.685104597391773E-3</v>
      </c>
      <c r="F649" s="1">
        <v>-4.7640271753014076E-3</v>
      </c>
      <c r="G649" s="1">
        <v>-6.1103758127331433E-3</v>
      </c>
      <c r="H649" s="1">
        <v>-7.8386995739175517E-3</v>
      </c>
      <c r="I649" s="1">
        <v>-1.0133629479159557E-2</v>
      </c>
      <c r="J649" s="1">
        <v>-1.3271998003399689E-2</v>
      </c>
      <c r="K649" s="1">
        <v>-1.7714676782273672E-2</v>
      </c>
      <c r="L649" s="1">
        <v>-2.4308268395045345E-2</v>
      </c>
      <c r="M649" s="1">
        <v>-3.4860390647013621E-2</v>
      </c>
      <c r="N649" s="1">
        <v>-5.4519441745696035E-2</v>
      </c>
      <c r="O649" s="1">
        <v>-0.11767959770079883</v>
      </c>
      <c r="P649" s="1">
        <v>-5.4862935116417738E-2</v>
      </c>
      <c r="Q649" s="1">
        <v>-3.5549645022274604E-2</v>
      </c>
      <c r="R649" s="1">
        <v>-2.5308385280523229E-2</v>
      </c>
      <c r="S649" s="1">
        <v>-1.8954635850277894E-2</v>
      </c>
      <c r="T649" s="1">
        <v>-1.4683905472751805E-2</v>
      </c>
      <c r="U649" s="1">
        <v>-1.1661377269061229E-2</v>
      </c>
      <c r="V649" s="1">
        <v>-9.4367437067455328E-3</v>
      </c>
      <c r="W649" s="2">
        <v>-7.7519404996857838E-3</v>
      </c>
      <c r="X649" s="2">
        <v>-6.450464381591161E-3</v>
      </c>
      <c r="Y649" s="2">
        <v>-5.4266351980917426E-3</v>
      </c>
      <c r="Z649" s="1">
        <v>-4.6079253080185253E-3</v>
      </c>
      <c r="AA649" s="1">
        <v>-3.9431551739489206E-3</v>
      </c>
      <c r="AB649" s="1">
        <v>-3.3951174798731156E-3</v>
      </c>
      <c r="AC649" s="1">
        <v>-2.935623444275262E-3</v>
      </c>
      <c r="AD649" s="1">
        <v>-2.5428662613472576E-3</v>
      </c>
      <c r="AE649" s="1">
        <v>-2.2039126722527636E-3</v>
      </c>
      <c r="AF649" s="1">
        <v>-1.9112147407515062E-3</v>
      </c>
      <c r="AG649" s="1">
        <v>-1.6575168523300819E-3</v>
      </c>
      <c r="AH649" s="1">
        <v>-1.4364321471018405E-3</v>
      </c>
      <c r="AI649" s="1">
        <v>-1.2422429826596363E-3</v>
      </c>
      <c r="AJ649" s="1">
        <v>-1.0695199851260368E-3</v>
      </c>
      <c r="AK649" s="1">
        <v>-9.1181739230626559E-4</v>
      </c>
      <c r="AL649" s="1">
        <v>-7.6481477844071559E-4</v>
      </c>
      <c r="AM649" s="1">
        <v>-6.2557012740552102E-4</v>
      </c>
      <c r="AN649" s="1">
        <v>-4.8612616066073491E-4</v>
      </c>
      <c r="AO649" s="1">
        <v>-3.2347396637658375E-4</v>
      </c>
      <c r="AR649" s="1">
        <f>-$O$114</f>
        <v>-0.17975567190226879</v>
      </c>
      <c r="AT649" s="1">
        <v>9.3679100327366177E-2</v>
      </c>
    </row>
    <row r="650" spans="2:46">
      <c r="B650" s="1">
        <v>-1.1211433651601523E-3</v>
      </c>
      <c r="C650" s="1">
        <v>-1.7729291941760619E-3</v>
      </c>
      <c r="D650" s="1">
        <v>-2.416491459740521E-3</v>
      </c>
      <c r="E650" s="1">
        <v>-3.1485236084766288E-3</v>
      </c>
      <c r="F650" s="1">
        <v>-4.0256180076503126E-3</v>
      </c>
      <c r="G650" s="1">
        <v>-5.0988768502158461E-3</v>
      </c>
      <c r="H650" s="1">
        <v>-6.4471288767973698E-3</v>
      </c>
      <c r="I650" s="1">
        <v>-8.1942215820111977E-3</v>
      </c>
      <c r="J650" s="1">
        <v>-1.0514589798743507E-2</v>
      </c>
      <c r="K650" s="1">
        <v>-1.3679505211658786E-2</v>
      </c>
      <c r="L650" s="1">
        <v>-1.8142574743391902E-2</v>
      </c>
      <c r="M650" s="1">
        <v>-2.4738074705801427E-2</v>
      </c>
      <c r="N650" s="1">
        <v>-3.5243924231102772E-2</v>
      </c>
      <c r="O650" s="1">
        <v>-5.48254136465691E-2</v>
      </c>
      <c r="P650" s="1">
        <v>-0.11792821507362587</v>
      </c>
      <c r="Q650" s="1">
        <v>-5.5068137741078438E-2</v>
      </c>
      <c r="R650" s="1">
        <v>-3.5718122723191199E-2</v>
      </c>
      <c r="S650" s="1">
        <v>-2.5445903139737828E-2</v>
      </c>
      <c r="T650" s="1">
        <v>-1.9065783482840701E-2</v>
      </c>
      <c r="U650" s="1">
        <v>-1.4771359673530559E-2</v>
      </c>
      <c r="V650" s="1">
        <v>-1.1722538604139214E-2</v>
      </c>
      <c r="W650" s="2">
        <v>-9.4766462491701654E-3</v>
      </c>
      <c r="X650" s="2">
        <v>-7.7797629947694144E-3</v>
      </c>
      <c r="Y650" s="2">
        <v>-6.4692944916499113E-3</v>
      </c>
      <c r="Z650" s="1">
        <v>-5.4378249524036438E-3</v>
      </c>
      <c r="AA650" s="1">
        <v>-4.6118554443056285E-3</v>
      </c>
      <c r="AB650" s="1">
        <v>-3.9393637859014216E-3</v>
      </c>
      <c r="AC650" s="1">
        <v>-3.3819528451474903E-3</v>
      </c>
      <c r="AD650" s="1">
        <v>-2.9106033243162959E-3</v>
      </c>
      <c r="AE650" s="1">
        <v>-2.5078051201859806E-3</v>
      </c>
      <c r="AF650" s="1">
        <v>-2.1630250859026087E-3</v>
      </c>
      <c r="AG650" s="1">
        <v>-1.8665890654821682E-3</v>
      </c>
      <c r="AH650" s="1">
        <v>-1.6102009266171235E-3</v>
      </c>
      <c r="AI650" s="1">
        <v>-1.3866124548726811E-3</v>
      </c>
      <c r="AJ650" s="1">
        <v>-1.1891241337751309E-3</v>
      </c>
      <c r="AK650" s="1">
        <v>-1.0100849505512268E-3</v>
      </c>
      <c r="AL650" s="1">
        <v>-8.4436017607513218E-4</v>
      </c>
      <c r="AM650" s="1">
        <v>-6.8845590102777294E-4</v>
      </c>
      <c r="AN650" s="1">
        <v>-5.3344467054897214E-4</v>
      </c>
      <c r="AO650" s="1">
        <v>-3.5403469568294921E-4</v>
      </c>
      <c r="AR650" s="1">
        <f>-$P$114</f>
        <v>-0.17975567190226879</v>
      </c>
      <c r="AT650" s="1">
        <v>9.4776199039732265E-2</v>
      </c>
    </row>
    <row r="651" spans="2:46">
      <c r="B651" s="1">
        <v>-9.8891988814836409E-4</v>
      </c>
      <c r="C651" s="1">
        <v>-1.5533858186264644E-3</v>
      </c>
      <c r="D651" s="1">
        <v>-2.1010505842375782E-3</v>
      </c>
      <c r="E651" s="1">
        <v>-2.7139524568287545E-3</v>
      </c>
      <c r="F651" s="1">
        <v>-3.4365309134407802E-3</v>
      </c>
      <c r="G651" s="1">
        <v>-4.3055846346862396E-3</v>
      </c>
      <c r="H651" s="1">
        <v>-5.3770756512759969E-3</v>
      </c>
      <c r="I651" s="1">
        <v>-6.7373306871298137E-3</v>
      </c>
      <c r="J651" s="1">
        <v>-8.5015403321069809E-3</v>
      </c>
      <c r="K651" s="1">
        <v>-1.0839620256180639E-2</v>
      </c>
      <c r="L651" s="1">
        <v>-1.4017356106019237E-2</v>
      </c>
      <c r="M651" s="1">
        <v>-1.8479549822788197E-2</v>
      </c>
      <c r="N651" s="1">
        <v>-2.5039376242380194E-2</v>
      </c>
      <c r="O651" s="1">
        <v>-3.5488668169169568E-2</v>
      </c>
      <c r="P651" s="1">
        <v>-5.5031381336440741E-2</v>
      </c>
      <c r="Q651" s="1">
        <v>-0.1181067772821931</v>
      </c>
      <c r="R651" s="1">
        <v>-5.5220364873682357E-2</v>
      </c>
      <c r="S651" s="1">
        <v>-3.5844404198569726E-2</v>
      </c>
      <c r="T651" s="1">
        <v>-2.5547903519545587E-2</v>
      </c>
      <c r="U651" s="1">
        <v>-1.9144507751964395E-2</v>
      </c>
      <c r="V651" s="1">
        <v>-1.4822079124080456E-2</v>
      </c>
      <c r="W651" s="2">
        <v>-1.1750812012466163E-2</v>
      </c>
      <c r="X651" s="2">
        <v>-9.4933477351787244E-3</v>
      </c>
      <c r="Y651" s="2">
        <v>-7.7882006001488389E-3</v>
      </c>
      <c r="Z651" s="1">
        <v>-6.470739719453434E-3</v>
      </c>
      <c r="AA651" s="1">
        <v>-5.4324655698468668E-3</v>
      </c>
      <c r="AB651" s="1">
        <v>-4.5989557279292907E-3</v>
      </c>
      <c r="AC651" s="1">
        <v>-3.916861151984921E-3</v>
      </c>
      <c r="AD651" s="1">
        <v>-3.3468831492768775E-3</v>
      </c>
      <c r="AE651" s="1">
        <v>-2.8650157256265791E-3</v>
      </c>
      <c r="AF651" s="1">
        <v>-2.4564964232158472E-3</v>
      </c>
      <c r="AG651" s="1">
        <v>-2.108325124341187E-3</v>
      </c>
      <c r="AH651" s="1">
        <v>-1.809635996829933E-3</v>
      </c>
      <c r="AI651" s="1">
        <v>-1.5511619119241873E-3</v>
      </c>
      <c r="AJ651" s="1">
        <v>-1.3245638497229439E-3</v>
      </c>
      <c r="AK651" s="1">
        <v>-1.1206852036297252E-3</v>
      </c>
      <c r="AL651" s="1">
        <v>-9.3337393554732801E-4</v>
      </c>
      <c r="AM651" s="1">
        <v>-7.5844647308732037E-4</v>
      </c>
      <c r="AN651" s="1">
        <v>-5.8584387138963304E-4</v>
      </c>
      <c r="AO651" s="1">
        <v>-3.8772131042298305E-4</v>
      </c>
      <c r="AR651" s="1">
        <f>-$Q$114</f>
        <v>-0.17975567190226879</v>
      </c>
      <c r="AT651" s="1">
        <v>9.5629459336084438E-2</v>
      </c>
    </row>
    <row r="652" spans="2:46">
      <c r="B652" s="1">
        <v>-8.7712421594486156E-4</v>
      </c>
      <c r="C652" s="1">
        <v>-1.3694836749121001E-3</v>
      </c>
      <c r="D652" s="1">
        <v>-1.8395991662784011E-3</v>
      </c>
      <c r="E652" s="1">
        <v>-2.3579818172511174E-3</v>
      </c>
      <c r="F652" s="1">
        <v>-2.960274176641652E-3</v>
      </c>
      <c r="G652" s="1">
        <v>-3.673577271662658E-3</v>
      </c>
      <c r="H652" s="1">
        <v>-4.53867887577081E-3</v>
      </c>
      <c r="I652" s="1">
        <v>-5.6176784935276676E-3</v>
      </c>
      <c r="J652" s="1">
        <v>-6.989490170051336E-3</v>
      </c>
      <c r="K652" s="1">
        <v>-8.7655625045217414E-3</v>
      </c>
      <c r="L652" s="1">
        <v>-1.1111521425802498E-2</v>
      </c>
      <c r="M652" s="1">
        <v>-1.4286569638373693E-2</v>
      </c>
      <c r="N652" s="1">
        <v>-1.8719963407306018E-2</v>
      </c>
      <c r="O652" s="1">
        <v>-2.5236498747791724E-2</v>
      </c>
      <c r="P652" s="1">
        <v>-3.5657823592727678E-2</v>
      </c>
      <c r="Q652" s="1">
        <v>-5.5183765253108454E-2</v>
      </c>
      <c r="R652" s="1">
        <v>-0.11824406661106815</v>
      </c>
      <c r="S652" s="1">
        <v>-5.5338847840618342E-2</v>
      </c>
      <c r="T652" s="1">
        <v>-3.5941169295594072E-2</v>
      </c>
      <c r="U652" s="1">
        <v>-2.5621253597979378E-2</v>
      </c>
      <c r="V652" s="1">
        <v>-1.9186768126927836E-2</v>
      </c>
      <c r="W652" s="2">
        <v>-1.4839664997789815E-2</v>
      </c>
      <c r="X652" s="2">
        <v>-1.1757010250342816E-2</v>
      </c>
      <c r="Y652" s="2">
        <v>-9.4918420209708226E-3</v>
      </c>
      <c r="Z652" s="1">
        <v>-7.7802232431774714E-3</v>
      </c>
      <c r="AA652" s="1">
        <v>-6.4562859844161814E-3</v>
      </c>
      <c r="AB652" s="1">
        <v>-5.4105016147380771E-3</v>
      </c>
      <c r="AC652" s="1">
        <v>-4.5669504707645898E-3</v>
      </c>
      <c r="AD652" s="1">
        <v>-3.8712960318759621E-3</v>
      </c>
      <c r="AE652" s="1">
        <v>-3.2901175312130102E-3</v>
      </c>
      <c r="AF652" s="1">
        <v>-2.802564047619457E-3</v>
      </c>
      <c r="AG652" s="1">
        <v>-2.3909899212902221E-3</v>
      </c>
      <c r="AH652" s="1">
        <v>-2.0410196793481153E-3</v>
      </c>
      <c r="AI652" s="1">
        <v>-1.7406854045232726E-3</v>
      </c>
      <c r="AJ652" s="1">
        <v>-1.4795020490394363E-3</v>
      </c>
      <c r="AK652" s="1">
        <v>-1.2464042986371892E-3</v>
      </c>
      <c r="AL652" s="1">
        <v>-1.0339514913235346E-3</v>
      </c>
      <c r="AM652" s="1">
        <v>-8.3708678839513489E-4</v>
      </c>
      <c r="AN652" s="1">
        <v>-6.4441267814119036E-4</v>
      </c>
      <c r="AO652" s="1">
        <v>-4.2519626984140191E-4</v>
      </c>
      <c r="AR652" s="1">
        <f>-$R$114</f>
        <v>-0.17975567190226879</v>
      </c>
      <c r="AT652" s="1">
        <v>9.6281344634838936E-2</v>
      </c>
    </row>
    <row r="653" spans="2:46">
      <c r="B653" s="1">
        <v>-7.8191190505868212E-4</v>
      </c>
      <c r="C653" s="1">
        <v>-1.2141691024479776E-3</v>
      </c>
      <c r="D653" s="1">
        <v>-1.6208712990050944E-3</v>
      </c>
      <c r="E653" s="1">
        <v>-2.0632887555403568E-3</v>
      </c>
      <c r="F653" s="1">
        <v>-2.5705406697536554E-3</v>
      </c>
      <c r="G653" s="1">
        <v>-3.1629866127100338E-3</v>
      </c>
      <c r="H653" s="1">
        <v>-3.8710386063399121E-3</v>
      </c>
      <c r="I653" s="1">
        <v>-4.7405716259958956E-3</v>
      </c>
      <c r="J653" s="1">
        <v>-5.8272864749852448E-3</v>
      </c>
      <c r="K653" s="1">
        <v>-7.2069530116270625E-3</v>
      </c>
      <c r="L653" s="1">
        <v>-8.9875807354612251E-3</v>
      </c>
      <c r="M653" s="1">
        <v>-1.1329713982478331E-2</v>
      </c>
      <c r="N653" s="1">
        <v>-1.4480753486633075E-2</v>
      </c>
      <c r="O653" s="1">
        <v>-1.8879665183565434E-2</v>
      </c>
      <c r="P653" s="1">
        <v>-2.5374543446453315E-2</v>
      </c>
      <c r="Q653" s="1">
        <v>-3.578431705982358E-2</v>
      </c>
      <c r="R653" s="1">
        <v>-5.5302429020464651E-2</v>
      </c>
      <c r="S653" s="1">
        <v>-0.11835273864390147</v>
      </c>
      <c r="T653" s="1">
        <v>-5.5430978493826021E-2</v>
      </c>
      <c r="U653" s="1">
        <v>-3.6010412734995265E-2</v>
      </c>
      <c r="V653" s="1">
        <v>-2.5655195954632871E-2</v>
      </c>
      <c r="W653" s="2">
        <v>-1.919284968504794E-2</v>
      </c>
      <c r="X653" s="2">
        <v>-1.4834480011176284E-2</v>
      </c>
      <c r="Y653" s="2">
        <v>-1.1744746053761069E-2</v>
      </c>
      <c r="Z653" s="1">
        <v>-9.4736852113515655E-3</v>
      </c>
      <c r="AA653" s="1">
        <v>-7.7559321145979042E-3</v>
      </c>
      <c r="AB653" s="1">
        <v>-6.424463793138005E-3</v>
      </c>
      <c r="AC653" s="1">
        <v>-5.3680495134512726E-3</v>
      </c>
      <c r="AD653" s="1">
        <v>-4.5096845328730147E-3</v>
      </c>
      <c r="AE653" s="1">
        <v>-3.8019721561410387E-3</v>
      </c>
      <c r="AF653" s="1">
        <v>-3.2151317612873504E-3</v>
      </c>
      <c r="AG653" s="1">
        <v>-2.7249158135230294E-3</v>
      </c>
      <c r="AH653" s="1">
        <v>-2.3120790004465632E-3</v>
      </c>
      <c r="AI653" s="1">
        <v>-1.9609867312647489E-3</v>
      </c>
      <c r="AJ653" s="1">
        <v>-1.6583047021862217E-3</v>
      </c>
      <c r="AK653" s="1">
        <v>-1.3905124348175266E-3</v>
      </c>
      <c r="AL653" s="1">
        <v>-1.1485149021121101E-3</v>
      </c>
      <c r="AM653" s="1">
        <v>-9.2613552651588734E-4</v>
      </c>
      <c r="AN653" s="1">
        <v>-7.1037207241967759E-4</v>
      </c>
      <c r="AO653" s="1">
        <v>-4.6719162362965073E-4</v>
      </c>
      <c r="AR653" s="1">
        <f>-$S$114</f>
        <v>-0.17975567190226879</v>
      </c>
      <c r="AT653" s="1">
        <v>9.6756717814799886E-2</v>
      </c>
    </row>
    <row r="654" spans="2:46">
      <c r="B654" s="1">
        <v>-7.0022638579423529E-4</v>
      </c>
      <c r="C654" s="1">
        <v>-1.0819327616439745E-3</v>
      </c>
      <c r="D654" s="1">
        <v>-1.4362344604018588E-3</v>
      </c>
      <c r="E654" s="1">
        <v>-1.8168678013921317E-3</v>
      </c>
      <c r="F654" s="1">
        <v>-2.2480087541703968E-3</v>
      </c>
      <c r="G654" s="1">
        <v>-2.745227155214457E-3</v>
      </c>
      <c r="H654" s="1">
        <v>-3.3316562543386488E-3</v>
      </c>
      <c r="I654" s="1">
        <v>-4.0419693532345469E-3</v>
      </c>
      <c r="J654" s="1">
        <v>-4.9164756546485689E-3</v>
      </c>
      <c r="K654" s="1">
        <v>-6.0082005494973625E-3</v>
      </c>
      <c r="L654" s="1">
        <v>-7.3901009808467937E-3</v>
      </c>
      <c r="M654" s="1">
        <v>-9.1661642266133297E-3</v>
      </c>
      <c r="N654" s="1">
        <v>-1.1487747162360938E-2</v>
      </c>
      <c r="O654" s="1">
        <v>-1.4610381603751495E-2</v>
      </c>
      <c r="P654" s="1">
        <v>-1.8991490161908396E-2</v>
      </c>
      <c r="Q654" s="1">
        <v>-2.5477121106524666E-2</v>
      </c>
      <c r="R654" s="1">
        <v>-3.5881821082772158E-2</v>
      </c>
      <c r="S654" s="1">
        <v>-5.5395332186848376E-2</v>
      </c>
      <c r="T654" s="1">
        <v>-0.11843618823534179</v>
      </c>
      <c r="U654" s="1">
        <v>-5.5494616608919148E-2</v>
      </c>
      <c r="V654" s="1">
        <v>-3.6034188227198262E-2</v>
      </c>
      <c r="W654" s="2">
        <v>-2.5647108284679667E-2</v>
      </c>
      <c r="X654" s="2">
        <v>-1.9173856639818448E-2</v>
      </c>
      <c r="Y654" s="2">
        <v>-1.4809363072195625E-2</v>
      </c>
      <c r="Z654" s="1">
        <v>-1.1714578455015992E-2</v>
      </c>
      <c r="AA654" s="1">
        <v>-9.43788766049386E-3</v>
      </c>
      <c r="AB654" s="1">
        <v>-7.712630255551866E-3</v>
      </c>
      <c r="AC654" s="1">
        <v>-6.3698399709815117E-3</v>
      </c>
      <c r="AD654" s="1">
        <v>-5.2970959946644991E-3</v>
      </c>
      <c r="AE654" s="1">
        <v>-4.4256588685637919E-3</v>
      </c>
      <c r="AF654" s="1">
        <v>-3.7123571686691528E-3</v>
      </c>
      <c r="AG654" s="1">
        <v>-3.1233731292968185E-3</v>
      </c>
      <c r="AH654" s="1">
        <v>-2.6325834459609496E-3</v>
      </c>
      <c r="AI654" s="1">
        <v>-2.2192945750881634E-3</v>
      </c>
      <c r="AJ654" s="1">
        <v>-1.8663315520957562E-3</v>
      </c>
      <c r="AK654" s="1">
        <v>-1.5569679384358924E-3</v>
      </c>
      <c r="AL654" s="1">
        <v>-1.2799554510280493E-3</v>
      </c>
      <c r="AM654" s="1">
        <v>-1.0276634720920302E-3</v>
      </c>
      <c r="AN654" s="1">
        <v>-7.8514047517711676E-4</v>
      </c>
      <c r="AO654" s="1">
        <v>-5.1454684220578542E-4</v>
      </c>
      <c r="AR654" s="1">
        <f>-$T$114</f>
        <v>-0.17975567190226879</v>
      </c>
      <c r="AT654" s="1">
        <v>9.7067736384711972E-2</v>
      </c>
    </row>
    <row r="655" spans="2:46">
      <c r="B655" s="1">
        <v>-6.2963322162450986E-4</v>
      </c>
      <c r="C655" s="1">
        <v>-9.6845081186001567E-4</v>
      </c>
      <c r="D655" s="1">
        <v>-1.2790212757808367E-3</v>
      </c>
      <c r="E655" s="1">
        <v>-1.6088451816528057E-3</v>
      </c>
      <c r="F655" s="1">
        <v>-1.978278325376039E-3</v>
      </c>
      <c r="G655" s="1">
        <v>-2.399420965952775E-3</v>
      </c>
      <c r="H655" s="1">
        <v>-2.8901846209165327E-3</v>
      </c>
      <c r="I655" s="1">
        <v>-3.4773039703069864E-3</v>
      </c>
      <c r="J655" s="1">
        <v>-4.1905767473572938E-3</v>
      </c>
      <c r="K655" s="1">
        <v>-5.0680102941759817E-3</v>
      </c>
      <c r="L655" s="1">
        <v>-6.160290262913347E-3</v>
      </c>
      <c r="M655" s="1">
        <v>-7.537123368145565E-3</v>
      </c>
      <c r="N655" s="1">
        <v>-9.2951918160283711E-3</v>
      </c>
      <c r="O655" s="1">
        <v>-1.1592690892971273E-2</v>
      </c>
      <c r="P655" s="1">
        <v>-1.4699972640630918E-2</v>
      </c>
      <c r="Q655" s="1">
        <v>-1.9072760339017256E-2</v>
      </c>
      <c r="R655" s="1">
        <v>-2.5553786120596191E-2</v>
      </c>
      <c r="S655" s="1">
        <v>-3.5955206721579598E-2</v>
      </c>
      <c r="T655" s="1">
        <v>-5.5463219095204949E-2</v>
      </c>
      <c r="U655" s="1">
        <v>-0.11848925553239753</v>
      </c>
      <c r="V655" s="1">
        <v>-5.5504891030580823E-2</v>
      </c>
      <c r="W655" s="2">
        <v>-3.6008050879886094E-2</v>
      </c>
      <c r="X655" s="2">
        <v>-2.5610780772688798E-2</v>
      </c>
      <c r="Y655" s="2">
        <v>-1.9132838241362655E-2</v>
      </c>
      <c r="Z655" s="1">
        <v>-1.4764525202695304E-2</v>
      </c>
      <c r="AA655" s="1">
        <v>-1.1664866986531625E-2</v>
      </c>
      <c r="AB655" s="1">
        <v>-9.3807943867194165E-3</v>
      </c>
      <c r="AC655" s="1">
        <v>-7.6434152752063974E-3</v>
      </c>
      <c r="AD655" s="1">
        <v>-6.2824621618603636E-3</v>
      </c>
      <c r="AE655" s="1">
        <v>-5.1954571492562442E-3</v>
      </c>
      <c r="AF655" s="1">
        <v>-4.3185982417285962E-3</v>
      </c>
      <c r="AG655" s="1">
        <v>-3.6038656780905771E-3</v>
      </c>
      <c r="AH655" s="1">
        <v>-3.0152212890046928E-3</v>
      </c>
      <c r="AI655" s="1">
        <v>-2.5248631950265878E-3</v>
      </c>
      <c r="AJ655" s="1">
        <v>-2.1103519443314953E-3</v>
      </c>
      <c r="AK655" s="1">
        <v>-1.7507061548669655E-3</v>
      </c>
      <c r="AL655" s="1">
        <v>-1.4318336116741399E-3</v>
      </c>
      <c r="AM655" s="1">
        <v>-1.1441902509907816E-3</v>
      </c>
      <c r="AN655" s="1">
        <v>-8.7042387053896226E-4</v>
      </c>
      <c r="AO655" s="1">
        <v>-5.6826057221390084E-4</v>
      </c>
      <c r="AR655" s="1">
        <f>-$U$114</f>
        <v>-0.17975567190226879</v>
      </c>
      <c r="AT655" s="1">
        <v>9.721827009995386E-2</v>
      </c>
    </row>
    <row r="656" spans="2:46">
      <c r="B656" s="1">
        <v>-5.6826057221390387E-4</v>
      </c>
      <c r="C656" s="1">
        <v>-8.7042387053894589E-4</v>
      </c>
      <c r="D656" s="1">
        <v>-1.1441902509907987E-3</v>
      </c>
      <c r="E656" s="1">
        <v>-1.4318336116741399E-3</v>
      </c>
      <c r="F656" s="1">
        <v>-1.7507061548669637E-3</v>
      </c>
      <c r="G656" s="1">
        <v>-2.1103519443314957E-3</v>
      </c>
      <c r="H656" s="1">
        <v>-2.5248631950265895E-3</v>
      </c>
      <c r="I656" s="1">
        <v>-3.0152212890046941E-3</v>
      </c>
      <c r="J656" s="1">
        <v>-3.6038656780905806E-3</v>
      </c>
      <c r="K656" s="1">
        <v>-4.3185982417285997E-3</v>
      </c>
      <c r="L656" s="1">
        <v>-5.1954571492562511E-3</v>
      </c>
      <c r="M656" s="1">
        <v>-6.2824621618603714E-3</v>
      </c>
      <c r="N656" s="1">
        <v>-7.6434152752064104E-3</v>
      </c>
      <c r="O656" s="1">
        <v>-9.3807943867194286E-3</v>
      </c>
      <c r="P656" s="1">
        <v>-1.1664866986531637E-2</v>
      </c>
      <c r="Q656" s="1">
        <v>-1.4764525202695323E-2</v>
      </c>
      <c r="R656" s="1">
        <v>-1.9132838241362693E-2</v>
      </c>
      <c r="S656" s="1">
        <v>-2.5610780772688534E-2</v>
      </c>
      <c r="T656" s="1">
        <v>-3.6008050879886455E-2</v>
      </c>
      <c r="U656" s="1">
        <v>-5.5504891030579984E-2</v>
      </c>
      <c r="V656" s="1">
        <v>-0.11848925553239877</v>
      </c>
      <c r="W656" s="1">
        <v>-5.5463219095204311E-2</v>
      </c>
      <c r="X656" s="1">
        <v>-3.5955206721579973E-2</v>
      </c>
      <c r="Y656" s="1">
        <v>-2.5553786120596139E-2</v>
      </c>
      <c r="Z656" s="1">
        <v>-1.9072760339017222E-2</v>
      </c>
      <c r="AA656" s="1">
        <v>-1.4699972640630912E-2</v>
      </c>
      <c r="AB656" s="1">
        <v>-1.159269089297126E-2</v>
      </c>
      <c r="AC656" s="1">
        <v>-9.295191816028359E-3</v>
      </c>
      <c r="AD656" s="1">
        <v>-7.5371233681455607E-3</v>
      </c>
      <c r="AE656" s="1">
        <v>-6.1602902629133392E-3</v>
      </c>
      <c r="AF656" s="1">
        <v>-5.0680102941759774E-3</v>
      </c>
      <c r="AG656" s="1">
        <v>-4.1905767473572886E-3</v>
      </c>
      <c r="AH656" s="1">
        <v>-3.4773039703069829E-3</v>
      </c>
      <c r="AI656" s="1">
        <v>-2.8901846209165309E-3</v>
      </c>
      <c r="AJ656" s="1">
        <v>-2.3994209659527733E-3</v>
      </c>
      <c r="AK656" s="1">
        <v>-1.9782783253760416E-3</v>
      </c>
      <c r="AL656" s="1">
        <v>-1.6088451816528052E-3</v>
      </c>
      <c r="AM656" s="1">
        <v>-1.2790212757808168E-3</v>
      </c>
      <c r="AN656" s="1">
        <v>-9.6845081186003399E-4</v>
      </c>
      <c r="AO656" s="1">
        <v>-6.2963322162450683E-4</v>
      </c>
      <c r="AR656" s="1">
        <f>-$V$114</f>
        <v>-0.17975567190226879</v>
      </c>
      <c r="AT656" s="1">
        <v>9.7218270099953888E-2</v>
      </c>
    </row>
    <row r="657" spans="2:46">
      <c r="B657" s="1">
        <v>-5.1454684220578911E-4</v>
      </c>
      <c r="C657" s="1">
        <v>-7.8514047517710115E-4</v>
      </c>
      <c r="D657" s="1">
        <v>-1.0276634720920472E-3</v>
      </c>
      <c r="E657" s="1">
        <v>-1.2799554510280493E-3</v>
      </c>
      <c r="F657" s="1">
        <v>-1.5569679384358909E-3</v>
      </c>
      <c r="G657" s="1">
        <v>-1.8663315520957582E-3</v>
      </c>
      <c r="H657" s="1">
        <v>-2.2192945750881652E-3</v>
      </c>
      <c r="I657" s="1">
        <v>-2.6325834459609522E-3</v>
      </c>
      <c r="J657" s="1">
        <v>-3.1233731292968207E-3</v>
      </c>
      <c r="K657" s="1">
        <v>-3.7123571686691554E-3</v>
      </c>
      <c r="L657" s="1">
        <v>-4.4256588685637971E-3</v>
      </c>
      <c r="M657" s="1">
        <v>-5.2970959946645052E-3</v>
      </c>
      <c r="N657" s="1">
        <v>-6.3698399709815274E-3</v>
      </c>
      <c r="O657" s="1">
        <v>-7.7126302555518781E-3</v>
      </c>
      <c r="P657" s="1">
        <v>-9.4378876604938686E-3</v>
      </c>
      <c r="Q657" s="1">
        <v>-1.1714578455016009E-2</v>
      </c>
      <c r="R657" s="1">
        <v>-1.480936307219566E-2</v>
      </c>
      <c r="S657" s="1">
        <v>-1.9173856639818264E-2</v>
      </c>
      <c r="T657" s="1">
        <v>-2.5647108284679952E-2</v>
      </c>
      <c r="U657" s="1">
        <v>-3.6034188227197762E-2</v>
      </c>
      <c r="V657" s="1">
        <v>-5.5494616608920001E-2</v>
      </c>
      <c r="W657" s="1">
        <v>-0.11843618823534102</v>
      </c>
      <c r="X657" s="1">
        <v>-5.5395332186849021E-2</v>
      </c>
      <c r="Y657" s="1">
        <v>-3.5881821082772096E-2</v>
      </c>
      <c r="Z657" s="1">
        <v>-2.5477121106524645E-2</v>
      </c>
      <c r="AA657" s="1">
        <v>-1.8991490161908389E-2</v>
      </c>
      <c r="AB657" s="1">
        <v>-1.4610381603751485E-2</v>
      </c>
      <c r="AC657" s="1">
        <v>-1.1487747162360923E-2</v>
      </c>
      <c r="AD657" s="1">
        <v>-9.166164226613328E-3</v>
      </c>
      <c r="AE657" s="1">
        <v>-7.3901009808467885E-3</v>
      </c>
      <c r="AF657" s="1">
        <v>-6.0082005494973634E-3</v>
      </c>
      <c r="AG657" s="1">
        <v>-4.9164756546485671E-3</v>
      </c>
      <c r="AH657" s="1">
        <v>-4.0419693532345417E-3</v>
      </c>
      <c r="AI657" s="1">
        <v>-3.3316562543386492E-3</v>
      </c>
      <c r="AJ657" s="1">
        <v>-2.7452271552144574E-3</v>
      </c>
      <c r="AK657" s="1">
        <v>-2.2480087541704007E-3</v>
      </c>
      <c r="AL657" s="1">
        <v>-1.8168678013921315E-3</v>
      </c>
      <c r="AM657" s="1">
        <v>-1.4362344604018373E-3</v>
      </c>
      <c r="AN657" s="1">
        <v>-1.0819327616439949E-3</v>
      </c>
      <c r="AO657" s="1">
        <v>-7.0022638579423269E-4</v>
      </c>
      <c r="AR657" s="1">
        <f>-$W$114</f>
        <v>-0.17975567190226879</v>
      </c>
      <c r="AT657" s="1">
        <v>9.7067736384712056E-2</v>
      </c>
    </row>
    <row r="658" spans="2:46">
      <c r="B658" s="1">
        <v>-4.6719162362965312E-4</v>
      </c>
      <c r="C658" s="1">
        <v>-7.1037207241966263E-4</v>
      </c>
      <c r="D658" s="1">
        <v>-9.2613552651590165E-4</v>
      </c>
      <c r="E658" s="1">
        <v>-1.1485149021121096E-3</v>
      </c>
      <c r="F658" s="1">
        <v>-1.3905124348175242E-3</v>
      </c>
      <c r="G658" s="1">
        <v>-1.6583047021862206E-3</v>
      </c>
      <c r="H658" s="1">
        <v>-1.9609867312647485E-3</v>
      </c>
      <c r="I658" s="1">
        <v>-2.3120790004465619E-3</v>
      </c>
      <c r="J658" s="1">
        <v>-2.7249158135230259E-3</v>
      </c>
      <c r="K658" s="1">
        <v>-3.2151317612873482E-3</v>
      </c>
      <c r="L658" s="1">
        <v>-3.8019721561410405E-3</v>
      </c>
      <c r="M658" s="1">
        <v>-4.5096845328730182E-3</v>
      </c>
      <c r="N658" s="1">
        <v>-5.3680495134512804E-3</v>
      </c>
      <c r="O658" s="1">
        <v>-6.4244637931380119E-3</v>
      </c>
      <c r="P658" s="1">
        <v>-7.7559321145979077E-3</v>
      </c>
      <c r="Q658" s="1">
        <v>-9.4736852113515794E-3</v>
      </c>
      <c r="R658" s="1">
        <v>-1.1744746053761088E-2</v>
      </c>
      <c r="S658" s="1">
        <v>-1.4834480011176142E-2</v>
      </c>
      <c r="T658" s="1">
        <v>-1.9192849685048145E-2</v>
      </c>
      <c r="U658" s="1">
        <v>-2.56551959546325E-2</v>
      </c>
      <c r="V658" s="1">
        <v>-3.6010412734995785E-2</v>
      </c>
      <c r="W658" s="1">
        <v>-5.5430978493825424E-2</v>
      </c>
      <c r="X658" s="1">
        <v>-0.11835273864390242</v>
      </c>
      <c r="Y658" s="1">
        <v>-5.5302429020464484E-2</v>
      </c>
      <c r="Z658" s="1">
        <v>-3.5784317059823538E-2</v>
      </c>
      <c r="AA658" s="1">
        <v>-2.5374543446453297E-2</v>
      </c>
      <c r="AB658" s="1">
        <v>-1.8879665183565406E-2</v>
      </c>
      <c r="AC658" s="1">
        <v>-1.4480753486633051E-2</v>
      </c>
      <c r="AD658" s="1">
        <v>-1.1329713982478323E-2</v>
      </c>
      <c r="AE658" s="1">
        <v>-8.9875807354612165E-3</v>
      </c>
      <c r="AF658" s="1">
        <v>-7.2069530116270538E-3</v>
      </c>
      <c r="AG658" s="1">
        <v>-5.8272864749852413E-3</v>
      </c>
      <c r="AH658" s="1">
        <v>-4.7405716259958904E-3</v>
      </c>
      <c r="AI658" s="1">
        <v>-3.8710386063399095E-3</v>
      </c>
      <c r="AJ658" s="1">
        <v>-3.1629866127100312E-3</v>
      </c>
      <c r="AK658" s="1">
        <v>-2.5705406697536558E-3</v>
      </c>
      <c r="AL658" s="1">
        <v>-2.0632887555403542E-3</v>
      </c>
      <c r="AM658" s="1">
        <v>-1.6208712990050677E-3</v>
      </c>
      <c r="AN658" s="1">
        <v>-1.2141691024479988E-3</v>
      </c>
      <c r="AO658" s="1">
        <v>-7.8191190505867876E-4</v>
      </c>
      <c r="AR658" s="1">
        <f>-$X$114</f>
        <v>-0.17975567190226879</v>
      </c>
      <c r="AT658" s="1">
        <v>9.6756717814799928E-2</v>
      </c>
    </row>
    <row r="659" spans="2:46">
      <c r="B659" s="1">
        <v>-4.2519626984140337E-4</v>
      </c>
      <c r="C659" s="1">
        <v>-6.444126781411767E-4</v>
      </c>
      <c r="D659" s="1">
        <v>-8.3708678839514649E-4</v>
      </c>
      <c r="E659" s="1">
        <v>-1.0339514913235343E-3</v>
      </c>
      <c r="F659" s="1">
        <v>-1.2464042986371872E-3</v>
      </c>
      <c r="G659" s="1">
        <v>-1.4795020490394359E-3</v>
      </c>
      <c r="H659" s="1">
        <v>-1.7406854045232721E-3</v>
      </c>
      <c r="I659" s="1">
        <v>-2.0410196793481149E-3</v>
      </c>
      <c r="J659" s="1">
        <v>-2.3909899212902186E-3</v>
      </c>
      <c r="K659" s="1">
        <v>-2.8025640476194553E-3</v>
      </c>
      <c r="L659" s="1">
        <v>-3.290117531213011E-3</v>
      </c>
      <c r="M659" s="1">
        <v>-3.8712960318759626E-3</v>
      </c>
      <c r="N659" s="1">
        <v>-4.5669504707645924E-3</v>
      </c>
      <c r="O659" s="1">
        <v>-5.4105016147380797E-3</v>
      </c>
      <c r="P659" s="1">
        <v>-6.456285984416184E-3</v>
      </c>
      <c r="Q659" s="1">
        <v>-7.7802232431774731E-3</v>
      </c>
      <c r="R659" s="1">
        <v>-9.4918420209708313E-3</v>
      </c>
      <c r="S659" s="1">
        <v>-1.1757010250342688E-2</v>
      </c>
      <c r="T659" s="1">
        <v>-1.4839664997789957E-2</v>
      </c>
      <c r="U659" s="1">
        <v>-1.9186768126927534E-2</v>
      </c>
      <c r="V659" s="1">
        <v>-2.5621253597979714E-2</v>
      </c>
      <c r="W659" s="1">
        <v>-3.5941169295593663E-2</v>
      </c>
      <c r="X659" s="1">
        <v>-5.5338847840618856E-2</v>
      </c>
      <c r="Y659" s="1">
        <v>-0.11824406661106807</v>
      </c>
      <c r="Z659" s="1">
        <v>-5.518376525310844E-2</v>
      </c>
      <c r="AA659" s="1">
        <v>-3.5657823592727678E-2</v>
      </c>
      <c r="AB659" s="1">
        <v>-2.523649874779172E-2</v>
      </c>
      <c r="AC659" s="1">
        <v>-1.8719963407305997E-2</v>
      </c>
      <c r="AD659" s="1">
        <v>-1.428656963837369E-2</v>
      </c>
      <c r="AE659" s="1">
        <v>-1.1111521425802493E-2</v>
      </c>
      <c r="AF659" s="1">
        <v>-8.7655625045217345E-3</v>
      </c>
      <c r="AG659" s="1">
        <v>-6.9894901700513368E-3</v>
      </c>
      <c r="AH659" s="1">
        <v>-5.6176784935276615E-3</v>
      </c>
      <c r="AI659" s="1">
        <v>-4.5386788757708083E-3</v>
      </c>
      <c r="AJ659" s="1">
        <v>-3.673577271662655E-3</v>
      </c>
      <c r="AK659" s="1">
        <v>-2.9602741766416515E-3</v>
      </c>
      <c r="AL659" s="1">
        <v>-2.3579818172511161E-3</v>
      </c>
      <c r="AM659" s="1">
        <v>-1.8395991662783721E-3</v>
      </c>
      <c r="AN659" s="1">
        <v>-1.3694836749121252E-3</v>
      </c>
      <c r="AO659" s="1">
        <v>-8.7712421594485863E-4</v>
      </c>
      <c r="AR659" s="1">
        <f>-$Y$114</f>
        <v>-0.17975567190226879</v>
      </c>
      <c r="AT659" s="1">
        <v>9.628134463483895E-2</v>
      </c>
    </row>
    <row r="660" spans="2:46">
      <c r="B660" s="1">
        <v>-3.8772131042298408E-4</v>
      </c>
      <c r="C660" s="1">
        <v>-5.8584387138962079E-4</v>
      </c>
      <c r="D660" s="1">
        <v>-7.5844647308733089E-4</v>
      </c>
      <c r="E660" s="1">
        <v>-9.3337393554732747E-4</v>
      </c>
      <c r="F660" s="1">
        <v>-1.1206852036297239E-3</v>
      </c>
      <c r="G660" s="1">
        <v>-1.3245638497229437E-3</v>
      </c>
      <c r="H660" s="1">
        <v>-1.5511619119241865E-3</v>
      </c>
      <c r="I660" s="1">
        <v>-1.8096359968299328E-3</v>
      </c>
      <c r="J660" s="1">
        <v>-2.1083251243411857E-3</v>
      </c>
      <c r="K660" s="1">
        <v>-2.4564964232158455E-3</v>
      </c>
      <c r="L660" s="1">
        <v>-2.8650157256265808E-3</v>
      </c>
      <c r="M660" s="1">
        <v>-3.3468831492768775E-3</v>
      </c>
      <c r="N660" s="1">
        <v>-3.9168611519849244E-3</v>
      </c>
      <c r="O660" s="1">
        <v>-4.5989557279292924E-3</v>
      </c>
      <c r="P660" s="1">
        <v>-5.432465569846865E-3</v>
      </c>
      <c r="Q660" s="1">
        <v>-6.4707397194534366E-3</v>
      </c>
      <c r="R660" s="1">
        <v>-7.7882006001488441E-3</v>
      </c>
      <c r="S660" s="1">
        <v>-9.493347735178622E-3</v>
      </c>
      <c r="T660" s="1">
        <v>-1.1750812012466272E-2</v>
      </c>
      <c r="U660" s="1">
        <v>-1.4822079124080224E-2</v>
      </c>
      <c r="V660" s="1">
        <v>-1.9144507751964641E-2</v>
      </c>
      <c r="W660" s="1">
        <v>-2.5547903519545299E-2</v>
      </c>
      <c r="X660" s="1">
        <v>-3.5844404198570073E-2</v>
      </c>
      <c r="Y660" s="1">
        <v>-5.5220364873682301E-2</v>
      </c>
      <c r="Z660" s="1">
        <v>-0.11810677728219308</v>
      </c>
      <c r="AA660" s="1">
        <v>-5.5031381336440706E-2</v>
      </c>
      <c r="AB660" s="1">
        <v>-3.5488668169169554E-2</v>
      </c>
      <c r="AC660" s="1">
        <v>-2.5039376242380167E-2</v>
      </c>
      <c r="AD660" s="1">
        <v>-1.847954982278819E-2</v>
      </c>
      <c r="AE660" s="1">
        <v>-1.4017356106019228E-2</v>
      </c>
      <c r="AF660" s="1">
        <v>-1.0839620256180635E-2</v>
      </c>
      <c r="AG660" s="1">
        <v>-8.5015403321069792E-3</v>
      </c>
      <c r="AH660" s="1">
        <v>-6.7373306871298033E-3</v>
      </c>
      <c r="AI660" s="1">
        <v>-5.3770756512759961E-3</v>
      </c>
      <c r="AJ660" s="1">
        <v>-4.3055846346862388E-3</v>
      </c>
      <c r="AK660" s="1">
        <v>-3.4365309134407798E-3</v>
      </c>
      <c r="AL660" s="1">
        <v>-2.7139524568287527E-3</v>
      </c>
      <c r="AM660" s="1">
        <v>-2.1010505842375465E-3</v>
      </c>
      <c r="AN660" s="1">
        <v>-1.5533858186264949E-3</v>
      </c>
      <c r="AO660" s="1">
        <v>-9.8891988814836236E-4</v>
      </c>
      <c r="AR660" s="1">
        <f>-$Z$114</f>
        <v>-0.17975567190226879</v>
      </c>
      <c r="AT660" s="1">
        <v>9.5629459336084383E-2</v>
      </c>
    </row>
    <row r="661" spans="2:46">
      <c r="B661" s="1">
        <v>-3.5403469568295019E-4</v>
      </c>
      <c r="C661" s="1">
        <v>-5.3344467054896097E-4</v>
      </c>
      <c r="D661" s="1">
        <v>-6.8845590102778367E-4</v>
      </c>
      <c r="E661" s="1">
        <v>-8.4436017607513218E-4</v>
      </c>
      <c r="F661" s="1">
        <v>-1.0100849505512263E-3</v>
      </c>
      <c r="G661" s="1">
        <v>-1.1891241337751309E-3</v>
      </c>
      <c r="H661" s="1">
        <v>-1.3866124548726807E-3</v>
      </c>
      <c r="I661" s="1">
        <v>-1.6102009266171244E-3</v>
      </c>
      <c r="J661" s="1">
        <v>-1.8665890654821669E-3</v>
      </c>
      <c r="K661" s="1">
        <v>-2.1630250859026091E-3</v>
      </c>
      <c r="L661" s="1">
        <v>-2.5078051201859815E-3</v>
      </c>
      <c r="M661" s="1">
        <v>-2.9106033243162972E-3</v>
      </c>
      <c r="N661" s="1">
        <v>-3.3819528451474942E-3</v>
      </c>
      <c r="O661" s="1">
        <v>-3.9393637859014233E-3</v>
      </c>
      <c r="P661" s="1">
        <v>-4.6118554443056285E-3</v>
      </c>
      <c r="Q661" s="1">
        <v>-5.4378249524036455E-3</v>
      </c>
      <c r="R661" s="1">
        <v>-6.4692944916499183E-3</v>
      </c>
      <c r="S661" s="1">
        <v>-7.7797629947693294E-3</v>
      </c>
      <c r="T661" s="1">
        <v>-9.4766462491702608E-3</v>
      </c>
      <c r="U661" s="1">
        <v>-1.1722538604139039E-2</v>
      </c>
      <c r="V661" s="1">
        <v>-1.4771359673530753E-2</v>
      </c>
      <c r="W661" s="1">
        <v>-1.9065783482840496E-2</v>
      </c>
      <c r="X661" s="1">
        <v>-2.5445903139738092E-2</v>
      </c>
      <c r="Y661" s="1">
        <v>-3.5718122723191192E-2</v>
      </c>
      <c r="Z661" s="1">
        <v>-5.5068137741078459E-2</v>
      </c>
      <c r="AA661" s="1">
        <v>-0.11792821507362591</v>
      </c>
      <c r="AB661" s="1">
        <v>-5.4825413646569079E-2</v>
      </c>
      <c r="AC661" s="1">
        <v>-3.5243924231102751E-2</v>
      </c>
      <c r="AD661" s="1">
        <v>-2.4738074705801433E-2</v>
      </c>
      <c r="AE661" s="1">
        <v>-1.8142574743391909E-2</v>
      </c>
      <c r="AF661" s="1">
        <v>-1.3679505211658788E-2</v>
      </c>
      <c r="AG661" s="1">
        <v>-1.0514589798743508E-2</v>
      </c>
      <c r="AH661" s="1">
        <v>-8.1942215820111873E-3</v>
      </c>
      <c r="AI661" s="1">
        <v>-6.4471288767973698E-3</v>
      </c>
      <c r="AJ661" s="1">
        <v>-5.0988768502158426E-3</v>
      </c>
      <c r="AK661" s="1">
        <v>-4.0256180076503134E-3</v>
      </c>
      <c r="AL661" s="1">
        <v>-3.1485236084766266E-3</v>
      </c>
      <c r="AM661" s="1">
        <v>-2.4164914597404855E-3</v>
      </c>
      <c r="AN661" s="1">
        <v>-1.7729291941760974E-3</v>
      </c>
      <c r="AO661" s="1">
        <v>-1.121143365160151E-3</v>
      </c>
      <c r="AR661" s="1">
        <f>-$AA$114</f>
        <v>-0.17975567190226879</v>
      </c>
      <c r="AT661" s="1">
        <v>9.4776199039732306E-2</v>
      </c>
    </row>
    <row r="662" spans="2:46">
      <c r="B662" s="1">
        <v>-3.2347396637658451E-4</v>
      </c>
      <c r="C662" s="1">
        <v>-4.8612616066072482E-4</v>
      </c>
      <c r="D662" s="1">
        <v>-6.2557012740553034E-4</v>
      </c>
      <c r="E662" s="1">
        <v>-7.6481477844071494E-4</v>
      </c>
      <c r="F662" s="1">
        <v>-9.1181739230626472E-4</v>
      </c>
      <c r="G662" s="1">
        <v>-1.0695199851260366E-3</v>
      </c>
      <c r="H662" s="1">
        <v>-1.2422429826596357E-3</v>
      </c>
      <c r="I662" s="1">
        <v>-1.4364321471018403E-3</v>
      </c>
      <c r="J662" s="1">
        <v>-1.6575168523300806E-3</v>
      </c>
      <c r="K662" s="1">
        <v>-1.9112147407515045E-3</v>
      </c>
      <c r="L662" s="1">
        <v>-2.2039126722527632E-3</v>
      </c>
      <c r="M662" s="1">
        <v>-2.5428662613472563E-3</v>
      </c>
      <c r="N662" s="1">
        <v>-2.9356234442752638E-3</v>
      </c>
      <c r="O662" s="1">
        <v>-3.3951174798731161E-3</v>
      </c>
      <c r="P662" s="1">
        <v>-3.9431551739489198E-3</v>
      </c>
      <c r="Q662" s="1">
        <v>-4.6079253080185262E-3</v>
      </c>
      <c r="R662" s="1">
        <v>-5.426635198091747E-3</v>
      </c>
      <c r="S662" s="1">
        <v>-6.4504643815910846E-3</v>
      </c>
      <c r="T662" s="1">
        <v>-7.7519404996858575E-3</v>
      </c>
      <c r="U662" s="1">
        <v>-9.4367437067453853E-3</v>
      </c>
      <c r="V662" s="1">
        <v>-1.166137726906138E-2</v>
      </c>
      <c r="W662" s="1">
        <v>-1.4683905472751644E-2</v>
      </c>
      <c r="X662" s="1">
        <v>-1.8954635850278095E-2</v>
      </c>
      <c r="Y662" s="1">
        <v>-2.5308385280523191E-2</v>
      </c>
      <c r="Z662" s="1">
        <v>-3.554964502227459E-2</v>
      </c>
      <c r="AA662" s="1">
        <v>-5.486293511641771E-2</v>
      </c>
      <c r="AB662" s="1">
        <v>-0.11767959770079882</v>
      </c>
      <c r="AC662" s="1">
        <v>-5.4519441745696014E-2</v>
      </c>
      <c r="AD662" s="1">
        <v>-3.48603906470136E-2</v>
      </c>
      <c r="AE662" s="1">
        <v>-2.4308268395045324E-2</v>
      </c>
      <c r="AF662" s="1">
        <v>-1.7714676782273665E-2</v>
      </c>
      <c r="AG662" s="1">
        <v>-1.3271998003399685E-2</v>
      </c>
      <c r="AH662" s="1">
        <v>-1.0133629479159542E-2</v>
      </c>
      <c r="AI662" s="1">
        <v>-7.8386995739175517E-3</v>
      </c>
      <c r="AJ662" s="1">
        <v>-6.1103758127331381E-3</v>
      </c>
      <c r="AK662" s="1">
        <v>-4.7640271753014033E-3</v>
      </c>
      <c r="AL662" s="1">
        <v>-3.6851045973917682E-3</v>
      </c>
      <c r="AM662" s="1">
        <v>-2.8007805703587595E-3</v>
      </c>
      <c r="AN662" s="1">
        <v>-2.0372065349226693E-3</v>
      </c>
      <c r="AO662" s="1">
        <v>-1.2786453969430977E-3</v>
      </c>
      <c r="AR662" s="1">
        <f>-$AB$114</f>
        <v>-0.17975567190226879</v>
      </c>
      <c r="AT662" s="1">
        <v>9.3679100327366163E-2</v>
      </c>
    </row>
    <row r="663" spans="2:46">
      <c r="B663" s="1">
        <v>-2.9541675620423216E-4</v>
      </c>
      <c r="C663" s="1">
        <v>-4.4288111595735017E-4</v>
      </c>
      <c r="D663" s="1">
        <v>-5.6838307036966463E-4</v>
      </c>
      <c r="E663" s="1">
        <v>-6.9286177760466731E-4</v>
      </c>
      <c r="F663" s="1">
        <v>-8.2342909242007309E-4</v>
      </c>
      <c r="G663" s="1">
        <v>-9.6257886998756567E-4</v>
      </c>
      <c r="H663" s="1">
        <v>-1.1139698301757303E-3</v>
      </c>
      <c r="I663" s="1">
        <v>-1.2830675349109466E-3</v>
      </c>
      <c r="J663" s="1">
        <v>-1.4743030064531884E-3</v>
      </c>
      <c r="K663" s="1">
        <v>-1.6922170398549041E-3</v>
      </c>
      <c r="L663" s="1">
        <v>-1.9417575810010354E-3</v>
      </c>
      <c r="M663" s="1">
        <v>-2.2283957252051184E-3</v>
      </c>
      <c r="N663" s="1">
        <v>-2.557542431142625E-3</v>
      </c>
      <c r="O663" s="1">
        <v>-2.9388440021135228E-3</v>
      </c>
      <c r="P663" s="1">
        <v>-3.3889246163486039E-3</v>
      </c>
      <c r="Q663" s="1">
        <v>-3.9288147661591553E-3</v>
      </c>
      <c r="R663" s="1">
        <v>-4.5856185665191836E-3</v>
      </c>
      <c r="S663" s="1">
        <v>-5.3957545869896461E-3</v>
      </c>
      <c r="T663" s="1">
        <v>-6.4095024723052237E-3</v>
      </c>
      <c r="U663" s="1">
        <v>-7.6978591254335087E-3</v>
      </c>
      <c r="V663" s="1">
        <v>-9.3614794836755447E-3</v>
      </c>
      <c r="W663" s="1">
        <v>-1.1560063084172116E-2</v>
      </c>
      <c r="X663" s="1">
        <v>-1.4557323789463365E-2</v>
      </c>
      <c r="Y663" s="1">
        <v>-1.8798676080144752E-2</v>
      </c>
      <c r="Z663" s="1">
        <v>-2.5116276219335217E-2</v>
      </c>
      <c r="AA663" s="1">
        <v>-3.5311561049814449E-2</v>
      </c>
      <c r="AB663" s="1">
        <v>-5.4564647068767985E-2</v>
      </c>
      <c r="AC663" s="1">
        <v>-0.11729715467967115</v>
      </c>
      <c r="AD663" s="1">
        <v>-5.4025211545215168E-2</v>
      </c>
      <c r="AE663" s="1">
        <v>-3.430087100707168E-2</v>
      </c>
      <c r="AF663" s="1">
        <v>-2.3753820129635134E-2</v>
      </c>
      <c r="AG663" s="1">
        <v>-1.7192193334045994E-2</v>
      </c>
      <c r="AH663" s="1">
        <v>-1.278972731103298E-2</v>
      </c>
      <c r="AI663" s="1">
        <v>-9.6896058135797717E-3</v>
      </c>
      <c r="AJ663" s="1">
        <v>-7.4239012009203334E-3</v>
      </c>
      <c r="AK663" s="1">
        <v>-5.7036515054536769E-3</v>
      </c>
      <c r="AL663" s="1">
        <v>-4.3559620118324678E-3</v>
      </c>
      <c r="AM663" s="1">
        <v>-3.2738162067842908E-3</v>
      </c>
      <c r="AN663" s="1">
        <v>-2.358067328270463E-3</v>
      </c>
      <c r="AO663" s="1">
        <v>-1.4675869845926328E-3</v>
      </c>
      <c r="AR663" s="1">
        <f>-$AC$114</f>
        <v>-0.17975567190226879</v>
      </c>
      <c r="AT663" s="1">
        <v>9.2272849796623785E-2</v>
      </c>
    </row>
    <row r="664" spans="2:46">
      <c r="B664" s="1">
        <v>-2.6891459896999603E-4</v>
      </c>
      <c r="C664" s="1">
        <v>-4.0222977324725885E-4</v>
      </c>
      <c r="D664" s="1">
        <v>-5.149077917192751E-4</v>
      </c>
      <c r="E664" s="1">
        <v>-6.2595459431647957E-4</v>
      </c>
      <c r="F664" s="1">
        <v>-7.4172278912628255E-4</v>
      </c>
      <c r="G664" s="1">
        <v>-8.6433301456120088E-4</v>
      </c>
      <c r="H664" s="1">
        <v>-9.9689250346592833E-4</v>
      </c>
      <c r="I664" s="1">
        <v>-1.1440487093280789E-3</v>
      </c>
      <c r="J664" s="1">
        <v>-1.3094299456262123E-3</v>
      </c>
      <c r="K664" s="1">
        <v>-1.4966528665326154E-3</v>
      </c>
      <c r="L664" s="1">
        <v>-1.7095588961534272E-3</v>
      </c>
      <c r="M664" s="1">
        <v>-1.9522765383232494E-3</v>
      </c>
      <c r="N664" s="1">
        <v>-2.2286603873434268E-3</v>
      </c>
      <c r="O664" s="1">
        <v>-2.5459404752201397E-3</v>
      </c>
      <c r="P664" s="1">
        <v>-2.9169100322590817E-3</v>
      </c>
      <c r="Q664" s="1">
        <v>-3.357427591921642E-3</v>
      </c>
      <c r="R664" s="1">
        <v>-3.8874810504404586E-3</v>
      </c>
      <c r="S664" s="1">
        <v>-4.5333682335990041E-3</v>
      </c>
      <c r="T664" s="1">
        <v>-5.330579757560093E-3</v>
      </c>
      <c r="U664" s="1">
        <v>-6.3279053765794326E-3</v>
      </c>
      <c r="V664" s="1">
        <v>-7.591966996394332E-3</v>
      </c>
      <c r="W664" s="1">
        <v>-9.2256259557176069E-3</v>
      </c>
      <c r="X664" s="1">
        <v>-1.1392381006555494E-2</v>
      </c>
      <c r="Y664" s="1">
        <v>-1.4350859295831044E-2</v>
      </c>
      <c r="Z664" s="1">
        <v>-1.8542584651472665E-2</v>
      </c>
      <c r="AA664" s="1">
        <v>-2.4794476082689344E-2</v>
      </c>
      <c r="AB664" s="1">
        <v>-3.4900292676898342E-2</v>
      </c>
      <c r="AC664" s="1">
        <v>-5.4028432144637581E-2</v>
      </c>
      <c r="AD664" s="1">
        <v>-0.11660062284109621</v>
      </c>
      <c r="AE664" s="1">
        <v>-5.3235565044704627E-2</v>
      </c>
      <c r="AF664" s="1">
        <v>-3.3527392151734961E-2</v>
      </c>
      <c r="AG664" s="1">
        <v>-2.3038861695253533E-2</v>
      </c>
      <c r="AH664" s="1">
        <v>-1.6545944241580578E-2</v>
      </c>
      <c r="AI664" s="1">
        <v>-1.2207031256373508E-2</v>
      </c>
      <c r="AJ664" s="1">
        <v>-9.1564140815980095E-3</v>
      </c>
      <c r="AK664" s="1">
        <v>-6.9119783622752081E-3</v>
      </c>
      <c r="AL664" s="1">
        <v>-5.2001717752507819E-3</v>
      </c>
      <c r="AM664" s="1">
        <v>-3.857928475393348E-3</v>
      </c>
      <c r="AN664" s="1">
        <v>-2.7477318324772471E-3</v>
      </c>
      <c r="AO664" s="1">
        <v>-1.6937462431685171E-3</v>
      </c>
      <c r="AR664" s="1">
        <f>-$AD$114</f>
        <v>-0.17975567190226879</v>
      </c>
      <c r="AT664" s="1">
        <v>9.036411130707124E-2</v>
      </c>
    </row>
    <row r="665" spans="2:46">
      <c r="B665" s="1">
        <v>-2.4404757093575357E-4</v>
      </c>
      <c r="C665" s="1">
        <v>-3.6425075680580085E-4</v>
      </c>
      <c r="D665" s="1">
        <v>-4.6518225522107758E-4</v>
      </c>
      <c r="E665" s="1">
        <v>-5.6405033624833253E-4</v>
      </c>
      <c r="F665" s="1">
        <v>-6.6652533187754135E-4</v>
      </c>
      <c r="G665" s="1">
        <v>-7.7441571810492739E-4</v>
      </c>
      <c r="H665" s="1">
        <v>-8.9036705508205153E-4</v>
      </c>
      <c r="I665" s="1">
        <v>-1.0183406771469769E-3</v>
      </c>
      <c r="J665" s="1">
        <v>-1.1613164006643269E-3</v>
      </c>
      <c r="K665" s="1">
        <v>-1.3221817952188708E-3</v>
      </c>
      <c r="L665" s="1">
        <v>-1.5039233578418702E-3</v>
      </c>
      <c r="M665" s="1">
        <v>-1.7096546840178423E-3</v>
      </c>
      <c r="N665" s="1">
        <v>-1.9420931955270446E-3</v>
      </c>
      <c r="O665" s="1">
        <v>-2.2066771530054041E-3</v>
      </c>
      <c r="P665" s="1">
        <v>-2.5133312405178627E-3</v>
      </c>
      <c r="Q665" s="1">
        <v>-2.8741215008715351E-3</v>
      </c>
      <c r="R665" s="1">
        <v>-3.3039364167465547E-3</v>
      </c>
      <c r="S665" s="1">
        <v>-3.8219898506175387E-3</v>
      </c>
      <c r="T665" s="1">
        <v>-4.4536902301577606E-3</v>
      </c>
      <c r="U665" s="1">
        <v>-5.2331536085354563E-3</v>
      </c>
      <c r="V665" s="1">
        <v>-6.205418507035868E-3</v>
      </c>
      <c r="W665" s="1">
        <v>-7.4386930027967712E-3</v>
      </c>
      <c r="X665" s="1">
        <v>-9.0384815617003452E-3</v>
      </c>
      <c r="Y665" s="1">
        <v>-1.116350474140735E-2</v>
      </c>
      <c r="Z665" s="1">
        <v>-1.4068274649186493E-2</v>
      </c>
      <c r="AA665" s="1">
        <v>-1.8188507997456433E-2</v>
      </c>
      <c r="AB665" s="1">
        <v>-2.4342064314512045E-2</v>
      </c>
      <c r="AC665" s="1">
        <v>-3.4307155097875623E-2</v>
      </c>
      <c r="AD665" s="1">
        <v>-5.3237271660688368E-2</v>
      </c>
      <c r="AE665" s="1">
        <v>-0.11564228957067167</v>
      </c>
      <c r="AF665" s="1">
        <v>-5.2250261962492925E-2</v>
      </c>
      <c r="AG665" s="1">
        <v>-3.2604739878780473E-2</v>
      </c>
      <c r="AH665" s="1">
        <v>-2.2207974271841381E-2</v>
      </c>
      <c r="AI665" s="1">
        <v>-1.5804363777724866E-2</v>
      </c>
      <c r="AJ665" s="1">
        <v>-1.153709322370372E-2</v>
      </c>
      <c r="AK665" s="1">
        <v>-8.5220187916781511E-3</v>
      </c>
      <c r="AL665" s="1">
        <v>-6.2967954560056334E-3</v>
      </c>
      <c r="AM665" s="1">
        <v>-4.6004295372004201E-3</v>
      </c>
      <c r="AN665" s="1">
        <v>-3.2338859371504602E-3</v>
      </c>
      <c r="AO665" s="1">
        <v>-1.9714254491357986E-3</v>
      </c>
      <c r="AR665" s="1">
        <f>-$AE$114</f>
        <v>-0.17975567190226879</v>
      </c>
      <c r="AT665" s="1">
        <v>8.8025255755657075E-2</v>
      </c>
    </row>
    <row r="666" spans="2:46">
      <c r="B666" s="1">
        <v>-2.2089993992704534E-4</v>
      </c>
      <c r="C666" s="1">
        <v>-3.2903404359164816E-4</v>
      </c>
      <c r="D666" s="1">
        <v>-4.192673424365809E-4</v>
      </c>
      <c r="E666" s="1">
        <v>-5.0714680747266576E-4</v>
      </c>
      <c r="F666" s="1">
        <v>-5.9773071724214012E-4</v>
      </c>
      <c r="G666" s="1">
        <v>-6.925658095127173E-4</v>
      </c>
      <c r="H666" s="1">
        <v>-7.9391023063938443E-4</v>
      </c>
      <c r="I666" s="1">
        <v>-9.0514838269074144E-4</v>
      </c>
      <c r="J666" s="1">
        <v>-1.0287347175173651E-3</v>
      </c>
      <c r="K666" s="1">
        <v>-1.1669801183422381E-3</v>
      </c>
      <c r="L666" s="1">
        <v>-1.3222089139554789E-3</v>
      </c>
      <c r="M666" s="1">
        <v>-1.4967657895848141E-3</v>
      </c>
      <c r="N666" s="1">
        <v>-1.6925372814399981E-3</v>
      </c>
      <c r="O666" s="1">
        <v>-1.913625233767514E-3</v>
      </c>
      <c r="P666" s="1">
        <v>-2.1677854650548308E-3</v>
      </c>
      <c r="Q666" s="1">
        <v>-2.4642718330437196E-3</v>
      </c>
      <c r="R666" s="1">
        <v>-2.8142708253081701E-3</v>
      </c>
      <c r="S666" s="1">
        <v>-3.2319600281940871E-3</v>
      </c>
      <c r="T666" s="1">
        <v>-3.7357425141011087E-3</v>
      </c>
      <c r="U666" s="1">
        <v>-4.3498076021330975E-3</v>
      </c>
      <c r="V666" s="1">
        <v>-5.1050992514463708E-3</v>
      </c>
      <c r="W666" s="1">
        <v>-6.0478620736249336E-3</v>
      </c>
      <c r="X666" s="1">
        <v>-7.2482361078645046E-3</v>
      </c>
      <c r="Y666" s="1">
        <v>-8.8075061923477953E-3</v>
      </c>
      <c r="Z666" s="1">
        <v>-1.0880605311324523E-2</v>
      </c>
      <c r="AA666" s="1">
        <v>-1.3716656849138439E-2</v>
      </c>
      <c r="AB666" s="1">
        <v>-1.7742855161056916E-2</v>
      </c>
      <c r="AC666" s="1">
        <v>-2.3761926250228153E-2</v>
      </c>
      <c r="AD666" s="1">
        <v>-3.3531665255734054E-2</v>
      </c>
      <c r="AE666" s="1">
        <v>-5.2250959713722005E-2</v>
      </c>
      <c r="AF666" s="1">
        <v>-0.11452863505604415</v>
      </c>
      <c r="AG666" s="1">
        <v>-5.1137979482306084E-2</v>
      </c>
      <c r="AH666" s="1">
        <v>-3.1579321965989275E-2</v>
      </c>
      <c r="AI666" s="1">
        <v>-2.1289315440827742E-2</v>
      </c>
      <c r="AJ666" s="1">
        <v>-1.4977906219459419E-2</v>
      </c>
      <c r="AK666" s="1">
        <v>-1.0759654095457797E-2</v>
      </c>
      <c r="AL666" s="1">
        <v>-7.7746279904519012E-3</v>
      </c>
      <c r="AM666" s="1">
        <v>-5.5759767847773523E-3</v>
      </c>
      <c r="AN666" s="1">
        <v>-3.8591404581699014E-3</v>
      </c>
      <c r="AO666" s="1">
        <v>-2.3222126956283754E-3</v>
      </c>
      <c r="AR666" s="1">
        <f>-$AF$114</f>
        <v>-0.17975567190226879</v>
      </c>
      <c r="AT666" s="1">
        <v>8.5338742064590176E-2</v>
      </c>
    </row>
    <row r="667" spans="2:46">
      <c r="B667" s="1">
        <v>-1.9939121489817262E-4</v>
      </c>
      <c r="C667" s="1">
        <v>-2.9642819987996165E-4</v>
      </c>
      <c r="D667" s="1">
        <v>-3.7692291969149009E-4</v>
      </c>
      <c r="E667" s="1">
        <v>-4.5488779135019524E-4</v>
      </c>
      <c r="F667" s="1">
        <v>-5.348305183432697E-4</v>
      </c>
      <c r="G667" s="1">
        <v>-6.1807713797112061E-4</v>
      </c>
      <c r="H667" s="1">
        <v>-7.0655893988371972E-4</v>
      </c>
      <c r="I667" s="1">
        <v>-8.0317253317242602E-4</v>
      </c>
      <c r="J667" s="1">
        <v>-9.0994463656234677E-4</v>
      </c>
      <c r="K667" s="1">
        <v>-1.0287280471168905E-3</v>
      </c>
      <c r="L667" s="1">
        <v>-1.1613323738328873E-3</v>
      </c>
      <c r="M667" s="1">
        <v>-1.3095181697552567E-3</v>
      </c>
      <c r="N667" s="1">
        <v>-1.4745654499743893E-3</v>
      </c>
      <c r="O667" s="1">
        <v>-1.6595732015662922E-3</v>
      </c>
      <c r="P667" s="1">
        <v>-1.8706406293839241E-3</v>
      </c>
      <c r="Q667" s="1">
        <v>-2.1149130646552845E-3</v>
      </c>
      <c r="R667" s="1">
        <v>-2.4008563253756173E-3</v>
      </c>
      <c r="S667" s="1">
        <v>-2.7390167291570186E-3</v>
      </c>
      <c r="T667" s="1">
        <v>-3.1428486874440511E-3</v>
      </c>
      <c r="U667" s="1">
        <v>-3.6296923237417499E-3</v>
      </c>
      <c r="V667" s="1">
        <v>-4.2210685039850392E-3</v>
      </c>
      <c r="W667" s="1">
        <v>-4.9488714077729678E-3</v>
      </c>
      <c r="X667" s="1">
        <v>-5.8608046214762791E-3</v>
      </c>
      <c r="Y667" s="1">
        <v>-7.0233778843206869E-3</v>
      </c>
      <c r="Z667" s="1">
        <v>-8.5345737837515638E-3</v>
      </c>
      <c r="AA667" s="1">
        <v>-1.0544653927707754E-2</v>
      </c>
      <c r="AB667" s="1">
        <v>-1.3295394813386452E-2</v>
      </c>
      <c r="AC667" s="1">
        <v>-1.7200982319752898E-2</v>
      </c>
      <c r="AD667" s="1">
        <v>-2.3045184541213477E-2</v>
      </c>
      <c r="AE667" s="1">
        <v>-3.2607917927916188E-2</v>
      </c>
      <c r="AF667" s="1">
        <v>-5.1137923409882546E-2</v>
      </c>
      <c r="AG667" s="1">
        <v>-0.11329513847695141</v>
      </c>
      <c r="AH667" s="1">
        <v>-4.9918222428326199E-2</v>
      </c>
      <c r="AI667" s="1">
        <v>-3.0457708400072309E-2</v>
      </c>
      <c r="AJ667" s="1">
        <v>-2.0274221866484948E-2</v>
      </c>
      <c r="AK667" s="1">
        <v>-1.4023433205979534E-2</v>
      </c>
      <c r="AL667" s="1">
        <v>-9.8466126350155534E-3</v>
      </c>
      <c r="AM667" s="1">
        <v>-6.9018533177516916E-3</v>
      </c>
      <c r="AN667" s="1">
        <v>-4.6876563457533453E-3</v>
      </c>
      <c r="AO667" s="1">
        <v>-2.7774689898012539E-3</v>
      </c>
      <c r="AR667" s="1">
        <f>-$AG$114</f>
        <v>-0.17975567190226879</v>
      </c>
      <c r="AT667" s="1">
        <v>8.233438337383768E-2</v>
      </c>
    </row>
    <row r="668" spans="2:46">
      <c r="B668" s="1">
        <v>-1.7937025370931512E-4</v>
      </c>
      <c r="C668" s="1">
        <v>-2.6618159050038025E-4</v>
      </c>
      <c r="D668" s="1">
        <v>-3.3778899387797113E-4</v>
      </c>
      <c r="E668" s="1">
        <v>-4.0678341496417324E-4</v>
      </c>
      <c r="F668" s="1">
        <v>-4.771746345460029E-4</v>
      </c>
      <c r="G668" s="1">
        <v>-5.5010117398137932E-4</v>
      </c>
      <c r="H668" s="1">
        <v>-6.2721657553540351E-4</v>
      </c>
      <c r="I668" s="1">
        <v>-7.1100206150103763E-4</v>
      </c>
      <c r="J668" s="1">
        <v>-8.0313395421159812E-4</v>
      </c>
      <c r="K668" s="1">
        <v>-9.0509936111719011E-4</v>
      </c>
      <c r="L668" s="1">
        <v>-1.0183062586984208E-3</v>
      </c>
      <c r="M668" s="1">
        <v>-1.1440704232885748E-3</v>
      </c>
      <c r="N668" s="1">
        <v>-1.2832305591220104E-3</v>
      </c>
      <c r="O668" s="1">
        <v>-1.4381288422587366E-3</v>
      </c>
      <c r="P668" s="1">
        <v>-1.6135862437057053E-3</v>
      </c>
      <c r="Q668" s="1">
        <v>-1.8151502669569461E-3</v>
      </c>
      <c r="R668" s="1">
        <v>-2.0492645525162084E-3</v>
      </c>
      <c r="S668" s="1">
        <v>-2.3238241261671366E-3</v>
      </c>
      <c r="T668" s="1">
        <v>-2.6487372117643022E-3</v>
      </c>
      <c r="U668" s="1">
        <v>-3.0365391243912594E-3</v>
      </c>
      <c r="V668" s="1">
        <v>-3.5023299089576377E-3</v>
      </c>
      <c r="W668" s="1">
        <v>-4.0683964438039746E-3</v>
      </c>
      <c r="X668" s="1">
        <v>-4.7677592266425891E-3</v>
      </c>
      <c r="Y668" s="1">
        <v>-5.6450378494211813E-3</v>
      </c>
      <c r="Z668" s="1">
        <v>-6.7639356345158691E-3</v>
      </c>
      <c r="AA668" s="1">
        <v>-8.2185101595377338E-3</v>
      </c>
      <c r="AB668" s="1">
        <v>-1.0152926924729138E-2</v>
      </c>
      <c r="AC668" s="1">
        <v>-1.2798321670649286E-2</v>
      </c>
      <c r="AD668" s="1">
        <v>-1.655318791783407E-2</v>
      </c>
      <c r="AE668" s="1">
        <v>-2.2213257853006856E-2</v>
      </c>
      <c r="AF668" s="1">
        <v>-3.1581624141105012E-2</v>
      </c>
      <c r="AG668" s="1">
        <v>-4.9917345320424827E-2</v>
      </c>
      <c r="AH668" s="1">
        <v>-0.11194580504292849</v>
      </c>
      <c r="AI668" s="1">
        <v>-4.8582625860910784E-2</v>
      </c>
      <c r="AJ668" s="1">
        <v>-2.921531971345763E-2</v>
      </c>
      <c r="AK668" s="1">
        <v>-1.9094705609301627E-2</v>
      </c>
      <c r="AL668" s="1">
        <v>-1.289545218814833E-2</v>
      </c>
      <c r="AM668" s="1">
        <v>-8.7761681914173204E-3</v>
      </c>
      <c r="AN668" s="1">
        <v>-5.8227848641009784E-3</v>
      </c>
      <c r="AO668" s="1">
        <v>-3.3858522018903226E-3</v>
      </c>
      <c r="AR668" s="1">
        <f>-$AH$114</f>
        <v>-0.17975567190226879</v>
      </c>
      <c r="AT668" s="1">
        <v>7.9009095538562904E-2</v>
      </c>
    </row>
    <row r="669" spans="2:46">
      <c r="B669" s="1">
        <v>-1.6062707127278216E-4</v>
      </c>
      <c r="C669" s="1">
        <v>-2.3795992864804382E-4</v>
      </c>
      <c r="D669" s="1">
        <v>-3.0140782585680851E-4</v>
      </c>
      <c r="E669" s="1">
        <v>-3.6223627596966123E-4</v>
      </c>
      <c r="F669" s="1">
        <v>-4.2400086816480036E-4</v>
      </c>
      <c r="G669" s="1">
        <v>-4.8767915484359018E-4</v>
      </c>
      <c r="H669" s="1">
        <v>-5.5468637505995183E-4</v>
      </c>
      <c r="I669" s="1">
        <v>-6.2714663839233799E-4</v>
      </c>
      <c r="J669" s="1">
        <v>-7.0644693211020001E-4</v>
      </c>
      <c r="K669" s="1">
        <v>-7.9378062547882239E-4</v>
      </c>
      <c r="L669" s="1">
        <v>-8.902409326751212E-4</v>
      </c>
      <c r="M669" s="1">
        <v>-9.9680429623791853E-4</v>
      </c>
      <c r="N669" s="1">
        <v>-1.1139903706626018E-3</v>
      </c>
      <c r="O669" s="1">
        <v>-1.2435669942410996E-3</v>
      </c>
      <c r="P669" s="1">
        <v>-1.3893581336175424E-3</v>
      </c>
      <c r="Q669" s="1">
        <v>-1.5556871988342583E-3</v>
      </c>
      <c r="R669" s="1">
        <v>-1.7474780775222545E-3</v>
      </c>
      <c r="S669" s="1">
        <v>-1.9706669447480821E-3</v>
      </c>
      <c r="T669" s="1">
        <v>-2.2325874685529016E-3</v>
      </c>
      <c r="U669" s="1">
        <v>-2.542354732934488E-3</v>
      </c>
      <c r="V669" s="1">
        <v>-2.9106234297156899E-3</v>
      </c>
      <c r="W669" s="1">
        <v>-3.3531164493104744E-3</v>
      </c>
      <c r="X669" s="1">
        <v>-3.8929973201635593E-3</v>
      </c>
      <c r="Y669" s="1">
        <v>-4.5606775872788765E-3</v>
      </c>
      <c r="Z669" s="1">
        <v>-5.3984143973830464E-3</v>
      </c>
      <c r="AA669" s="1">
        <v>-6.466652330210881E-3</v>
      </c>
      <c r="AB669" s="1">
        <v>-7.8544647051049434E-3</v>
      </c>
      <c r="AC669" s="1">
        <v>-9.6974724076502317E-3</v>
      </c>
      <c r="AD669" s="1">
        <v>-1.2214318161952323E-2</v>
      </c>
      <c r="AE669" s="1">
        <v>-1.5810712205163543E-2</v>
      </c>
      <c r="AF669" s="1">
        <v>-2.1293885738476483E-2</v>
      </c>
      <c r="AG669" s="1">
        <v>-3.0459328372079923E-2</v>
      </c>
      <c r="AH669" s="1">
        <v>-4.8581145448642539E-2</v>
      </c>
      <c r="AI669" s="1">
        <v>-0.11045659016362251</v>
      </c>
      <c r="AJ669" s="1">
        <v>-4.7086196045561697E-2</v>
      </c>
      <c r="AK669" s="1">
        <v>-2.7748275599527607E-2</v>
      </c>
      <c r="AL669" s="1">
        <v>-1.7679982357970078E-2</v>
      </c>
      <c r="AM669" s="1">
        <v>-1.1559223161126023E-2</v>
      </c>
      <c r="AN669" s="1">
        <v>-7.4412983579948237E-3</v>
      </c>
      <c r="AO669" s="1">
        <v>-4.2268510427452442E-3</v>
      </c>
      <c r="AR669" s="1">
        <f>-$AI$114</f>
        <v>-0.17975567190226879</v>
      </c>
      <c r="AT669" s="1">
        <v>7.5323186752413437E-2</v>
      </c>
    </row>
    <row r="670" spans="2:46">
      <c r="B670" s="1">
        <v>-1.4288042681185782E-4</v>
      </c>
      <c r="C670" s="1">
        <v>-2.1132785522539845E-4</v>
      </c>
      <c r="D670" s="1">
        <v>-2.6720039485875555E-4</v>
      </c>
      <c r="E670" s="1">
        <v>-3.2051265357434651E-4</v>
      </c>
      <c r="F670" s="1">
        <v>-3.7440024783459458E-4</v>
      </c>
      <c r="G670" s="1">
        <v>-4.2970050410612201E-4</v>
      </c>
      <c r="H670" s="1">
        <v>-4.8762136442609757E-4</v>
      </c>
      <c r="I670" s="1">
        <v>-5.4997574081232594E-4</v>
      </c>
      <c r="J670" s="1">
        <v>-6.1790902010097116E-4</v>
      </c>
      <c r="K670" s="1">
        <v>-6.9237659787084894E-4</v>
      </c>
      <c r="L670" s="1">
        <v>-7.7422357030928145E-4</v>
      </c>
      <c r="M670" s="1">
        <v>-8.641669539484056E-4</v>
      </c>
      <c r="N670" s="1">
        <v>-9.6249831083933821E-4</v>
      </c>
      <c r="O670" s="1">
        <v>-1.0705468241087035E-3</v>
      </c>
      <c r="P670" s="1">
        <v>-1.1913487269277728E-3</v>
      </c>
      <c r="Q670" s="1">
        <v>-1.3282778648956569E-3</v>
      </c>
      <c r="R670" s="1">
        <v>-1.4851020397788426E-3</v>
      </c>
      <c r="S670" s="1">
        <v>-1.666292119482334E-3</v>
      </c>
      <c r="T670" s="1">
        <v>-1.8772880271474167E-3</v>
      </c>
      <c r="U670" s="1">
        <v>-2.1247358869555906E-3</v>
      </c>
      <c r="V670" s="1">
        <v>-2.4161684464577217E-3</v>
      </c>
      <c r="W670" s="1">
        <v>-2.7627414780096149E-3</v>
      </c>
      <c r="X670" s="1">
        <v>-3.180851367808222E-3</v>
      </c>
      <c r="Y670" s="1">
        <v>-3.6914478214413638E-3</v>
      </c>
      <c r="Z670" s="1">
        <v>-4.322947516767167E-3</v>
      </c>
      <c r="AA670" s="1">
        <v>-5.1148965002486462E-3</v>
      </c>
      <c r="AB670" s="1">
        <v>-6.1236627353561243E-3</v>
      </c>
      <c r="AC670" s="1">
        <v>-7.4314708983046398E-3</v>
      </c>
      <c r="AD670" s="1">
        <v>-9.1640858928873914E-3</v>
      </c>
      <c r="AE670" s="1">
        <v>-1.1544791158583485E-2</v>
      </c>
      <c r="AF670" s="1">
        <v>-1.4985239850172079E-2</v>
      </c>
      <c r="AG670" s="1">
        <v>-2.0280437040961392E-2</v>
      </c>
      <c r="AH670" s="1">
        <v>-2.9219423740204892E-2</v>
      </c>
      <c r="AI670" s="1">
        <v>-4.7087860276519081E-2</v>
      </c>
      <c r="AJ670" s="1">
        <v>-0.10875392640975713</v>
      </c>
      <c r="AK670" s="1">
        <v>-4.5269669784842752E-2</v>
      </c>
      <c r="AL670" s="1">
        <v>-2.5945017510903681E-2</v>
      </c>
      <c r="AM670" s="1">
        <v>-1.5974858028473045E-2</v>
      </c>
      <c r="AN670" s="1">
        <v>-9.8690563860556677E-3</v>
      </c>
      <c r="AO670" s="1">
        <v>-5.4384483621418558E-3</v>
      </c>
      <c r="AR670" s="1">
        <f>-$AJ$114</f>
        <v>-0.17975567190226879</v>
      </c>
      <c r="AT670" s="1">
        <v>7.1186011854448158E-2</v>
      </c>
    </row>
    <row r="671" spans="2:46">
      <c r="B671" s="1">
        <v>-1.2575827455765887E-4</v>
      </c>
      <c r="C671" s="1">
        <v>-1.8572007783756585E-4</v>
      </c>
      <c r="D671" s="1">
        <v>-2.3442985079115956E-4</v>
      </c>
      <c r="E671" s="1">
        <v>-2.806984015139393E-4</v>
      </c>
      <c r="F671" s="1">
        <v>-3.2726489282593836E-4</v>
      </c>
      <c r="G671" s="1">
        <v>-3.7484185316797328E-4</v>
      </c>
      <c r="H671" s="1">
        <v>-4.2445322904521258E-4</v>
      </c>
      <c r="I671" s="1">
        <v>-4.7763533446853145E-4</v>
      </c>
      <c r="J671" s="1">
        <v>-5.3532846179792234E-4</v>
      </c>
      <c r="K671" s="1">
        <v>-5.9829273431433779E-4</v>
      </c>
      <c r="L671" s="1">
        <v>-6.6717596793986996E-4</v>
      </c>
      <c r="M671" s="1">
        <v>-7.4249628301846537E-4</v>
      </c>
      <c r="N671" s="1">
        <v>-8.2438532148142022E-4</v>
      </c>
      <c r="O671" s="1">
        <v>-9.1383439036672297E-4</v>
      </c>
      <c r="P671" s="1">
        <v>-1.0132466677313665E-3</v>
      </c>
      <c r="Q671" s="1">
        <v>-1.1252474902951324E-3</v>
      </c>
      <c r="R671" s="1">
        <v>-1.2527119301062794E-3</v>
      </c>
      <c r="S671" s="1">
        <v>-1.3989984824691829E-3</v>
      </c>
      <c r="T671" s="1">
        <v>-1.5681332470019497E-3</v>
      </c>
      <c r="U671" s="1">
        <v>-1.7649528729211507E-3</v>
      </c>
      <c r="V671" s="1">
        <v>-1.9947660480600844E-3</v>
      </c>
      <c r="W671" s="1">
        <v>-2.2654926058934661E-3</v>
      </c>
      <c r="X671" s="1">
        <v>-2.5887802892822194E-3</v>
      </c>
      <c r="Y671" s="1">
        <v>-2.9791269624078469E-3</v>
      </c>
      <c r="Z671" s="1">
        <v>-3.4557712642058511E-3</v>
      </c>
      <c r="AA671" s="1">
        <v>-4.0448395534502177E-3</v>
      </c>
      <c r="AB671" s="1">
        <v>-4.7824983852592677E-3</v>
      </c>
      <c r="AC671" s="1">
        <v>-5.719568932088177E-3</v>
      </c>
      <c r="AD671" s="1">
        <v>-6.9304392018529172E-3</v>
      </c>
      <c r="AE671" s="1">
        <v>-8.5438222488878075E-3</v>
      </c>
      <c r="AF671" s="1">
        <v>-1.0785804046371875E-2</v>
      </c>
      <c r="AG671" s="1">
        <v>-1.4055340072493703E-2</v>
      </c>
      <c r="AH671" s="1">
        <v>-1.9134525513389743E-2</v>
      </c>
      <c r="AI671" s="1">
        <v>-2.7799057187827974E-2</v>
      </c>
      <c r="AJ671" s="1">
        <v>-4.5331287369244765E-2</v>
      </c>
      <c r="AK671" s="1">
        <v>-0.10661179182403645</v>
      </c>
      <c r="AL671" s="1">
        <v>-4.2960537046926726E-2</v>
      </c>
      <c r="AM671" s="1">
        <v>-2.3718560244405287E-2</v>
      </c>
      <c r="AN671" s="1">
        <v>-1.3774409322982101E-2</v>
      </c>
      <c r="AO671" s="1">
        <v>-7.2811134822755048E-3</v>
      </c>
      <c r="AR671" s="1">
        <f>-$AK$114</f>
        <v>-0.17975567190226879</v>
      </c>
      <c r="AT671" s="1">
        <v>6.6436462737511984E-2</v>
      </c>
    </row>
    <row r="672" spans="2:46">
      <c r="B672" s="1">
        <v>-1.088372722029943E-4</v>
      </c>
      <c r="C672" s="1">
        <v>-1.6050003762844151E-4</v>
      </c>
      <c r="D672" s="1">
        <v>-2.0227590287950808E-4</v>
      </c>
      <c r="E672" s="1">
        <v>-2.4178828867851138E-4</v>
      </c>
      <c r="F672" s="1">
        <v>-2.8139228121894791E-4</v>
      </c>
      <c r="G672" s="1">
        <v>-3.2168627765422986E-4</v>
      </c>
      <c r="H672" s="1">
        <v>-3.6352666230603074E-4</v>
      </c>
      <c r="I672" s="1">
        <v>-4.0819764793450418E-4</v>
      </c>
      <c r="J672" s="1">
        <v>-4.5646164277250901E-4</v>
      </c>
      <c r="K672" s="1">
        <v>-5.0891582770582063E-4</v>
      </c>
      <c r="L672" s="1">
        <v>-5.6604941566943084E-4</v>
      </c>
      <c r="M672" s="1">
        <v>-6.2822767989949421E-4</v>
      </c>
      <c r="N672" s="1">
        <v>-6.954742252880229E-4</v>
      </c>
      <c r="O672" s="1">
        <v>-7.6851744894894586E-4</v>
      </c>
      <c r="P672" s="1">
        <v>-8.4924086859906585E-4</v>
      </c>
      <c r="Q672" s="1">
        <v>-9.3966803161731549E-4</v>
      </c>
      <c r="R672" s="1">
        <v>-1.0419720871026629E-3</v>
      </c>
      <c r="S672" s="1">
        <v>-1.1586524003173145E-3</v>
      </c>
      <c r="T672" s="1">
        <v>-1.292661594200466E-3</v>
      </c>
      <c r="U672" s="1">
        <v>-1.4474880480538814E-3</v>
      </c>
      <c r="V672" s="1">
        <v>-1.6268330858229974E-3</v>
      </c>
      <c r="W672" s="1">
        <v>-1.8362806602596877E-3</v>
      </c>
      <c r="X672" s="1">
        <v>-2.0840712491450699E-3</v>
      </c>
      <c r="Y672" s="1">
        <v>-2.3802020717930824E-3</v>
      </c>
      <c r="Z672" s="1">
        <v>-2.7376717729176766E-3</v>
      </c>
      <c r="AA672" s="1">
        <v>-3.1737426656878766E-3</v>
      </c>
      <c r="AB672" s="1">
        <v>-3.7116856655366745E-3</v>
      </c>
      <c r="AC672" s="1">
        <v>-4.3831069723693009E-3</v>
      </c>
      <c r="AD672" s="1">
        <v>-5.2325096946699481E-3</v>
      </c>
      <c r="AE672" s="1">
        <v>-6.3359527147678289E-3</v>
      </c>
      <c r="AF672" s="1">
        <v>-7.822883644681292E-3</v>
      </c>
      <c r="AG672" s="1">
        <v>-9.9073307549430983E-3</v>
      </c>
      <c r="AH672" s="1">
        <v>-1.2973789739529709E-2</v>
      </c>
      <c r="AI672" s="1">
        <v>-1.7783600405530679E-2</v>
      </c>
      <c r="AJ672" s="1">
        <v>-2.6081058892237597E-2</v>
      </c>
      <c r="AK672" s="1">
        <v>-4.3076450477441665E-2</v>
      </c>
      <c r="AL672" s="1">
        <v>-0.10381124223482287</v>
      </c>
      <c r="AM672" s="1">
        <v>-4.0030599297566437E-2</v>
      </c>
      <c r="AN672" s="1">
        <v>-2.0772919586775591E-2</v>
      </c>
      <c r="AO672" s="1">
        <v>-1.031078589494961E-2</v>
      </c>
      <c r="AR672" s="1">
        <f>-$AL$114</f>
        <v>-0.17975567190226879</v>
      </c>
      <c r="AT672" s="1">
        <v>6.0849856658951249E-2</v>
      </c>
    </row>
    <row r="673" spans="2:46">
      <c r="B673" s="1">
        <v>-9.1721308837469607E-5</v>
      </c>
      <c r="C673" s="1">
        <v>-1.350764901231046E-4</v>
      </c>
      <c r="D673" s="1">
        <v>-1.6998271831171631E-4</v>
      </c>
      <c r="E673" s="1">
        <v>-2.0286389285373521E-4</v>
      </c>
      <c r="F673" s="1">
        <v>-2.3569344721772553E-4</v>
      </c>
      <c r="G673" s="1">
        <v>-2.6896244337561143E-4</v>
      </c>
      <c r="H673" s="1">
        <v>-3.0337060295248028E-4</v>
      </c>
      <c r="I673" s="1">
        <v>-3.3996640609851124E-4</v>
      </c>
      <c r="J673" s="1">
        <v>-3.7935450993127249E-4</v>
      </c>
      <c r="K673" s="1">
        <v>-4.2199382869885233E-4</v>
      </c>
      <c r="L673" s="1">
        <v>-4.6824487831060527E-4</v>
      </c>
      <c r="M673" s="1">
        <v>-5.1835590412999686E-4</v>
      </c>
      <c r="N673" s="1">
        <v>-5.7228323380569793E-4</v>
      </c>
      <c r="O673" s="1">
        <v>-6.3054912243253405E-4</v>
      </c>
      <c r="P673" s="1">
        <v>-6.9460115454874662E-4</v>
      </c>
      <c r="Q673" s="1">
        <v>-7.6596936862281773E-4</v>
      </c>
      <c r="R673" s="1">
        <v>-8.4626527571249799E-4</v>
      </c>
      <c r="S673" s="1">
        <v>-9.3731389508689409E-4</v>
      </c>
      <c r="T673" s="1">
        <v>-1.0412402461538902E-3</v>
      </c>
      <c r="U673" s="1">
        <v>-1.1605135802703974E-3</v>
      </c>
      <c r="V673" s="1">
        <v>-1.2976611684647032E-3</v>
      </c>
      <c r="W673" s="1">
        <v>-1.45655405256035E-3</v>
      </c>
      <c r="X673" s="1">
        <v>-1.6429393986636743E-3</v>
      </c>
      <c r="Y673" s="1">
        <v>-1.8636148245677253E-3</v>
      </c>
      <c r="Z673" s="1">
        <v>-2.1272503934518989E-3</v>
      </c>
      <c r="AA673" s="1">
        <v>-2.4451230102409101E-3</v>
      </c>
      <c r="AB673" s="1">
        <v>-2.8320647056656843E-3</v>
      </c>
      <c r="AC673" s="1">
        <v>-3.3075839782326579E-3</v>
      </c>
      <c r="AD673" s="1">
        <v>-3.8981850028333822E-3</v>
      </c>
      <c r="AE673" s="1">
        <v>-4.6491026275436529E-3</v>
      </c>
      <c r="AF673" s="1">
        <v>-5.6357926771743788E-3</v>
      </c>
      <c r="AG673" s="1">
        <v>-6.9768087861899145E-3</v>
      </c>
      <c r="AH673" s="1">
        <v>-8.8723004059725174E-3</v>
      </c>
      <c r="AI673" s="1">
        <v>-1.1685539122651785E-2</v>
      </c>
      <c r="AJ673" s="1">
        <v>-1.6142030383326875E-2</v>
      </c>
      <c r="AK673" s="1">
        <v>-2.3901859473810509E-2</v>
      </c>
      <c r="AL673" s="1">
        <v>-4.0165082991009821E-2</v>
      </c>
      <c r="AM673" s="1">
        <v>-0.1002050775460554</v>
      </c>
      <c r="AN673" s="1">
        <v>-3.6048036875065623E-2</v>
      </c>
      <c r="AO673" s="1">
        <v>-1.5949296983658955E-2</v>
      </c>
      <c r="AR673" s="1">
        <f>-$AM$114</f>
        <v>-0.17975567190226879</v>
      </c>
      <c r="AT673" s="1">
        <v>5.4157908117984904E-2</v>
      </c>
    </row>
    <row r="674" spans="2:46">
      <c r="B674" s="1">
        <v>-7.3289906162507846E-5</v>
      </c>
      <c r="C674" s="1">
        <v>-1.0779667949717757E-4</v>
      </c>
      <c r="D674" s="1">
        <v>-1.3546603289329458E-4</v>
      </c>
      <c r="E674" s="1">
        <v>-1.6143108355822638E-4</v>
      </c>
      <c r="F674" s="1">
        <v>-1.8726099220544968E-4</v>
      </c>
      <c r="G674" s="1">
        <v>-2.1333913481812712E-4</v>
      </c>
      <c r="H674" s="1">
        <v>-2.402093482178372E-4</v>
      </c>
      <c r="I674" s="1">
        <v>-2.6868574510824513E-4</v>
      </c>
      <c r="J674" s="1">
        <v>-2.992251935941763E-4</v>
      </c>
      <c r="K674" s="1">
        <v>-3.3216382856033006E-4</v>
      </c>
      <c r="L674" s="1">
        <v>-3.6775436266278915E-4</v>
      </c>
      <c r="M674" s="1">
        <v>-4.0615488823488564E-4</v>
      </c>
      <c r="N674" s="1">
        <v>-4.4728834054409033E-4</v>
      </c>
      <c r="O674" s="1">
        <v>-4.9151089833762544E-4</v>
      </c>
      <c r="P674" s="1">
        <v>-5.3988528975444942E-4</v>
      </c>
      <c r="Q674" s="1">
        <v>-5.9351724044720631E-4</v>
      </c>
      <c r="R674" s="1">
        <v>-6.5354928939268886E-4</v>
      </c>
      <c r="S674" s="1">
        <v>-7.2125582526581171E-4</v>
      </c>
      <c r="T674" s="1">
        <v>-7.9809978572429512E-4</v>
      </c>
      <c r="U674" s="1">
        <v>-8.8575329852733683E-4</v>
      </c>
      <c r="V674" s="1">
        <v>-9.8586349560024597E-4</v>
      </c>
      <c r="W674" s="1">
        <v>-1.1010022575424542E-3</v>
      </c>
      <c r="X674" s="1">
        <v>-1.2350201482766406E-3</v>
      </c>
      <c r="Y674" s="1">
        <v>-1.3923585282654956E-3</v>
      </c>
      <c r="Z674" s="1">
        <v>-1.57857973322514E-3</v>
      </c>
      <c r="AA674" s="1">
        <v>-1.8007786142599795E-3</v>
      </c>
      <c r="AB674" s="1">
        <v>-2.0680724326325702E-3</v>
      </c>
      <c r="AC674" s="1">
        <v>-2.3920876816318783E-3</v>
      </c>
      <c r="AD674" s="1">
        <v>-2.7880915722635338E-3</v>
      </c>
      <c r="AE674" s="1">
        <v>-3.2823610020787605E-3</v>
      </c>
      <c r="AF674" s="1">
        <v>-3.9182290758574476E-3</v>
      </c>
      <c r="AG674" s="1">
        <v>-4.7609720586031124E-3</v>
      </c>
      <c r="AH674" s="1">
        <v>-5.9156902819826711E-3</v>
      </c>
      <c r="AI674" s="1">
        <v>-7.5617080949532886E-3</v>
      </c>
      <c r="AJ674" s="1">
        <v>-1.0026980497799308E-2</v>
      </c>
      <c r="AK674" s="1">
        <v>-1.3960320937787832E-2</v>
      </c>
      <c r="AL674" s="1">
        <v>-2.0957787427764121E-2</v>
      </c>
      <c r="AM674" s="1">
        <v>-3.6178205744476777E-2</v>
      </c>
      <c r="AN674" s="1">
        <v>-9.4886561919124354E-2</v>
      </c>
      <c r="AO674" s="1">
        <v>-2.8903669457893428E-2</v>
      </c>
      <c r="AR674" s="1">
        <f>-$AN$114</f>
        <v>-0.17975567190226879</v>
      </c>
      <c r="AT674" s="1">
        <v>4.5589270064448767E-2</v>
      </c>
    </row>
    <row r="675" spans="2:46">
      <c r="B675" s="1">
        <v>-5.0017457964884662E-5</v>
      </c>
      <c r="C675" s="1">
        <v>-7.3482115291501632E-5</v>
      </c>
      <c r="D675" s="1">
        <v>-9.2227154085475197E-5</v>
      </c>
      <c r="E675" s="1">
        <v>-1.0975612344312258E-4</v>
      </c>
      <c r="F675" s="1">
        <v>-1.2713550408223107E-4</v>
      </c>
      <c r="G675" s="1">
        <v>-1.4462180031618241E-4</v>
      </c>
      <c r="H675" s="1">
        <v>-1.6257725546013683E-4</v>
      </c>
      <c r="I675" s="1">
        <v>-1.8154353834449406E-4</v>
      </c>
      <c r="J675" s="1">
        <v>-2.0181712045296585E-4</v>
      </c>
      <c r="K675" s="1">
        <v>-2.2360971505193535E-4</v>
      </c>
      <c r="L675" s="1">
        <v>-2.4707349826005713E-4</v>
      </c>
      <c r="M675" s="1">
        <v>-2.7229349409487656E-4</v>
      </c>
      <c r="N675" s="1">
        <v>-2.9919360852505522E-4</v>
      </c>
      <c r="O675" s="1">
        <v>-3.279826052736425E-4</v>
      </c>
      <c r="P675" s="1">
        <v>-3.593325572154054E-4</v>
      </c>
      <c r="Q675" s="1">
        <v>-3.9393246422093426E-4</v>
      </c>
      <c r="R675" s="1">
        <v>-4.3248132647271119E-4</v>
      </c>
      <c r="S675" s="1">
        <v>-4.7574748422593804E-4</v>
      </c>
      <c r="T675" s="1">
        <v>-5.2460097939371702E-4</v>
      </c>
      <c r="U675" s="1">
        <v>-5.8002043343051174E-4</v>
      </c>
      <c r="V675" s="1">
        <v>-6.4293207632618921E-4</v>
      </c>
      <c r="W675" s="1">
        <v>-7.1481561960066119E-4</v>
      </c>
      <c r="X675" s="1">
        <v>-7.9790948118391917E-4</v>
      </c>
      <c r="Y675" s="1">
        <v>-8.9473323517221285E-4</v>
      </c>
      <c r="Z675" s="1">
        <v>-1.0083889090281826E-3</v>
      </c>
      <c r="AA675" s="1">
        <v>-1.1427619966263491E-3</v>
      </c>
      <c r="AB675" s="1">
        <v>-1.3027380045621756E-3</v>
      </c>
      <c r="AC675" s="1">
        <v>-1.494363613714568E-3</v>
      </c>
      <c r="AD675" s="1">
        <v>-1.7253233417927625E-3</v>
      </c>
      <c r="AE675" s="1">
        <v>-2.0090739999902608E-3</v>
      </c>
      <c r="AF675" s="1">
        <v>-2.3677062845445067E-3</v>
      </c>
      <c r="AG675" s="1">
        <v>-2.8333388702433747E-3</v>
      </c>
      <c r="AH675" s="1">
        <v>-3.4557938179927694E-3</v>
      </c>
      <c r="AI675" s="1">
        <v>-4.3162439422153587E-3</v>
      </c>
      <c r="AJ675" s="1">
        <v>-5.5542322264715257E-3</v>
      </c>
      <c r="AK675" s="1">
        <v>-7.4205467642021418E-3</v>
      </c>
      <c r="AL675" s="1">
        <v>-1.0463597578052276E-2</v>
      </c>
      <c r="AM675" s="1">
        <v>-1.6097704294767968E-2</v>
      </c>
      <c r="AN675" s="1">
        <v>-2.9007037090176088E-2</v>
      </c>
      <c r="AO675" s="1">
        <v>-8.3200758878859263E-2</v>
      </c>
      <c r="AR675" s="1">
        <f>-$AO$114</f>
        <v>-0.17975567190226879</v>
      </c>
      <c r="AT675" s="1">
        <v>3.2666898717096375E-2</v>
      </c>
    </row>
  </sheetData>
  <printOptions gridLines="1" gridLinesSet="0"/>
  <pageMargins left="0.5" right="0.5" top="0.5" bottom="0.5" header="0.5" footer="0.5"/>
  <pageSetup orientation="portrait" horizontalDpi="120" verticalDpi="144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Schuler</dc:creator>
  <cp:lastModifiedBy>Andrew Schuler</cp:lastModifiedBy>
  <dcterms:created xsi:type="dcterms:W3CDTF">2024-02-15T19:43:27Z</dcterms:created>
  <dcterms:modified xsi:type="dcterms:W3CDTF">2026-09-03T15:23:55Z</dcterms:modified>
</cp:coreProperties>
</file>